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heric\OneDrive\Desktop\excel-v1Engine-Explorer\"/>
    </mc:Choice>
  </mc:AlternateContent>
  <xr:revisionPtr revIDLastSave="0" documentId="13_ncr:1_{FF1191F4-BD61-4AD1-A2C4-6803D5A69416}" xr6:coauthVersionLast="47" xr6:coauthVersionMax="47" xr10:uidLastSave="{00000000-0000-0000-0000-000000000000}"/>
  <bookViews>
    <workbookView xWindow="-28920" yWindow="-90" windowWidth="29040" windowHeight="16440" tabRatio="599" firstSheet="1" activeTab="9" xr2:uid="{00000000-000D-0000-FFFF-FFFF00000000}"/>
  </bookViews>
  <sheets>
    <sheet name="TOC_metadata" sheetId="21" state="hidden" r:id="rId1"/>
    <sheet name="Retirees" sheetId="1" r:id="rId2"/>
    <sheet name="Actives" sheetId="19" r:id="rId3"/>
    <sheet name="Beneficiaries in Pay" sheetId="20" r:id="rId4"/>
    <sheet name="Separated Vested" sheetId="3" r:id="rId5"/>
    <sheet name="Tables" sheetId="8" r:id="rId6"/>
    <sheet name="mySort" sheetId="9" state="hidden" r:id="rId7"/>
    <sheet name="V1_Cell_Field_Relation" sheetId="47" r:id="rId8"/>
    <sheet name="V1_Named_Ranges" sheetId="48" r:id="rId9"/>
    <sheet name="V1_Row2_Formulas" sheetId="49" r:id="rId10"/>
  </sheets>
  <functionGroups builtInGroupCount="19"/>
  <definedNames>
    <definedName name="_xlnm._FilterDatabase" localSheetId="2" hidden="1">Actives!$A$30:$XEU$60</definedName>
    <definedName name="_xlnm._FilterDatabase" localSheetId="3" hidden="1">'Beneficiaries in Pay'!$A$15:$CT$22</definedName>
    <definedName name="_xlnm._FilterDatabase" localSheetId="1" hidden="1">Retirees!$A$15:$DM$43</definedName>
    <definedName name="_xlnm._FilterDatabase" localSheetId="4" hidden="1">'Separated Vested'!$30:$50</definedName>
    <definedName name="_xlnm._FilterDatabase" localSheetId="7" hidden="1">V1_Cell_Field_Relation!$A$1:$F$1</definedName>
    <definedName name="_xlnm._FilterDatabase" localSheetId="8" hidden="1">V1_Named_Ranges!$A$1:$A$49</definedName>
    <definedName name="_xlnm._FilterDatabase" localSheetId="9" hidden="1">V1_Row2_Formulas!$A$1:$C$1</definedName>
    <definedName name="Active" localSheetId="2">Actives!$29:$80</definedName>
    <definedName name="Active">Actives!$30:$81</definedName>
    <definedName name="Active_Vesteds" localSheetId="2">Actives!$30:$1048576</definedName>
    <definedName name="Active_Vesteds">Actives!$30:$1048576</definedName>
    <definedName name="AEQ_Rates">Tables!$CY$48:$CZ$48</definedName>
    <definedName name="All_Criteria">Tables!$DD$9:$DD$10</definedName>
    <definedName name="Annuity_Criteria">Tables!$DD$3:$DD$4</definedName>
    <definedName name="Annuity_Rates">Tables!$CY$13:$CZ$14</definedName>
    <definedName name="AX">'Separated Vested'!$DE$31</definedName>
    <definedName name="Beneficiaries_in_Pay">'Beneficiaries in Pay'!$15:$25</definedName>
    <definedName name="Beneficiary_Criteria">Tables!$DD$21:$DD$22</definedName>
    <definedName name="Benefit_Rate_Table">Tables!$K$154:$CZ$176</definedName>
    <definedName name="BFCF_RATES">Tables!$CY$48:$CZ$49</definedName>
    <definedName name="BFCF_Table">Tables!$Q$5:$CW$25</definedName>
    <definedName name="BFCF_Table_2">Tables!$Q$32:$CW$52</definedName>
    <definedName name="BFCF_Table_3">Tables!$Q$59:$CM$79</definedName>
    <definedName name="BRCHANGE">Tables!$CY$38</definedName>
    <definedName name="Covered_Comp_Table">Tables!$EO$3:$FK$76</definedName>
    <definedName name="DOPT">Tables!$DB$7</definedName>
    <definedName name="DOPT_1_Medicare_Benefit">Tables!$CY$47</definedName>
    <definedName name="DOPT_3">Tables!$DB$11</definedName>
    <definedName name="DOPT_Medicare_Benefit">Tables!$CY$44</definedName>
    <definedName name="DY">'Separated Vested'!$CG$31</definedName>
    <definedName name="ep">'Separated Vested'!$CJ$2</definedName>
    <definedName name="ERF_Table">Tables!$J$4:$K$124</definedName>
    <definedName name="Initial_Annuity_Interest_Rate">Tables!$CY$13</definedName>
    <definedName name="INT_NEW">Tables!$CY$4:$CZ$4</definedName>
    <definedName name="Load_Percent">Tables!$DG$13</definedName>
    <definedName name="LRF">Tables!$CY$44:$CZ$44</definedName>
    <definedName name="LRF_Table">Tables!$M$4:$N$124</definedName>
    <definedName name="LS_Rates">Tables!$CY$7:$CZ$10</definedName>
    <definedName name="Medicare_Rates">Tables!$CY$40:$CZ$41</definedName>
    <definedName name="Participant_Criteria">Tables!$DD$15:$DD$16</definedName>
    <definedName name="PBGC_BFCF_Table">Tables!$CY$53:$CZ$57</definedName>
    <definedName name="PBGC_ERF">Tables!$A$5:$B$39</definedName>
    <definedName name="PBGC_LRF">Tables!$D$5:$E$125</definedName>
    <definedName name="PBGC_MAX">Tables!$DB$14</definedName>
    <definedName name="PBGC_Option_Rates">Tables!$CY$26:$CZ$26</definedName>
    <definedName name="PC6_4022C_AR">Tables!$DM$59</definedName>
    <definedName name="Plan_Date">Tables!$CY$40</definedName>
    <definedName name="Plan_LRF_Table">Tables!$K$5:$CX$142</definedName>
    <definedName name="Post_Retirement_Interest">Tables!$K$2:$L$2</definedName>
    <definedName name="Pre_Retirement_Interest">Tables!$K$1</definedName>
    <definedName name="_xlnm.Print_Area" localSheetId="5">Tables!$DK$3:$DS$53</definedName>
    <definedName name="Retirees" localSheetId="3">'Beneficiaries in Pay'!$15:$1048576</definedName>
    <definedName name="Retirees">Retirees!$15:$1048576</definedName>
    <definedName name="Separated_Vesteds" localSheetId="2">'Separated Vested'!$A$30:$GQ$79</definedName>
    <definedName name="Separated_Vesteds">'Separated Vested'!$A$30:$GQ$79</definedName>
    <definedName name="SPARR">Tables!$DN$51</definedName>
    <definedName name="Total_4022C">Tables!$DM$55</definedName>
    <definedName name="Total_Title_IV_PV">Tables!$DQ$7</definedName>
    <definedName name="Vesting_Table">Tables!$G$4:$H$9</definedName>
    <definedName name="Vesting_Table_2">Tables!$G$12:$H$17</definedName>
  </definedNames>
  <calcPr calcId="191029"/>
</workbook>
</file>

<file path=xl/calcChain.xml><?xml version="1.0" encoding="utf-8"?>
<calcChain xmlns="http://schemas.openxmlformats.org/spreadsheetml/2006/main">
  <c r="GC2" i="3" l="1"/>
  <c r="GA2" i="3"/>
  <c r="FR2" i="3"/>
  <c r="FM2" i="3"/>
  <c r="EC2" i="3"/>
  <c r="EB2" i="3"/>
  <c r="DZ2" i="3"/>
  <c r="DX2" i="3"/>
  <c r="DW2" i="3"/>
  <c r="CY2" i="3"/>
  <c r="CQ2" i="3"/>
  <c r="DB2" i="3" s="1"/>
  <c r="CP2" i="3"/>
  <c r="BZ2" i="3"/>
  <c r="BY2" i="3"/>
  <c r="BO2" i="3"/>
  <c r="DF2" i="3" s="1"/>
  <c r="BN2" i="3"/>
  <c r="CZ2" i="3" s="1"/>
  <c r="DA2" i="3" s="1"/>
  <c r="BL2" i="3"/>
  <c r="BG2" i="3"/>
  <c r="BF2" i="3"/>
  <c r="BD2" i="3"/>
  <c r="BB2" i="3"/>
  <c r="BA2" i="3"/>
  <c r="AY2" i="3"/>
  <c r="AX2" i="3"/>
  <c r="AU2" i="3"/>
  <c r="BE2" i="3" s="1"/>
  <c r="AQ2" i="3"/>
  <c r="AO2" i="3"/>
  <c r="AN2" i="3"/>
  <c r="BM2" i="3" s="1"/>
  <c r="AM2" i="3"/>
  <c r="CT2" i="3" s="1"/>
  <c r="AF2" i="3"/>
  <c r="CE2" i="20"/>
  <c r="BL2" i="20"/>
  <c r="AW2" i="20"/>
  <c r="AT2" i="20"/>
  <c r="AK2" i="20"/>
  <c r="AJ2" i="20"/>
  <c r="AI2" i="20"/>
  <c r="AH2" i="20"/>
  <c r="AB2" i="20"/>
  <c r="GC2" i="19"/>
  <c r="GA2" i="19"/>
  <c r="FR2" i="19"/>
  <c r="FM2" i="19"/>
  <c r="EC2" i="19"/>
  <c r="EB2" i="19"/>
  <c r="DZ2" i="19"/>
  <c r="DX2" i="19"/>
  <c r="DW2" i="19"/>
  <c r="CY2" i="19"/>
  <c r="CQ2" i="19"/>
  <c r="CR2" i="19" s="1"/>
  <c r="CP2" i="19"/>
  <c r="BZ2" i="19"/>
  <c r="BY2" i="19"/>
  <c r="BO2" i="19"/>
  <c r="FP2" i="19" s="1"/>
  <c r="BN2" i="19"/>
  <c r="BL2" i="19"/>
  <c r="BG2" i="19"/>
  <c r="BF2" i="19"/>
  <c r="BD2" i="19"/>
  <c r="BB2" i="19"/>
  <c r="BA2" i="19"/>
  <c r="AY2" i="19"/>
  <c r="AX2" i="19"/>
  <c r="AU2" i="19"/>
  <c r="BE2" i="19" s="1"/>
  <c r="AQ2" i="19"/>
  <c r="AO2" i="19"/>
  <c r="AN2" i="19"/>
  <c r="BM2" i="19" s="1"/>
  <c r="AM2" i="19"/>
  <c r="CU2" i="19" s="1"/>
  <c r="AF2" i="19"/>
  <c r="CL2" i="1"/>
  <c r="BO2" i="1"/>
  <c r="BB2" i="1"/>
  <c r="BA2" i="1"/>
  <c r="AS2" i="1"/>
  <c r="AP2" i="1"/>
  <c r="AL2" i="1"/>
  <c r="AI2" i="1"/>
  <c r="AH2" i="1"/>
  <c r="AG2" i="1"/>
  <c r="AF2" i="1"/>
  <c r="AE2" i="1"/>
  <c r="AD2" i="1"/>
  <c r="BC2" i="1" s="1"/>
  <c r="BD2" i="1" s="1"/>
  <c r="BH2" i="20"/>
  <c r="CS2" i="19" l="1"/>
  <c r="DE2" i="19"/>
  <c r="CN2" i="19"/>
  <c r="DB2" i="19"/>
  <c r="DG2" i="19"/>
  <c r="DG2" i="3"/>
  <c r="CT2" i="19"/>
  <c r="CZ2" i="19"/>
  <c r="DA2" i="19" s="1"/>
  <c r="DF2" i="19"/>
  <c r="CU2" i="3"/>
  <c r="FP2" i="3"/>
  <c r="CR2" i="3"/>
  <c r="CX2" i="3"/>
  <c r="CX2" i="19"/>
  <c r="CN2" i="3"/>
  <c r="CS2" i="3"/>
  <c r="DE2" i="3"/>
  <c r="GG2" i="3"/>
  <c r="GF2" i="3"/>
  <c r="GH2" i="3" s="1"/>
  <c r="FS2" i="3"/>
  <c r="EZ2" i="3"/>
  <c r="ES2" i="3"/>
  <c r="EM2" i="3"/>
  <c r="EL2" i="3"/>
  <c r="EJ2" i="3"/>
  <c r="EI2" i="3"/>
  <c r="EH2" i="3"/>
  <c r="EG2" i="3"/>
  <c r="EF2" i="3"/>
  <c r="DL2" i="3"/>
  <c r="DP2" i="3" s="1"/>
  <c r="DK2" i="3"/>
  <c r="DJ2" i="3"/>
  <c r="DI2" i="3"/>
  <c r="DH2" i="3"/>
  <c r="BR2" i="3"/>
  <c r="BI2" i="3"/>
  <c r="AT2" i="3"/>
  <c r="AS2" i="3"/>
  <c r="AD2" i="3"/>
  <c r="AC2" i="3"/>
  <c r="Z2" i="3"/>
  <c r="AA2" i="3" l="1"/>
  <c r="AE2" i="3"/>
  <c r="CF2" i="3"/>
  <c r="AV2" i="3"/>
  <c r="AW2" i="3" s="1"/>
  <c r="EV2" i="3"/>
  <c r="EH2" i="19"/>
  <c r="BC2" i="3" l="1"/>
  <c r="FB2" i="3"/>
  <c r="CR2" i="1"/>
  <c r="CQ2" i="1"/>
  <c r="CP2" i="1"/>
  <c r="CM2" i="1"/>
  <c r="FC2" i="3" l="1"/>
  <c r="FI2" i="3" s="1"/>
  <c r="FH2" i="3"/>
  <c r="AS2" i="20"/>
  <c r="AR2" i="20"/>
  <c r="AZ2" i="20" s="1"/>
  <c r="AQ2" i="20"/>
  <c r="DY2" i="3" l="1"/>
  <c r="EA2" i="3"/>
  <c r="GE2" i="3"/>
  <c r="CL2" i="3"/>
  <c r="BN2" i="1"/>
  <c r="BM2" i="1"/>
  <c r="CO2" i="3" l="1"/>
  <c r="GG2" i="19"/>
  <c r="GF2" i="19"/>
  <c r="GH2" i="19" s="1"/>
  <c r="FS2" i="19"/>
  <c r="EZ2" i="19"/>
  <c r="ES2" i="19"/>
  <c r="EM2" i="19"/>
  <c r="EL2" i="19"/>
  <c r="EJ2" i="19"/>
  <c r="EI2" i="19"/>
  <c r="EG2" i="19"/>
  <c r="EF2" i="19"/>
  <c r="DL2" i="19"/>
  <c r="DP2" i="19" s="1"/>
  <c r="DK2" i="19"/>
  <c r="DJ2" i="19"/>
  <c r="DI2" i="19"/>
  <c r="DH2" i="19"/>
  <c r="BR2" i="19"/>
  <c r="BI2" i="19"/>
  <c r="AT2" i="19"/>
  <c r="AS2" i="19"/>
  <c r="AD2" i="19"/>
  <c r="AC2" i="19"/>
  <c r="Z2" i="19"/>
  <c r="CW2" i="3" l="1"/>
  <c r="AE2" i="19"/>
  <c r="AV2" i="19"/>
  <c r="AW2" i="19" s="1"/>
  <c r="CF2" i="19"/>
  <c r="AA2" i="19"/>
  <c r="EV2" i="19"/>
  <c r="FB2" i="19" l="1"/>
  <c r="BC2" i="19" l="1"/>
  <c r="FC2" i="19"/>
  <c r="FI2" i="19" s="1"/>
  <c r="FH2" i="19"/>
  <c r="CL2" i="19" l="1"/>
  <c r="EA2" i="19"/>
  <c r="GE2" i="19"/>
  <c r="DY2" i="19"/>
  <c r="CO2" i="19" l="1"/>
  <c r="CW2" i="19" s="1"/>
  <c r="Y2" i="20"/>
  <c r="Z2" i="20"/>
  <c r="AA2" i="20" l="1"/>
  <c r="BR2" i="20"/>
  <c r="BE2" i="20"/>
  <c r="BF2" i="20" s="1"/>
  <c r="BG2" i="20" l="1"/>
  <c r="BI2" i="20" l="1"/>
  <c r="AV2" i="20" l="1"/>
  <c r="AX2" i="20"/>
  <c r="BB2" i="20" s="1"/>
  <c r="BJ2" i="20"/>
  <c r="CQ2" i="20" l="1"/>
  <c r="CM2" i="20"/>
  <c r="BK2" i="20"/>
  <c r="CL2" i="20"/>
  <c r="CR2" i="20" l="1"/>
  <c r="CT2" i="20"/>
  <c r="CS2" i="20"/>
  <c r="BI2" i="1" l="1"/>
  <c r="CU2" i="1" l="1"/>
  <c r="BP2" i="1" l="1"/>
  <c r="AU2" i="1" l="1"/>
  <c r="BE2" i="1" l="1"/>
  <c r="AV2" i="1"/>
  <c r="BW2" i="1" l="1"/>
  <c r="AW2" i="1" l="1"/>
  <c r="AR2" i="1" l="1"/>
  <c r="AX2" i="1" s="1"/>
  <c r="AT2" i="1"/>
  <c r="CJ2" i="1" l="1"/>
  <c r="BQ2" i="1"/>
  <c r="BF2" i="1"/>
  <c r="BG2" i="1" s="1"/>
  <c r="BR2" i="1" l="1"/>
  <c r="BX2" i="1" s="1"/>
  <c r="BH2" i="1"/>
  <c r="BS2" i="1" s="1"/>
  <c r="BT2" i="1" l="1"/>
  <c r="BJ2" i="1"/>
  <c r="BU2" i="1" s="1"/>
  <c r="CD2" i="1"/>
  <c r="BY2" i="1"/>
  <c r="BZ2" i="1" s="1"/>
  <c r="CA2" i="1" s="1"/>
  <c r="BK2" i="1" l="1"/>
  <c r="CE2" i="1"/>
  <c r="CF2" i="1" s="1"/>
  <c r="CG2" i="1" s="1"/>
  <c r="CB2" i="1"/>
  <c r="CC2" i="1" s="1"/>
  <c r="BV2" i="1"/>
  <c r="CK2" i="1" l="1"/>
  <c r="CV2" i="1"/>
  <c r="BL2" i="1"/>
  <c r="CX2" i="1"/>
  <c r="DE2" i="1" s="1"/>
  <c r="CT2" i="1"/>
  <c r="CS2" i="1"/>
  <c r="CH2" i="1"/>
  <c r="CI2" i="1" s="1"/>
  <c r="DA2" i="1" l="1"/>
  <c r="CY2" i="1"/>
  <c r="CZ2" i="1"/>
  <c r="DB2" i="1"/>
  <c r="DC2" i="1"/>
  <c r="DD2" i="1"/>
  <c r="BA2" i="20" l="1"/>
  <c r="AY2" i="20"/>
  <c r="CF2" i="20" l="1"/>
  <c r="CG2" i="20" s="1"/>
  <c r="CH2" i="20" s="1"/>
  <c r="BP2" i="20"/>
  <c r="BM2" i="20"/>
  <c r="BN2" i="20"/>
  <c r="BW2" i="20" l="1"/>
  <c r="CC2" i="20" s="1"/>
  <c r="BT2" i="20"/>
  <c r="BU2" i="20" s="1"/>
  <c r="BQ2" i="20"/>
  <c r="BO2" i="20"/>
  <c r="BS2" i="20"/>
  <c r="BX2" i="20" l="1"/>
  <c r="BV2" i="20"/>
  <c r="BY2" i="20"/>
  <c r="BZ2" i="20"/>
  <c r="CA2" i="20" s="1"/>
  <c r="CI2" i="20"/>
  <c r="CJ2" i="20"/>
  <c r="CD2" i="20" l="1"/>
  <c r="CB2" i="20"/>
  <c r="CJ2" i="3" l="1"/>
  <c r="CK2" i="3"/>
  <c r="CI2" i="3"/>
  <c r="FN2" i="3" l="1"/>
  <c r="CA2" i="3"/>
  <c r="CV2" i="3" l="1"/>
  <c r="DC2" i="3"/>
  <c r="EO2" i="3"/>
  <c r="EX2" i="3" s="1"/>
  <c r="FE2" i="3" s="1"/>
  <c r="FK2" i="3" s="1"/>
  <c r="CB2" i="3"/>
  <c r="CC2" i="3"/>
  <c r="CE2" i="3" s="1"/>
  <c r="DO2" i="3" l="1"/>
  <c r="DD2" i="3"/>
  <c r="EK2" i="3" s="1"/>
  <c r="EQ2" i="3" l="1"/>
  <c r="ER2" i="3" s="1"/>
  <c r="DM2" i="3"/>
  <c r="FO2" i="3" s="1"/>
  <c r="FQ2" i="3" s="1"/>
  <c r="EN2" i="3"/>
  <c r="EP2" i="3"/>
  <c r="DN2" i="3" l="1"/>
  <c r="EU2" i="3"/>
  <c r="EW2" i="3" s="1"/>
  <c r="ET2" i="3"/>
  <c r="FV2" i="3"/>
  <c r="FW2" i="3"/>
  <c r="FX2" i="3"/>
  <c r="DU2" i="3" l="1"/>
  <c r="DR2" i="3"/>
  <c r="DS2" i="3"/>
  <c r="DT2" i="3"/>
  <c r="DV2" i="3"/>
  <c r="DQ2" i="3"/>
  <c r="EY2" i="3"/>
  <c r="FY2" i="3" s="1"/>
  <c r="FA2" i="3"/>
  <c r="FG2" i="3" s="1"/>
  <c r="FJ2" i="3" s="1"/>
  <c r="CJ2" i="19"/>
  <c r="CK2" i="19"/>
  <c r="CI2" i="19"/>
  <c r="FZ2" i="3" l="1"/>
  <c r="FF2" i="3"/>
  <c r="FD2" i="3"/>
  <c r="FL2" i="3"/>
  <c r="FN2" i="19"/>
  <c r="CA2" i="19"/>
  <c r="CV2" i="19" l="1"/>
  <c r="EO2" i="19"/>
  <c r="EX2" i="19" s="1"/>
  <c r="FE2" i="19" s="1"/>
  <c r="FK2" i="19" s="1"/>
  <c r="DC2" i="19"/>
  <c r="CB2" i="19"/>
  <c r="CC2" i="19"/>
  <c r="CE2" i="19" s="1"/>
  <c r="DO2" i="19" l="1"/>
  <c r="DD2" i="19"/>
  <c r="EQ2" i="19" s="1"/>
  <c r="EK2" i="19" l="1"/>
  <c r="EU2" i="19" s="1"/>
  <c r="DM2" i="19"/>
  <c r="FO2" i="19" s="1"/>
  <c r="FQ2" i="19" s="1"/>
  <c r="ER2" i="19"/>
  <c r="ET2" i="19"/>
  <c r="EP2" i="19" l="1"/>
  <c r="EN2" i="19"/>
  <c r="DN2" i="19"/>
  <c r="EW2" i="19"/>
  <c r="EY2" i="19"/>
  <c r="FA2" i="19"/>
  <c r="FW2" i="19"/>
  <c r="FV2" i="19"/>
  <c r="FX2" i="19"/>
  <c r="DV2" i="19" l="1"/>
  <c r="DU2" i="19"/>
  <c r="DS2" i="19"/>
  <c r="DT2" i="19"/>
  <c r="DR2" i="19"/>
  <c r="DQ2" i="19"/>
  <c r="FF2" i="19"/>
  <c r="FD2" i="19"/>
  <c r="FY2" i="19"/>
  <c r="FZ2" i="19"/>
  <c r="FG2" i="19"/>
  <c r="FL2" i="19" l="1"/>
  <c r="FJ2" i="19"/>
</calcChain>
</file>

<file path=xl/sharedStrings.xml><?xml version="1.0" encoding="utf-8"?>
<sst xmlns="http://schemas.openxmlformats.org/spreadsheetml/2006/main" count="24948" uniqueCount="1277">
  <si>
    <t>BEN_CHNG_IND</t>
  </si>
  <si>
    <t>Months Certain Remaining at DOPT</t>
  </si>
  <si>
    <t>4022c:</t>
  </si>
  <si>
    <t>Participant's Health Status</t>
  </si>
  <si>
    <t>Liability Weighted Age Nearest Birthday</t>
  </si>
  <si>
    <t>Present Value of Termination Benefit Without QPSA and Load</t>
  </si>
  <si>
    <t>(2)</t>
  </si>
  <si>
    <t>PA_ACOMP</t>
  </si>
  <si>
    <t>Participant's Age Nearest Birthday at XRD</t>
  </si>
  <si>
    <t>SDOD</t>
  </si>
  <si>
    <t>Participant's Date of Death</t>
  </si>
  <si>
    <t>PBGC_OPT_10CC</t>
  </si>
  <si>
    <t>ERF_ERD</t>
  </si>
  <si>
    <t>PBGC_OPT_SLA</t>
  </si>
  <si>
    <t>PBGC_OPT_JS100</t>
  </si>
  <si>
    <t>DOTE</t>
  </si>
  <si>
    <t>Survivor Percentage for Actual Retirement Form of Annuity</t>
  </si>
  <si>
    <t>Months Late</t>
  </si>
  <si>
    <t>N284</t>
  </si>
  <si>
    <t>PVMB_4022C_QPSA</t>
  </si>
  <si>
    <t>Probability of Death Between DOPT and XRD</t>
  </si>
  <si>
    <t>PVF_LEV_ANN</t>
  </si>
  <si>
    <t>PV of Termination Benefit in Plan Normal Single Form Using PBGC Optional Forms Assumptions</t>
  </si>
  <si>
    <t>Vesting Service</t>
  </si>
  <si>
    <t>PBL_LOAD</t>
  </si>
  <si>
    <t>N292</t>
  </si>
  <si>
    <t>Total</t>
  </si>
  <si>
    <t>Participant's Expected Retirement Date</t>
  </si>
  <si>
    <t>CALCULATION</t>
  </si>
  <si>
    <t>(5)</t>
  </si>
  <si>
    <t>EURD_MB_4022C_NSF</t>
  </si>
  <si>
    <t>LRF_ERD</t>
  </si>
  <si>
    <t>N005</t>
  </si>
  <si>
    <t>Termination Monthly Benefit in the Normal Single Form</t>
  </si>
  <si>
    <t>ME_ERD_MAXLIM</t>
  </si>
  <si>
    <t>EAGELEV</t>
  </si>
  <si>
    <t>BFCF_NRD_MAXLIM</t>
  </si>
  <si>
    <t>N293</t>
  </si>
  <si>
    <t>ERF</t>
  </si>
  <si>
    <t>(3)</t>
  </si>
  <si>
    <t>Termination Monthly Benefit at ARD</t>
  </si>
  <si>
    <t>Survivor Percentage for Normal Single Form of Annuity</t>
  </si>
  <si>
    <t>N006</t>
  </si>
  <si>
    <t>PBGC BFCF Rates</t>
  </si>
  <si>
    <t>DOR I/O/B</t>
  </si>
  <si>
    <t>ARD_MB_4022C</t>
  </si>
  <si>
    <t>NRD_MB_4022C_NSF</t>
  </si>
  <si>
    <t>Annuity Present Value Factor</t>
  </si>
  <si>
    <t>BNNFA_PVMB</t>
  </si>
  <si>
    <t>DOR Field name</t>
  </si>
  <si>
    <t>Number of Annuity Type Participants x $200:</t>
  </si>
  <si>
    <t>BDERDLEV</t>
  </si>
  <si>
    <t>Lump Sum</t>
  </si>
  <si>
    <t>End Date for Earliest Retirement Benefit</t>
  </si>
  <si>
    <t>MTHSNMF</t>
  </si>
  <si>
    <t>EURA_XRA</t>
  </si>
  <si>
    <t>MTHS_ARD</t>
  </si>
  <si>
    <t>N294</t>
  </si>
  <si>
    <t>Liability Weighted Expected Retirement Age</t>
  </si>
  <si>
    <t>5</t>
  </si>
  <si>
    <t>Present Value of Termination QPSA  Benefit</t>
  </si>
  <si>
    <t>QPSA Present Value Factor</t>
  </si>
  <si>
    <t>Months Early at XRD</t>
  </si>
  <si>
    <t>Late Retirement Factor at XRD</t>
  </si>
  <si>
    <t>VB</t>
  </si>
  <si>
    <t>TERM_MB_NSF</t>
  </si>
  <si>
    <t>BFCF_XRD</t>
  </si>
  <si>
    <t>CALC_INDICATOR</t>
  </si>
  <si>
    <t>ME_NRD_MAXLIM</t>
  </si>
  <si>
    <t>SPARR:</t>
  </si>
  <si>
    <t>Final Assets:</t>
  </si>
  <si>
    <t>(6)</t>
  </si>
  <si>
    <t>SAGELEV</t>
  </si>
  <si>
    <t>Title IV PV:</t>
  </si>
  <si>
    <t>Months Early for Max at XRD</t>
  </si>
  <si>
    <t>VAL_SDOB</t>
  </si>
  <si>
    <t>XRD I/O/B</t>
  </si>
  <si>
    <t>NRD Field name</t>
  </si>
  <si>
    <t>LRF_EURD</t>
  </si>
  <si>
    <t>Participant's Last Name</t>
  </si>
  <si>
    <t>N295</t>
  </si>
  <si>
    <t>Ratio of Benefit Form Conversion Factors for Lump Sum Calculation</t>
  </si>
  <si>
    <t>Present Value of Plan Benefit Liability Including Load</t>
  </si>
  <si>
    <t>UGB (A - B):</t>
  </si>
  <si>
    <t>ERF_ARD</t>
  </si>
  <si>
    <t>N008</t>
  </si>
  <si>
    <t>**</t>
  </si>
  <si>
    <t>LNAME</t>
  </si>
  <si>
    <t>Plan Administrator Accrued Monthly Benefit</t>
  </si>
  <si>
    <t>PBGC Optional J&amp;50%S Popup Benefit Amount</t>
  </si>
  <si>
    <t>(4)</t>
  </si>
  <si>
    <t>Late Retirement Factor</t>
  </si>
  <si>
    <t>D</t>
  </si>
  <si>
    <t>BL</t>
  </si>
  <si>
    <t>ERF_EURD_MAXLIM</t>
  </si>
  <si>
    <t>(9)</t>
  </si>
  <si>
    <t>SJSWC</t>
  </si>
  <si>
    <t>LRF_ARD</t>
  </si>
  <si>
    <t>Survivor Percentage for Normal Married Form of Annuity</t>
  </si>
  <si>
    <t>XRD Field name</t>
  </si>
  <si>
    <t>TERM_MB_ERD_NSF</t>
  </si>
  <si>
    <t>E</t>
  </si>
  <si>
    <t>QPSA Indicator</t>
  </si>
  <si>
    <t>Eligibility for Early Unreduced Benefits Indicator</t>
  </si>
  <si>
    <t>NRD I/O/B</t>
  </si>
  <si>
    <t>MSTAT</t>
  </si>
  <si>
    <t>MAXLIM_ERD</t>
  </si>
  <si>
    <t>(7)</t>
  </si>
  <si>
    <t>MTHSREM_DEATH</t>
  </si>
  <si>
    <t>120</t>
  </si>
  <si>
    <t>TEMP012</t>
  </si>
  <si>
    <t>DOH</t>
  </si>
  <si>
    <t>RETTYP</t>
  </si>
  <si>
    <t>PBGC_OPT_PV_NMF</t>
  </si>
  <si>
    <t>Reason for Benefit Change</t>
  </si>
  <si>
    <t>Date Participant Completes Participation Requirements</t>
  </si>
  <si>
    <t>F</t>
  </si>
  <si>
    <t>I/O/B</t>
  </si>
  <si>
    <t>ME_XRD</t>
  </si>
  <si>
    <t>VS</t>
  </si>
  <si>
    <t>Vesting Percentage at DOPT</t>
  </si>
  <si>
    <t>TERM_LOAD</t>
  </si>
  <si>
    <t>TEMP013</t>
  </si>
  <si>
    <t>N285</t>
  </si>
  <si>
    <t>UNGB:</t>
  </si>
  <si>
    <t>Alternate Payees</t>
  </si>
  <si>
    <t>BFCF_RATIO_LS</t>
  </si>
  <si>
    <t>PVMB_TERM_NO_Q_NO_L</t>
  </si>
  <si>
    <t>Normal Retirement Date</t>
  </si>
  <si>
    <t>Initial Annuity Interest Rate:</t>
  </si>
  <si>
    <t>G</t>
  </si>
  <si>
    <t>N019</t>
  </si>
  <si>
    <t>PC3_VP</t>
  </si>
  <si>
    <t>FORM_CODE_ARD</t>
  </si>
  <si>
    <t>Form of Annuity for ARD Benefit</t>
  </si>
  <si>
    <t>Beneficiary's Date of Death</t>
  </si>
  <si>
    <t>Active Vesteds</t>
  </si>
  <si>
    <t>TEMP014</t>
  </si>
  <si>
    <t>N286</t>
  </si>
  <si>
    <t>Participant's Expected Retirement Age</t>
  </si>
  <si>
    <t>U</t>
  </si>
  <si>
    <t>Lump Sum Present Value Factor for QPSA Benefit</t>
  </si>
  <si>
    <t>Beneficiaries</t>
  </si>
  <si>
    <t>Term_LW_XRA</t>
  </si>
  <si>
    <t>SFNAME</t>
  </si>
  <si>
    <t>Participant's Social Security Number</t>
  </si>
  <si>
    <t>(8)</t>
  </si>
  <si>
    <t>1991</t>
  </si>
  <si>
    <t>Early Retirement Factor at XRD</t>
  </si>
  <si>
    <t>ANB_ERD</t>
  </si>
  <si>
    <t>LOAD_PCT</t>
  </si>
  <si>
    <t>TERM_MB_ARD</t>
  </si>
  <si>
    <t>SXRA</t>
  </si>
  <si>
    <t>Benefit Form Conversion Factor Table 10C&amp;C to J&amp;100%S</t>
  </si>
  <si>
    <t>Excess of PVPBL over $200,000:</t>
  </si>
  <si>
    <t>ML_ARD_MAXLIM</t>
  </si>
  <si>
    <t>NON_SPOUSE_BENF</t>
  </si>
  <si>
    <t>TEMP015</t>
  </si>
  <si>
    <t>N287</t>
  </si>
  <si>
    <t>Benefit Recalculation Indicator</t>
  </si>
  <si>
    <t>V</t>
  </si>
  <si>
    <t>Term PV (A + G):</t>
  </si>
  <si>
    <t>MTHSREM</t>
  </si>
  <si>
    <t>SPCNMF</t>
  </si>
  <si>
    <t>PSEX</t>
  </si>
  <si>
    <t>4022(c) Benefit at XRD</t>
  </si>
  <si>
    <t>ME_EURD_MAXLIM</t>
  </si>
  <si>
    <t>S001</t>
  </si>
  <si>
    <t>SSN</t>
  </si>
  <si>
    <t>TERM_SURV_MB_NRD</t>
  </si>
  <si>
    <t>Benefit Level for XRA</t>
  </si>
  <si>
    <t>MAXLIM_ARD</t>
  </si>
  <si>
    <t>PBGC_OPT_JSPOPUP</t>
  </si>
  <si>
    <t>PVMB_TITLE_IV_NO_Q_NO_L</t>
  </si>
  <si>
    <t>IMM</t>
  </si>
  <si>
    <t>N288</t>
  </si>
  <si>
    <t>Annuity_Criteria</t>
  </si>
  <si>
    <t>Normal Married Form of Annuity</t>
  </si>
  <si>
    <t>Retirees</t>
  </si>
  <si>
    <t>S002</t>
  </si>
  <si>
    <t>RETRO_EURD_IND</t>
  </si>
  <si>
    <t>Months Late at XRD From NRD</t>
  </si>
  <si>
    <t>BSSN</t>
  </si>
  <si>
    <t>N296</t>
  </si>
  <si>
    <t>Flat Rate (5% of the first $200,000 of PVPBL):</t>
  </si>
  <si>
    <t>BR_IND</t>
  </si>
  <si>
    <t>ML_XRD_MAXLIM</t>
  </si>
  <si>
    <t>S010</t>
  </si>
  <si>
    <t>N009</t>
  </si>
  <si>
    <t>Spouse's Date of Death</t>
  </si>
  <si>
    <t>ARD_PMB</t>
  </si>
  <si>
    <t>LOAD_4022C</t>
  </si>
  <si>
    <t>Months Certain for Normal Married Form of Annuity</t>
  </si>
  <si>
    <t>Present Value of Title IV Benefit Without QPSA and Load</t>
  </si>
  <si>
    <t>PVPBL_ANN_RATES_QPSA</t>
  </si>
  <si>
    <t>Spouse's Gender</t>
  </si>
  <si>
    <t>With Load</t>
  </si>
  <si>
    <t>Vested Monthly Benefit at DOPT</t>
  </si>
  <si>
    <t>XRA</t>
  </si>
  <si>
    <t>Months Certain for Actual Retirement Form of Annuity</t>
  </si>
  <si>
    <t>MTHSNSF</t>
  </si>
  <si>
    <t>PVF_QPSA_LS</t>
  </si>
  <si>
    <t>N297</t>
  </si>
  <si>
    <t>Lump Sum Option</t>
  </si>
  <si>
    <t>&lt;===</t>
  </si>
  <si>
    <t>LRF_EURD_MAXLIM</t>
  </si>
  <si>
    <t>S011</t>
  </si>
  <si>
    <t>PVMB_4022C_NO_LOAD</t>
  </si>
  <si>
    <t>TERM_MB_POPUP</t>
  </si>
  <si>
    <t>SPCNSF</t>
  </si>
  <si>
    <t>PBGC Early Retirement Factor</t>
  </si>
  <si>
    <t>FORMULAS</t>
  </si>
  <si>
    <t>Basic UNGB at XRD</t>
  </si>
  <si>
    <t>Load Percentage (10) / (3) (Formula):</t>
  </si>
  <si>
    <t>Present  Value</t>
  </si>
  <si>
    <t>N298</t>
  </si>
  <si>
    <t>9</t>
  </si>
  <si>
    <t>PC3_VB</t>
  </si>
  <si>
    <t>Load Percentage</t>
  </si>
  <si>
    <t>PV of Termination Benefit in Plan Normal Married Form Using PBGC Optional Forms Assumptions</t>
  </si>
  <si>
    <t>S012</t>
  </si>
  <si>
    <t>Interest Rates</t>
  </si>
  <si>
    <t>PBGC Optional SLA Benefit Amount</t>
  </si>
  <si>
    <t>Beneficiary's Social Security Number</t>
  </si>
  <si>
    <t>Beneficiary_Criteria</t>
  </si>
  <si>
    <t>On or After</t>
  </si>
  <si>
    <t>Non-Spouse Beneficiay Indicator</t>
  </si>
  <si>
    <t>BFCF_NRD</t>
  </si>
  <si>
    <t>SSSN</t>
  </si>
  <si>
    <t>Surivor Percentage for XRD Form of Annuity</t>
  </si>
  <si>
    <t>Months Certain for Normal Single Form of Annuity</t>
  </si>
  <si>
    <t>PAY_AMT1</t>
  </si>
  <si>
    <t>SPC_ARD</t>
  </si>
  <si>
    <t>Vesting Table</t>
  </si>
  <si>
    <t>N299</t>
  </si>
  <si>
    <t>ERF_ERD_MAXLIM</t>
  </si>
  <si>
    <t>ERF for Max at XRD</t>
  </si>
  <si>
    <t>SERV_PROJ_NRD</t>
  </si>
  <si>
    <t>18th Birthday</t>
  </si>
  <si>
    <t>ERD_MB_TITLE_IV_NSF</t>
  </si>
  <si>
    <t>S013</t>
  </si>
  <si>
    <t>Count</t>
  </si>
  <si>
    <t>TITLE_IV_LOAD</t>
  </si>
  <si>
    <t>Benefit Form Conversion Factor Table 10C&amp;C to J&amp;50%S Popup</t>
  </si>
  <si>
    <t>CSPA</t>
  </si>
  <si>
    <t>Benefit Form Conversion Factor at XRD</t>
  </si>
  <si>
    <t>T001</t>
  </si>
  <si>
    <t>Lump Sum Amount</t>
  </si>
  <si>
    <t>H</t>
  </si>
  <si>
    <t>XRD</t>
  </si>
  <si>
    <t>PAY_AMT2</t>
  </si>
  <si>
    <t>TERM_LW_ANB</t>
  </si>
  <si>
    <t>DOPT-3</t>
  </si>
  <si>
    <t>BFCF_EURD</t>
  </si>
  <si>
    <t>ERF_XRD</t>
  </si>
  <si>
    <t>XRD_MB_TERM</t>
  </si>
  <si>
    <t>Title IV Monthly Benefit at XRD</t>
  </si>
  <si>
    <t>PL_EURD</t>
  </si>
  <si>
    <t>Beneficiary's Last Name</t>
  </si>
  <si>
    <t>Type of Retirement</t>
  </si>
  <si>
    <t>Present Value of Termination Benefit Without Load</t>
  </si>
  <si>
    <t>Date of Hire</t>
  </si>
  <si>
    <t>XRD_MB_4022C</t>
  </si>
  <si>
    <t>Spouse's Last Name</t>
  </si>
  <si>
    <t>Form of Annuity for XRD Benefit</t>
  </si>
  <si>
    <t>I</t>
  </si>
  <si>
    <t>Earliest Retirement Date for Payment Purposes</t>
  </si>
  <si>
    <t>PBGC_OPT_PV_NSF</t>
  </si>
  <si>
    <t>Rates</t>
  </si>
  <si>
    <t>LSOPTION</t>
  </si>
  <si>
    <t>TEMP008</t>
  </si>
  <si>
    <t>ERF_NRD_MAXLIM</t>
  </si>
  <si>
    <t>Months Early</t>
  </si>
  <si>
    <t>Status For Payment Purposes</t>
  </si>
  <si>
    <t>VBNF</t>
  </si>
  <si>
    <t>Early Retirement Factor Table</t>
  </si>
  <si>
    <t>Average</t>
  </si>
  <si>
    <t>Participant's Date of Birth</t>
  </si>
  <si>
    <t>PC3_ACOMP</t>
  </si>
  <si>
    <t>SANB_XRD</t>
  </si>
  <si>
    <t>TERM_MB_EURD_NSF</t>
  </si>
  <si>
    <t>XRD Termination Monthly Benefit for Lump Sum Calculation</t>
  </si>
  <si>
    <t>TEMP016</t>
  </si>
  <si>
    <t>EDERDLEV</t>
  </si>
  <si>
    <t>BFCF_EURD_MAXLIM</t>
  </si>
  <si>
    <t>Without Load</t>
  </si>
  <si>
    <t>PVMB_4022C_NO_Q_NO_L</t>
  </si>
  <si>
    <t>PC3_VS</t>
  </si>
  <si>
    <t>Beneficiary's Date of Birth for the Valuation</t>
  </si>
  <si>
    <t>D001</t>
  </si>
  <si>
    <t>Present Value of Title IV QPSA Benefit</t>
  </si>
  <si>
    <t>BFCF_XRD_MAXLIM</t>
  </si>
  <si>
    <t>SubTotal ($200 per participant + flat rate):</t>
  </si>
  <si>
    <t>Calculated Credited Service at DOPT</t>
  </si>
  <si>
    <t>PBGC_OPT_JS50</t>
  </si>
  <si>
    <t>Participant_Criteria</t>
  </si>
  <si>
    <t>TEMP017</t>
  </si>
  <si>
    <t>N289</t>
  </si>
  <si>
    <t>BFNAME</t>
  </si>
  <si>
    <t>PHS</t>
  </si>
  <si>
    <t>PC6_TOTAL_PV</t>
  </si>
  <si>
    <t>** $13.00 rate effective 04/01/1989 applied retroactively</t>
  </si>
  <si>
    <t>C1.CUSNUM</t>
  </si>
  <si>
    <t xml:space="preserve">to terminations &amp; retirements after 04/01/1987    </t>
  </si>
  <si>
    <t>S003</t>
  </si>
  <si>
    <t>Earliest Unreduced Retirement Age as of DOPT for XRA Determination</t>
  </si>
  <si>
    <t>Date of Retirement</t>
  </si>
  <si>
    <t>Present Value of 4022c Benefit Without Load</t>
  </si>
  <si>
    <t>D002</t>
  </si>
  <si>
    <t>PBGC Late Retirement Factor</t>
  </si>
  <si>
    <t>FNAME</t>
  </si>
  <si>
    <t>Termination Monthly Benefit Payable to Surviving Spouse at XRD</t>
  </si>
  <si>
    <t>Present Value of Plan Benefit Liability Without QPSA and Load</t>
  </si>
  <si>
    <t>Lump Sum Rates</t>
  </si>
  <si>
    <t>4022(c) Paragraphs for Benefits in Pay</t>
  </si>
  <si>
    <t>Surivor Percentage for ARD Form of Annuity</t>
  </si>
  <si>
    <t>TEMP018</t>
  </si>
  <si>
    <t>PC3_PROJ_NRD_BEN</t>
  </si>
  <si>
    <t>MAXLIM_DOPT</t>
  </si>
  <si>
    <t>PVPBL_ANN_RATES_NO_LOAD</t>
  </si>
  <si>
    <t>ME_XRD_MAXLIM</t>
  </si>
  <si>
    <t>Load for Title IV Liability</t>
  </si>
  <si>
    <t>S004</t>
  </si>
  <si>
    <t>PROB_DEATH</t>
  </si>
  <si>
    <t>DORNSF Field name</t>
  </si>
  <si>
    <t>LS_QPSA</t>
  </si>
  <si>
    <t>PC5_4022C_AR</t>
  </si>
  <si>
    <t>QPSA_INDICATOR</t>
  </si>
  <si>
    <t>SNRA</t>
  </si>
  <si>
    <t>(11)</t>
  </si>
  <si>
    <t>EURD Field name</t>
  </si>
  <si>
    <t>Spouse's Social Security Number</t>
  </si>
  <si>
    <t>MAXLIM_EURD</t>
  </si>
  <si>
    <t>End Date for Earliest Unreduced Retirement Benefit</t>
  </si>
  <si>
    <t>S005</t>
  </si>
  <si>
    <t>ENTER CELL CW11</t>
  </si>
  <si>
    <t>Months Certain for XRD Form of Annuity</t>
  </si>
  <si>
    <t>ML_ERD</t>
  </si>
  <si>
    <t>Plan's Earliest Unreduced Retirement Date at DOPT</t>
  </si>
  <si>
    <t>Load for Termination Benefit Liability</t>
  </si>
  <si>
    <t>Spouse's First Name</t>
  </si>
  <si>
    <t>BNNFA_LOAD</t>
  </si>
  <si>
    <t>BFCF for Max at XRD</t>
  </si>
  <si>
    <t>PBGC Optional 15C&amp;C Benefit Amount</t>
  </si>
  <si>
    <t>REASON</t>
  </si>
  <si>
    <t>OFA_INDICATOR</t>
  </si>
  <si>
    <t>AEQ</t>
  </si>
  <si>
    <t>Separated Vesteds</t>
  </si>
  <si>
    <t>CS</t>
  </si>
  <si>
    <t>Actual Retirement Form of Annuity</t>
  </si>
  <si>
    <t>Participant's First Name</t>
  </si>
  <si>
    <t>S006</t>
  </si>
  <si>
    <t>Title IV:</t>
  </si>
  <si>
    <t>MAXLIM_XRD</t>
  </si>
  <si>
    <t>SBCD</t>
  </si>
  <si>
    <t>SANB_EURD</t>
  </si>
  <si>
    <t>ANNUITY_TYPE</t>
  </si>
  <si>
    <t>BFCF_ARD_MAXLIM</t>
  </si>
  <si>
    <t>BNNFA_PVMB_NO_LOAD</t>
  </si>
  <si>
    <t>.</t>
  </si>
  <si>
    <t>S014</t>
  </si>
  <si>
    <t>EURD_MB_TITLE_IV_NSF</t>
  </si>
  <si>
    <t>Months Remaining in Certain Period After Participant's Death</t>
  </si>
  <si>
    <t>BS_IND</t>
  </si>
  <si>
    <t>Calculated Date of Participation</t>
  </si>
  <si>
    <t>N300</t>
  </si>
  <si>
    <t>XRD_MB_TITLE_IV</t>
  </si>
  <si>
    <t>BSEX</t>
  </si>
  <si>
    <t>Accrued Monthly Benefit at DOPT</t>
  </si>
  <si>
    <t>NRA</t>
  </si>
  <si>
    <t>PL_ERD</t>
  </si>
  <si>
    <t>LRF_XRD</t>
  </si>
  <si>
    <t>Earliest Unreduced Retirement Date for Payment Purposes</t>
  </si>
  <si>
    <t>Present Value of Termination Benefit Including Load</t>
  </si>
  <si>
    <t>Normal Single Form of Annuity</t>
  </si>
  <si>
    <t>TERM_SURV_MB_ERD</t>
  </si>
  <si>
    <t>Spouse J&amp;S Waiver Code</t>
  </si>
  <si>
    <t>Present Value of Plan Benefit Liability Without Load</t>
  </si>
  <si>
    <t>Earliest_Payment_Date</t>
  </si>
  <si>
    <t>4022c: (D x F):</t>
  </si>
  <si>
    <t>ME_ARD_MAXLIM</t>
  </si>
  <si>
    <t>Vesting Percent</t>
  </si>
  <si>
    <t>TERM_MB_NRD_NSF</t>
  </si>
  <si>
    <t>TEMP009</t>
  </si>
  <si>
    <t>Load Percentage (Fixed)</t>
  </si>
  <si>
    <t>(10)</t>
  </si>
  <si>
    <t>TERM_SURV_MB_EURD</t>
  </si>
  <si>
    <t>0</t>
  </si>
  <si>
    <t>PVMB_4022C</t>
  </si>
  <si>
    <t>PBGC MAX</t>
  </si>
  <si>
    <t>Beneficiary Benefit Commencement Date</t>
  </si>
  <si>
    <t>ME_ERD</t>
  </si>
  <si>
    <t>ANB_EURD</t>
  </si>
  <si>
    <t>Marital Status</t>
  </si>
  <si>
    <t>Beneficiary's Age Nearest Birthday at DOPT</t>
  </si>
  <si>
    <t>BS_PARAGRAPH_1</t>
  </si>
  <si>
    <t>ANB_XRD</t>
  </si>
  <si>
    <t>PA_AMB</t>
  </si>
  <si>
    <t>ML_ARD</t>
  </si>
  <si>
    <t>Deferred Beneficiaries</t>
  </si>
  <si>
    <t>C1.ID</t>
  </si>
  <si>
    <t>All_Criteria</t>
  </si>
  <si>
    <t>Total PVPBL (no load) for Annuity Type Participants:</t>
  </si>
  <si>
    <t>SSEX</t>
  </si>
  <si>
    <t>OFA Output Indicator</t>
  </si>
  <si>
    <t>PVMB_TITLE_IV</t>
  </si>
  <si>
    <t>Months Certain for ARD Form of Annuity</t>
  </si>
  <si>
    <t>Survivor Benefit from PBGC Optional J&amp;50% Benefit Amount</t>
  </si>
  <si>
    <t>PVMB_TERM_QPSA</t>
  </si>
  <si>
    <t>MTHS</t>
  </si>
  <si>
    <t>DORNSF I/O/B</t>
  </si>
  <si>
    <t>D003</t>
  </si>
  <si>
    <t>NRD</t>
  </si>
  <si>
    <t>ANNUITY_STATUS_PAY</t>
  </si>
  <si>
    <t>Ending Age for XRD Benefit</t>
  </si>
  <si>
    <t>ANNUITY_STATUS_VAL</t>
  </si>
  <si>
    <t>PBGC Optional J&amp;75%S Benefit Amount</t>
  </si>
  <si>
    <t>NA</t>
  </si>
  <si>
    <t>ERD Field name</t>
  </si>
  <si>
    <t>M</t>
  </si>
  <si>
    <t>Year of Termination</t>
  </si>
  <si>
    <t>PRSAC</t>
  </si>
  <si>
    <t>BFCF_ERD</t>
  </si>
  <si>
    <t>Beneficiary's First Name</t>
  </si>
  <si>
    <t>ARD_MB_TITLE_IV</t>
  </si>
  <si>
    <t>D004</t>
  </si>
  <si>
    <t>Pre-Retirement Annuity Waiver Code</t>
  </si>
  <si>
    <t>Load</t>
  </si>
  <si>
    <t>Date of Death</t>
  </si>
  <si>
    <t>SLNAME</t>
  </si>
  <si>
    <t>PBGC Optional J&amp;100%S Benefit Amount</t>
  </si>
  <si>
    <t>DOP</t>
  </si>
  <si>
    <t>BDOB</t>
  </si>
  <si>
    <t>TERM_SURV_MB_ARD</t>
  </si>
  <si>
    <t>FORM_CODE_DEATH</t>
  </si>
  <si>
    <t>Present Value of Total 4022c Benefit Including Load</t>
  </si>
  <si>
    <t>PBGC_OFA_COMMENTS</t>
  </si>
  <si>
    <t>N020</t>
  </si>
  <si>
    <t>1% + (Initial Annuity Interest Rate - 7.5%)/10:</t>
  </si>
  <si>
    <t>PRESENT VALUE TOTALS</t>
  </si>
  <si>
    <t>AMB</t>
  </si>
  <si>
    <t>Present Value of 4022c Benefit Without QPSA and Load</t>
  </si>
  <si>
    <t>N</t>
  </si>
  <si>
    <t>Participant Age</t>
  </si>
  <si>
    <t>Load for Unfunded Non-Guaranteed Benefit Liability</t>
  </si>
  <si>
    <t>D005</t>
  </si>
  <si>
    <t>Date of Termination of Employment</t>
  </si>
  <si>
    <t>PC6_LSDB_PVMB</t>
  </si>
  <si>
    <t>Factor</t>
  </si>
  <si>
    <t>Present Value</t>
  </si>
  <si>
    <t>PBGC_OPT_JS75</t>
  </si>
  <si>
    <t>Starting Age for XRD Benefit</t>
  </si>
  <si>
    <t>Spouse's Date of Birth</t>
  </si>
  <si>
    <t>ME_ARD</t>
  </si>
  <si>
    <t>Annuity Rates</t>
  </si>
  <si>
    <t>Survivor Benefit from PBGC Optional J&amp;75% Benefit Amount</t>
  </si>
  <si>
    <t>O</t>
  </si>
  <si>
    <t>Lump Sum Value for QPSA Benefit</t>
  </si>
  <si>
    <t>Total 4022(c) Assets</t>
  </si>
  <si>
    <t>S007</t>
  </si>
  <si>
    <t>FIELDS</t>
  </si>
  <si>
    <t>Beneficiary's Gender</t>
  </si>
  <si>
    <t>Present Value of Unfunded Non-Guaranteed Benefit Without Load</t>
  </si>
  <si>
    <t>PBGC_OPT_5CC</t>
  </si>
  <si>
    <t>Plan Administrator Date of Participation</t>
  </si>
  <si>
    <t>TERM_LW_XRA</t>
  </si>
  <si>
    <t>Age Nearest Birthday at DOPT</t>
  </si>
  <si>
    <t>S008</t>
  </si>
  <si>
    <t>Benefit in Elected PBGC Optional Form of Annuity</t>
  </si>
  <si>
    <t>SDOB</t>
  </si>
  <si>
    <t>PROJ_NRD_BEN</t>
  </si>
  <si>
    <t>ANB</t>
  </si>
  <si>
    <t>Load for Plan Benefit Liability</t>
  </si>
  <si>
    <t>Benefit Form Conversion Factor at XRD for Lump Sum Calculation</t>
  </si>
  <si>
    <t>SS_FACTOR</t>
  </si>
  <si>
    <t>Beneficiary's Age Nearest Birthday at XRD</t>
  </si>
  <si>
    <t>Present Value of Title IV Benefit Including Load</t>
  </si>
  <si>
    <t>Beneficiary Age   -------&gt;</t>
  </si>
  <si>
    <t>Max at 65 as SLA</t>
  </si>
  <si>
    <t>PVPBL_ANN_RATES_NO_Q_NO_L</t>
  </si>
  <si>
    <t>S009</t>
  </si>
  <si>
    <t>BFCF_ARD</t>
  </si>
  <si>
    <t>Total Load (subtotal + excess load):</t>
  </si>
  <si>
    <t>PVF_LEV_LS</t>
  </si>
  <si>
    <t>Plan's Earliest Retirement Date at DOPT</t>
  </si>
  <si>
    <t>Benefit Statement Indicator</t>
  </si>
  <si>
    <t>N290</t>
  </si>
  <si>
    <t>1</t>
  </si>
  <si>
    <t>PC3_CS</t>
  </si>
  <si>
    <t>Beneficiary's Date of Birth</t>
  </si>
  <si>
    <t>FORM_CODE_NMF</t>
  </si>
  <si>
    <t>PVMB_TERM</t>
  </si>
  <si>
    <t>Present Value of Title IV Benefit Without Load</t>
  </si>
  <si>
    <t>N003</t>
  </si>
  <si>
    <t>Maximum</t>
  </si>
  <si>
    <t>Term:</t>
  </si>
  <si>
    <t>Normal Retirement Age</t>
  </si>
  <si>
    <t>XRD_PMB</t>
  </si>
  <si>
    <t>PBGC Optional J&amp;50%S Benefit Amount</t>
  </si>
  <si>
    <t>BS_PARAGRAPH_2</t>
  </si>
  <si>
    <t>PVPBL_ANN_RATES</t>
  </si>
  <si>
    <t>QPSA_PVF</t>
  </si>
  <si>
    <t>Year of Birth</t>
  </si>
  <si>
    <t>PC3_AMB</t>
  </si>
  <si>
    <t>PC6_LOAD_PVMB</t>
  </si>
  <si>
    <t>BFCF_ERD_MAXLIM</t>
  </si>
  <si>
    <t>ML_EURD_MAXLIM</t>
  </si>
  <si>
    <t>MAXLIM_NRD</t>
  </si>
  <si>
    <t>N291</t>
  </si>
  <si>
    <t>ERF_XRD_MAXLIM</t>
  </si>
  <si>
    <t>C1.RETSTAT</t>
  </si>
  <si>
    <t>2</t>
  </si>
  <si>
    <t>Load for 4022c Benefit Liability</t>
  </si>
  <si>
    <t>FORM_CODE</t>
  </si>
  <si>
    <t>Form of Annuity for Beneficiary After Participant's Death</t>
  </si>
  <si>
    <t>ERD_PMB</t>
  </si>
  <si>
    <t>N004</t>
  </si>
  <si>
    <t>LRF_XRD_MAXLIM</t>
  </si>
  <si>
    <t>Termination</t>
  </si>
  <si>
    <t>Number of Annuity Type Participants:</t>
  </si>
  <si>
    <t>DOB</t>
  </si>
  <si>
    <t>EURD I/O/B</t>
  </si>
  <si>
    <t>RBD_DT</t>
  </si>
  <si>
    <t>BS_PARAGRAPH_3</t>
  </si>
  <si>
    <t>Participant's Gender</t>
  </si>
  <si>
    <t>Present Value of 4022c QPSA Benefit</t>
  </si>
  <si>
    <t>Field Name</t>
  </si>
  <si>
    <t>ERD I/O/B</t>
  </si>
  <si>
    <t>XRD_MB_LS</t>
  </si>
  <si>
    <t>Term_LW_ANB</t>
  </si>
  <si>
    <t>Excess Load (6) x (8):</t>
  </si>
  <si>
    <t>LS_TERM</t>
  </si>
  <si>
    <t>PBL:</t>
  </si>
  <si>
    <t>ERD_MB_4022C_NSF</t>
  </si>
  <si>
    <t>ARA</t>
  </si>
  <si>
    <t>Termination Monthly Benefit Payable at XRD</t>
  </si>
  <si>
    <t>PBGC Optional 5C&amp;C Benefit Amount</t>
  </si>
  <si>
    <t>Late Retirement Factor Table</t>
  </si>
  <si>
    <t>SANB_ERD</t>
  </si>
  <si>
    <t>SANB</t>
  </si>
  <si>
    <t>BS_PARAGRAPH_4</t>
  </si>
  <si>
    <t>XRD_SURV_MB_TERM</t>
  </si>
  <si>
    <t>BDEUAS</t>
  </si>
  <si>
    <t>Plan Administrator Credited Service</t>
  </si>
  <si>
    <t>A</t>
  </si>
  <si>
    <t>Calculated Service at DOPT-3</t>
  </si>
  <si>
    <t>PBGC Optional Forms Rates</t>
  </si>
  <si>
    <t>FORM_CODE_NSF</t>
  </si>
  <si>
    <t>Age</t>
  </si>
  <si>
    <t>UBL: (C + D)</t>
  </si>
  <si>
    <t>Present Value of Unfunded Non-Guaranteed Benefit Including Load</t>
  </si>
  <si>
    <t>DOD</t>
  </si>
  <si>
    <t>PVMB_TITLE_IV_QPSA</t>
  </si>
  <si>
    <t>BS_PARAGRAPH_5</t>
  </si>
  <si>
    <t>SPC_VAL</t>
  </si>
  <si>
    <t>Beneficiary's Expected Retirement Age</t>
  </si>
  <si>
    <t>B</t>
  </si>
  <si>
    <t>Vesting Service at DOPT</t>
  </si>
  <si>
    <t>PVMB_TERM_NO_LOAD</t>
  </si>
  <si>
    <t>Max at XRD</t>
  </si>
  <si>
    <t>N392</t>
  </si>
  <si>
    <t>ML_EURD</t>
  </si>
  <si>
    <t>(1)</t>
  </si>
  <si>
    <t>PVMB_TITLE_IV_NO_LOAD</t>
  </si>
  <si>
    <t>Earliest Retirement Age as of DOPT for XRA Determination</t>
  </si>
  <si>
    <t>DOR</t>
  </si>
  <si>
    <t>BDOD</t>
  </si>
  <si>
    <t>BFCF_XRD_LS</t>
  </si>
  <si>
    <t>ML_XRD</t>
  </si>
  <si>
    <t>P</t>
  </si>
  <si>
    <t>NRD_MB_TITLE_IV_NSF</t>
  </si>
  <si>
    <t>BLNAME</t>
  </si>
  <si>
    <t>C</t>
  </si>
  <si>
    <t>PBGC Optional 10C&amp;C Benefit Amount</t>
  </si>
  <si>
    <t>LRF</t>
  </si>
  <si>
    <t>N393</t>
  </si>
  <si>
    <t>EDEUAS</t>
  </si>
  <si>
    <t>PBGC_OPT_15CC</t>
  </si>
  <si>
    <t>DOPT</t>
  </si>
  <si>
    <t>ERF_ARD_MAXLIM</t>
  </si>
  <si>
    <t>VP</t>
  </si>
  <si>
    <t>LRF_ARD_MAXLIM</t>
  </si>
  <si>
    <t>EURD_PMB</t>
  </si>
  <si>
    <t>SARA</t>
  </si>
  <si>
    <t>Benefit Change Indicator</t>
  </si>
  <si>
    <t>ERA_XRA</t>
  </si>
  <si>
    <t>Present Value of Plan QPSA Benefit Liability</t>
  </si>
  <si>
    <t>Present Value Factor Using Lump Sum Rates and Mortality Assumptions</t>
  </si>
  <si>
    <t>MIL Paragraph for Benefits in Pay</t>
  </si>
  <si>
    <t>Estimated Benefit in Pay for Beneficiary of Participant who Died after Retiring</t>
  </si>
  <si>
    <t>CE_TRACK1</t>
  </si>
  <si>
    <t>Continuous Eligibility Track 1</t>
  </si>
  <si>
    <t>CE_TRACK2</t>
  </si>
  <si>
    <t>CE_TRACK3</t>
  </si>
  <si>
    <t>CE_TRACK4</t>
  </si>
  <si>
    <t>CE_TRACK5</t>
  </si>
  <si>
    <t>CE_TRACK6</t>
  </si>
  <si>
    <t>Continuous Eligibility Track 2</t>
  </si>
  <si>
    <t>Continuous Eligibility Track 3</t>
  </si>
  <si>
    <t>Continuous Eligibility Track 4</t>
  </si>
  <si>
    <t>Continuous Eligibility Track 5</t>
  </si>
  <si>
    <t>Continuous Eligibility Track 6</t>
  </si>
  <si>
    <t>Required Begin Date</t>
  </si>
  <si>
    <t>T016</t>
  </si>
  <si>
    <t>RETRO_DOR</t>
  </si>
  <si>
    <t>RETRO I/O/B</t>
  </si>
  <si>
    <t>RETRO Field Name</t>
  </si>
  <si>
    <t>RETRO_MB_TITLE_IV</t>
  </si>
  <si>
    <t>RETRO_MB_4022C</t>
  </si>
  <si>
    <t>RETRO_MB_TERM</t>
  </si>
  <si>
    <t>RETRO_SURV_MB_TERM</t>
  </si>
  <si>
    <t>N021</t>
  </si>
  <si>
    <t>I001</t>
  </si>
  <si>
    <t>I002</t>
  </si>
  <si>
    <t>I003</t>
  </si>
  <si>
    <t>N022</t>
  </si>
  <si>
    <t>N023</t>
  </si>
  <si>
    <t>N024</t>
  </si>
  <si>
    <t>N025</t>
  </si>
  <si>
    <t>I004</t>
  </si>
  <si>
    <t>N026</t>
  </si>
  <si>
    <t>N027</t>
  </si>
  <si>
    <t>N028</t>
  </si>
  <si>
    <t>I005</t>
  </si>
  <si>
    <t>I006</t>
  </si>
  <si>
    <t>RBD I/O/B</t>
  </si>
  <si>
    <t>RBD Field Name</t>
  </si>
  <si>
    <t>TEMP021</t>
  </si>
  <si>
    <t>I007</t>
  </si>
  <si>
    <t>N029</t>
  </si>
  <si>
    <t>I008</t>
  </si>
  <si>
    <t>I009</t>
  </si>
  <si>
    <t>N030</t>
  </si>
  <si>
    <t>I010</t>
  </si>
  <si>
    <t>N031</t>
  </si>
  <si>
    <t>N032</t>
  </si>
  <si>
    <t>I011</t>
  </si>
  <si>
    <t>N034</t>
  </si>
  <si>
    <t>I012</t>
  </si>
  <si>
    <t>N035</t>
  </si>
  <si>
    <t>N036</t>
  </si>
  <si>
    <t>N038</t>
  </si>
  <si>
    <t>RBD_MB_TITLE_IV</t>
  </si>
  <si>
    <t>N039</t>
  </si>
  <si>
    <t>RBD_MB_4022C</t>
  </si>
  <si>
    <t>RBD_MB_TERM</t>
  </si>
  <si>
    <t>RBD_SURV_MB_TERM</t>
  </si>
  <si>
    <t>XRD_MB_QPSA_TERM</t>
  </si>
  <si>
    <t>FORM_CODE_QPSA</t>
  </si>
  <si>
    <t>MTHS_QPSA</t>
  </si>
  <si>
    <t>TEMP_QPSA</t>
  </si>
  <si>
    <t>QPSA Form of Annuity</t>
  </si>
  <si>
    <t>Months Certain for QPSA Form of Annuity</t>
  </si>
  <si>
    <t>Temporary Period for QPSA Form of Annuity</t>
  </si>
  <si>
    <t>C1.CASE</t>
  </si>
  <si>
    <t>QPSA I/O/B</t>
  </si>
  <si>
    <t>QPSA Field name</t>
  </si>
  <si>
    <t>FORM_CODE_PTP_QPSA</t>
  </si>
  <si>
    <t>Participant's Form of Annuty Upon Which QPSA Benefit is Based</t>
  </si>
  <si>
    <t>SPC_PTP_QPSA</t>
  </si>
  <si>
    <t>Survivor Percentage for Participant's Benefit Upon Which QPSA Benefit is Based</t>
  </si>
  <si>
    <t>MTHS_PTP_QPSA</t>
  </si>
  <si>
    <t>Months Certain for Participant's Benefit Upon Which QPSA Benefit is Based</t>
  </si>
  <si>
    <t>TERM_MB_ARD_FF</t>
  </si>
  <si>
    <t>T021</t>
  </si>
  <si>
    <t>Spouse Date of Birth for QPSA Calculation</t>
  </si>
  <si>
    <t>D012</t>
  </si>
  <si>
    <t>Benefit Form Conversion Factor Table SLA to J&amp;50%S</t>
  </si>
  <si>
    <t>Participant's Actual Retirement Age</t>
  </si>
  <si>
    <t>Beneficiary's Age at Participant's ARD</t>
  </si>
  <si>
    <t>LEV_MB_ARD</t>
  </si>
  <si>
    <t xml:space="preserve">Primary Level Life ARD Benefit in Pay-status </t>
  </si>
  <si>
    <t>Participant's Required Beginning Date</t>
  </si>
  <si>
    <t>Benefit Change Indicator:                          I - Increase,                                  D - Decrease,                              M - Match,                                N - No Change</t>
  </si>
  <si>
    <t>Date Participant Attains Age 21</t>
  </si>
  <si>
    <t>Date Participant Completes 1 Yr. of Service</t>
  </si>
  <si>
    <t>3</t>
  </si>
  <si>
    <t>Separated Vested</t>
  </si>
  <si>
    <t>PC6_LEVEL_MB</t>
  </si>
  <si>
    <t>PC6_4022C_AR</t>
  </si>
  <si>
    <t>PC6_ANNUITY_PVMB</t>
  </si>
  <si>
    <t>PC6_QPSA_PVMB</t>
  </si>
  <si>
    <t>PC6 4022(c) Allocation Ratio</t>
  </si>
  <si>
    <t>Present Value of Net PC6 Benefit Without QPSA and Load</t>
  </si>
  <si>
    <t>Present Value of Net PC6 QPSA Benefit</t>
  </si>
  <si>
    <t>Total PC6 Liability</t>
  </si>
  <si>
    <t>PC6_4022C_AR (Formula)</t>
  </si>
  <si>
    <t>PC6_4022C_AR (Fixed)</t>
  </si>
  <si>
    <t>Type of Annuity:        0=Plan NSF,             1=Plan NMF,           2=Plan Optional Form,           3=PBGC Optional Form</t>
  </si>
  <si>
    <t>Primary Level Life ARD Benefit in Pay-status (for Summary section of BD Statement)</t>
  </si>
  <si>
    <t>Continuous Eligibility Track 1 (Participant Benefiting from the Disability Max or not applying the ANL due to SSA Disability)</t>
  </si>
  <si>
    <t>Continuous Eligibility Track 2 (Participant Receiving Plan Disability Benefit)</t>
  </si>
  <si>
    <t>Continuous Eligibility Track 3 (SSA Disability Eligibility being Required for the Plan Disability Benefit)</t>
  </si>
  <si>
    <t>Continuous Eligibility Track 4 (Participant Receiving Temporary Supplement subject to Earnings Limitation Offset)</t>
  </si>
  <si>
    <t>Continuous Eligibility Track 5 (Participant Receiving Benefit subject to Worker’s Compensation Offset)</t>
  </si>
  <si>
    <t>Continuous Eligibility Track 6 (Participant Receiving Benefit subject to Some Other Future Offset)</t>
  </si>
  <si>
    <t>DOBF</t>
  </si>
  <si>
    <t>Load for Net PC6 Liability</t>
  </si>
  <si>
    <t>Present Value of Net PC6 Benefit Including Load</t>
  </si>
  <si>
    <t>N015</t>
  </si>
  <si>
    <t xml:space="preserve"> Plan Monthly Benefit at XRD (no Form)</t>
  </si>
  <si>
    <t>TEMP020</t>
  </si>
  <si>
    <t>Retroactive Retirement Date</t>
  </si>
  <si>
    <t>Retroactive Retirement Indicator</t>
  </si>
  <si>
    <t>T019</t>
  </si>
  <si>
    <t>Post-DOPT Lump Sum Distribution Date</t>
  </si>
  <si>
    <t>Post-DOPT Lump Sum Distribution Amount</t>
  </si>
  <si>
    <t>D006</t>
  </si>
  <si>
    <t>N060</t>
  </si>
  <si>
    <t>LS_TERM:</t>
  </si>
  <si>
    <t>LS_TERM_RESIDUAL</t>
  </si>
  <si>
    <t>POPLIM</t>
  </si>
  <si>
    <t>N040</t>
  </si>
  <si>
    <t>LRF from DOTE to NRD for P with DOTE &gt; NRD</t>
  </si>
  <si>
    <t xml:space="preserve">XRD_MB_QPSA_TERM </t>
  </si>
  <si>
    <t>QPSA Form of Benefit Description</t>
  </si>
  <si>
    <t>&gt;'0</t>
  </si>
  <si>
    <t>FORM_CODE_PTP</t>
  </si>
  <si>
    <t>SPC_PTP</t>
  </si>
  <si>
    <t>MTHS_PTP</t>
  </si>
  <si>
    <t>PC5_LOAD_PVMB</t>
  </si>
  <si>
    <t>PC5_TOTAL_PV</t>
  </si>
  <si>
    <t>BS_Ind</t>
  </si>
  <si>
    <t>BR_Ind</t>
  </si>
  <si>
    <t>SB</t>
  </si>
  <si>
    <t>Spouse Benefit Commencement Date</t>
  </si>
  <si>
    <t>Participant's Form of Annuity for ARD Benefit</t>
  </si>
  <si>
    <t>Participant's Surivor Percentage for ARD Form of Annuity</t>
  </si>
  <si>
    <t>Participant's Months Certain for ARD Form of Annuity</t>
  </si>
  <si>
    <t>Beneficiary Form of Annuity for ARD Benefit</t>
  </si>
  <si>
    <t>Beneficiary Surivor Percentage for ARD Form of Annuity</t>
  </si>
  <si>
    <t>Beneficiary Months Certain for ARD Form of Annuity</t>
  </si>
  <si>
    <t>Monthly Benefit in Pay at DOPT</t>
  </si>
  <si>
    <t>Present Value of Net PC5 Benefit Without QPSA and Load</t>
  </si>
  <si>
    <t>Load for Net PC5 Liability</t>
  </si>
  <si>
    <t>Present Value of Net PC5 Benefit Including Load</t>
  </si>
  <si>
    <t>XRD Benefit Limit</t>
  </si>
  <si>
    <t xml:space="preserve"> Plan Monthly Benefit at XRD in Final Form          (Before Majority Owner P/I)</t>
  </si>
  <si>
    <t>Months Late for Max at XRD</t>
  </si>
  <si>
    <t>LRF for Max at XRD</t>
  </si>
  <si>
    <t>Beneficiaries in Pay</t>
  </si>
  <si>
    <t>Present Value of PC6 Lump Sum Death Benefit Without Expense Load</t>
  </si>
  <si>
    <t>N070</t>
  </si>
  <si>
    <t>Valuation PC6 Monthly Benefit</t>
  </si>
  <si>
    <t xml:space="preserve">Primary Level Life XRD PC6 Monthly Benefit </t>
  </si>
  <si>
    <t>Load for Lump Sum Death Benefit QPSA Liabiliity</t>
  </si>
  <si>
    <t>Present Value of Lump Sum Death Benefit QPSA (Including Load)</t>
  </si>
  <si>
    <t>Residual Lump Sum Value Payable to Participant</t>
  </si>
  <si>
    <t>ENTER CELL DM57</t>
  </si>
  <si>
    <t>SHS</t>
  </si>
  <si>
    <t>Beneficiary's Health Status</t>
  </si>
  <si>
    <t>EURD</t>
  </si>
  <si>
    <t>ERD</t>
  </si>
  <si>
    <t>Earliest Unreduced Retirement Date at DOPT</t>
  </si>
  <si>
    <t>Earliest Retirement Date at DOPT</t>
  </si>
  <si>
    <t>Beneficiary's Benefit Commencement Date</t>
  </si>
  <si>
    <t>Termination ARD Survivor Monthly Benefit</t>
  </si>
  <si>
    <t>Form of Annuity for Beneficiary after Participant's Post-DOPT Death (same codes as FORM_CODE in C1 table)</t>
  </si>
  <si>
    <t>Months Certain Remaining for Beneficiary after Participan't Post-DOPT Death</t>
  </si>
  <si>
    <t>Worksheet_name</t>
  </si>
  <si>
    <t>Display_name</t>
  </si>
  <si>
    <t>L1_Section</t>
  </si>
  <si>
    <t>L2_Section</t>
  </si>
  <si>
    <t>Show_in_TOC</t>
  </si>
  <si>
    <t>Descriptions</t>
  </si>
  <si>
    <t>Actives</t>
  </si>
  <si>
    <t>Tables</t>
  </si>
  <si>
    <t>mySort</t>
  </si>
  <si>
    <t>Especial</t>
  </si>
  <si>
    <t>Esta gente esta retirada ya. Hace tiempo que estan recibiendo el cacao.</t>
  </si>
  <si>
    <t>Ver Retirados</t>
  </si>
  <si>
    <t>Ver Beneficiarios en Pago</t>
  </si>
  <si>
    <t>Ver Pensiones Diferidas</t>
  </si>
  <si>
    <t>Ver Activos</t>
  </si>
  <si>
    <t>Ver Tablas Usadas</t>
  </si>
  <si>
    <t>Retired</t>
  </si>
  <si>
    <t>Beneficiaries-in-Pay</t>
  </si>
  <si>
    <t>before DOPT</t>
  </si>
  <si>
    <t>as of DOPT</t>
  </si>
  <si>
    <t>used to do calculations</t>
  </si>
  <si>
    <t>Active Population</t>
  </si>
  <si>
    <t>Separated Vested Population</t>
  </si>
  <si>
    <t>Todos los beneficiarios, conyuges o no-conyuges estan representados en esta tabla relacional.</t>
  </si>
  <si>
    <t>Participantes que a DOPT estan trabajando, osea, participando.</t>
  </si>
  <si>
    <t>Tablas de mortalidad, intereses de PBGC, y cualquier otra tabla miscelanea estara aqui.</t>
  </si>
  <si>
    <t>Aquellos participantes que esten esperando el Retiro (o tienen beneficios vested) estan aqui en esta tabla.</t>
  </si>
  <si>
    <t>RUN</t>
  </si>
  <si>
    <t>QPSA</t>
  </si>
  <si>
    <t>RETRO</t>
  </si>
  <si>
    <t>RBD</t>
  </si>
  <si>
    <t>DORNSF</t>
  </si>
  <si>
    <t>CELL_ADDRESS</t>
  </si>
  <si>
    <t>FIELD_NAME_AT_RUN</t>
  </si>
  <si>
    <t>B2</t>
  </si>
  <si>
    <t>C2</t>
  </si>
  <si>
    <t>D2</t>
  </si>
  <si>
    <t>E2</t>
  </si>
  <si>
    <t>F2</t>
  </si>
  <si>
    <t>G2</t>
  </si>
  <si>
    <t>H2</t>
  </si>
  <si>
    <t>I2</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</si>
  <si>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</si>
  <si>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</si>
  <si>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</si>
  <si>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</si>
  <si>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</si>
  <si>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</si>
  <si>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</si>
  <si>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</si>
  <si>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</si>
  <si>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</si>
  <si>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</si>
  <si>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</si>
  <si>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</si>
  <si>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</si>
  <si>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</si>
  <si>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</si>
  <si>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</si>
  <si>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</si>
  <si>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</si>
  <si>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</si>
  <si>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</si>
  <si>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</si>
  <si>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</si>
  <si>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</si>
  <si>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</si>
  <si>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</si>
  <si>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</si>
  <si>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</si>
  <si>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</si>
  <si>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</si>
  <si>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AN2</t>
  </si>
  <si>
    <t>AO2</t>
  </si>
  <si>
    <t>AP2</t>
  </si>
  <si>
    <t>AQ2</t>
  </si>
  <si>
    <t>AR2</t>
  </si>
  <si>
    <t>AS2</t>
  </si>
  <si>
    <t>AT2</t>
  </si>
  <si>
    <t>AU2</t>
  </si>
  <si>
    <t>AV2</t>
  </si>
  <si>
    <t>AW2</t>
  </si>
  <si>
    <t>AX2</t>
  </si>
  <si>
    <t>AY2</t>
  </si>
  <si>
    <t>AZ2</t>
  </si>
  <si>
    <t>BA2</t>
  </si>
  <si>
    <t>BB2</t>
  </si>
  <si>
    <t>BC2</t>
  </si>
  <si>
    <t>BD2</t>
  </si>
  <si>
    <t>BE2</t>
  </si>
  <si>
    <t>BF2</t>
  </si>
  <si>
    <t>BG2</t>
  </si>
  <si>
    <t>BH2</t>
  </si>
  <si>
    <t>BI2</t>
  </si>
  <si>
    <t>BJ2</t>
  </si>
  <si>
    <t>BK2</t>
  </si>
  <si>
    <t>BL2</t>
  </si>
  <si>
    <t>BM2</t>
  </si>
  <si>
    <t>BN2</t>
  </si>
  <si>
    <t>BO2</t>
  </si>
  <si>
    <t>BP2</t>
  </si>
  <si>
    <t>BQ2</t>
  </si>
  <si>
    <t>BR2</t>
  </si>
  <si>
    <t>BS2</t>
  </si>
  <si>
    <t>BT2</t>
  </si>
  <si>
    <t>BU2</t>
  </si>
  <si>
    <t>BV2</t>
  </si>
  <si>
    <t>BW2</t>
  </si>
  <si>
    <t>BX2</t>
  </si>
  <si>
    <t>BY2</t>
  </si>
  <si>
    <t>BZ2</t>
  </si>
  <si>
    <t>CA2</t>
  </si>
  <si>
    <t>CB2</t>
  </si>
  <si>
    <t>CC2</t>
  </si>
  <si>
    <t>CD2</t>
  </si>
  <si>
    <t>CE2</t>
  </si>
  <si>
    <t>CF2</t>
  </si>
  <si>
    <t>CG2</t>
  </si>
  <si>
    <t>CH2</t>
  </si>
  <si>
    <t>CI2</t>
  </si>
  <si>
    <t>CJ2</t>
  </si>
  <si>
    <t>CK2</t>
  </si>
  <si>
    <t>CL2</t>
  </si>
  <si>
    <t>CM2</t>
  </si>
  <si>
    <t>CN2</t>
  </si>
  <si>
    <t>CO2</t>
  </si>
  <si>
    <t>CP2</t>
  </si>
  <si>
    <t>CQ2</t>
  </si>
  <si>
    <t>CR2</t>
  </si>
  <si>
    <t>CS2</t>
  </si>
  <si>
    <t>CT2</t>
  </si>
  <si>
    <t>CU2</t>
  </si>
  <si>
    <t>CV2</t>
  </si>
  <si>
    <t>CW2</t>
  </si>
  <si>
    <t>CX2</t>
  </si>
  <si>
    <t>CY2</t>
  </si>
  <si>
    <t>CZ2</t>
  </si>
  <si>
    <t>DA2</t>
  </si>
  <si>
    <t>DB2</t>
  </si>
  <si>
    <t>DC2</t>
  </si>
  <si>
    <t>DD2</t>
  </si>
  <si>
    <t>DE2</t>
  </si>
  <si>
    <t>DF2</t>
  </si>
  <si>
    <t>DG2</t>
  </si>
  <si>
    <t>DH2</t>
  </si>
  <si>
    <t>DI2</t>
  </si>
  <si>
    <t>DJ2</t>
  </si>
  <si>
    <t>DK2</t>
  </si>
  <si>
    <t>DL2</t>
  </si>
  <si>
    <t>DM2</t>
  </si>
  <si>
    <t>DN2</t>
  </si>
  <si>
    <t>DO2</t>
  </si>
  <si>
    <t>DP2</t>
  </si>
  <si>
    <t>DQ2</t>
  </si>
  <si>
    <t>DR2</t>
  </si>
  <si>
    <t>DS2</t>
  </si>
  <si>
    <t>DT2</t>
  </si>
  <si>
    <t>DU2</t>
  </si>
  <si>
    <t>DV2</t>
  </si>
  <si>
    <t>DW2</t>
  </si>
  <si>
    <t>DX2</t>
  </si>
  <si>
    <t>DY2</t>
  </si>
  <si>
    <t>DZ2</t>
  </si>
  <si>
    <t>EA2</t>
  </si>
  <si>
    <t>EB2</t>
  </si>
  <si>
    <t>EC2</t>
  </si>
  <si>
    <t>ED2</t>
  </si>
  <si>
    <t>EE2</t>
  </si>
  <si>
    <t>EF2</t>
  </si>
  <si>
    <t>EG2</t>
  </si>
  <si>
    <t>EH2</t>
  </si>
  <si>
    <t>EI2</t>
  </si>
  <si>
    <t>EJ2</t>
  </si>
  <si>
    <t>EK2</t>
  </si>
  <si>
    <t>EL2</t>
  </si>
  <si>
    <t>EM2</t>
  </si>
  <si>
    <t>EN2</t>
  </si>
  <si>
    <t>EO2</t>
  </si>
  <si>
    <t>EP2</t>
  </si>
  <si>
    <t>EQ2</t>
  </si>
  <si>
    <t>ER2</t>
  </si>
  <si>
    <t>ES2</t>
  </si>
  <si>
    <t>ET2</t>
  </si>
  <si>
    <t>EU2</t>
  </si>
  <si>
    <t>EV2</t>
  </si>
  <si>
    <t>EW2</t>
  </si>
  <si>
    <t>EX2</t>
  </si>
  <si>
    <t>EY2</t>
  </si>
  <si>
    <t>EZ2</t>
  </si>
  <si>
    <t>FA2</t>
  </si>
  <si>
    <t>FB2</t>
  </si>
  <si>
    <t>FC2</t>
  </si>
  <si>
    <t>FD2</t>
  </si>
  <si>
    <t>FE2</t>
  </si>
  <si>
    <t>FF2</t>
  </si>
  <si>
    <t>FG2</t>
  </si>
  <si>
    <t>FH2</t>
  </si>
  <si>
    <t>FI2</t>
  </si>
  <si>
    <t>FJ2</t>
  </si>
  <si>
    <t>FK2</t>
  </si>
  <si>
    <t>FL2</t>
  </si>
  <si>
    <t>FM2</t>
  </si>
  <si>
    <t>FN2</t>
  </si>
  <si>
    <t>FO2</t>
  </si>
  <si>
    <t>FP2</t>
  </si>
  <si>
    <t>FQ2</t>
  </si>
  <si>
    <t>FR2</t>
  </si>
  <si>
    <t>FS2</t>
  </si>
  <si>
    <t>FT2</t>
  </si>
  <si>
    <t>FU2</t>
  </si>
  <si>
    <t>FV2</t>
  </si>
  <si>
    <t>FW2</t>
  </si>
  <si>
    <t>FX2</t>
  </si>
  <si>
    <t>FY2</t>
  </si>
  <si>
    <t>FZ2</t>
  </si>
  <si>
    <t>GA2</t>
  </si>
  <si>
    <t>GB2</t>
  </si>
  <si>
    <t>GC2</t>
  </si>
  <si>
    <t>GD2</t>
  </si>
  <si>
    <t>GE2</t>
  </si>
  <si>
    <t>GF2</t>
  </si>
  <si>
    <t>GG2</t>
  </si>
  <si>
    <t>GH2</t>
  </si>
  <si>
    <t>GI2</t>
  </si>
  <si>
    <t>GJ2</t>
  </si>
  <si>
    <t>GK2</t>
  </si>
  <si>
    <t>GL2</t>
  </si>
  <si>
    <t>GM2</t>
  </si>
  <si>
    <t>GN2</t>
  </si>
  <si>
    <t>GO2</t>
  </si>
  <si>
    <t>GP2</t>
  </si>
  <si>
    <t>GQ2</t>
  </si>
  <si>
    <t>Single Run</t>
  </si>
  <si>
    <t>DESCRIPTION</t>
  </si>
  <si>
    <t>Description</t>
  </si>
  <si>
    <t>Plan Monthly Benefit at XRD (no Form)</t>
  </si>
  <si>
    <t>Primary Level Life XRD PC6 Monthly Benefit</t>
  </si>
  <si>
    <t>SOURCE_TAB</t>
  </si>
  <si>
    <t>Primary Level Life ARD Benefit in Pay-status</t>
  </si>
  <si>
    <t>Case Identification Number (include leading zeros)</t>
  </si>
  <si>
    <t>Participant Status at DOPT</t>
  </si>
  <si>
    <t>Customer Number</t>
  </si>
  <si>
    <t>Participant Identification Number</t>
  </si>
  <si>
    <t>Present Value Factor for QPSA Lump Sum</t>
  </si>
  <si>
    <t>Qualified Preretirement Survivor Annuity Lump Sum</t>
  </si>
  <si>
    <t>Termination NRD Survivor Monthly Benefit</t>
  </si>
  <si>
    <t>Termination EURD Survivor Monthly Benefit</t>
  </si>
  <si>
    <t>Termination ERD Survivor Monthly Benefit</t>
  </si>
  <si>
    <t>Benefit Change Indicator: I - Increase, D - Decrease, M - Match, N - No Change</t>
  </si>
  <si>
    <t>Calculation indicator or calculation control field</t>
  </si>
  <si>
    <t>Calculation indicator</t>
  </si>
  <si>
    <t>Date of Benefit Freeze</t>
  </si>
  <si>
    <t>Type of Annuity: 0=Plan NSF, 1=Plan NMF, 2=Plan Optional Form, 3=PBGC Optional Form</t>
  </si>
  <si>
    <t>Plan Monthly Benefit at XRD in Final Form (Before Majority Owner P/I)</t>
  </si>
  <si>
    <t>Pop-up limit</t>
  </si>
  <si>
    <t>Present Value of Termination QPSA Benefit</t>
  </si>
  <si>
    <t>AX</t>
  </si>
  <si>
    <t>DY</t>
  </si>
  <si>
    <t>FORMULA</t>
  </si>
  <si>
    <t>IF(AND(AM2="5",AP2=0),"2",IF(AND(OR(AM2="9",AM2="0"),,NOT(ISBLANK(IF(O2="Y",AC2,AB2))),IF(O2="Y",AC2,AB2)&lt;=DOPT),"2",AM2))</t>
  </si>
  <si>
    <t>IF(OR(AU2="9",AU2="0"),AN2,0)</t>
  </si>
  <si>
    <t>IF(AP2&gt;0,AO2,0)</t>
  </si>
  <si>
    <t>+AR2</t>
  </si>
  <si>
    <t>ROUND(PBGC_MAX*BB2*BD2*BE2,2)</t>
  </si>
  <si>
    <t>MIN(AZ2,BF2)</t>
  </si>
  <si>
    <t>AZ2-BG2</t>
  </si>
  <si>
    <t>ROUND(BH2*BI2,2)</t>
  </si>
  <si>
    <t>BG2+BJ2</t>
  </si>
  <si>
    <t>IF(AND(AA2&gt;0,AM2="9"),"2","NULL")</t>
  </si>
  <si>
    <t>IF(AND(AA2&gt;0,AM2="5"),AO2,0)</t>
  </si>
  <si>
    <t>ROUND(BG2*BQ2*12,0)</t>
  </si>
  <si>
    <t>ROUND(BH2*BQ2*12,0)</t>
  </si>
  <si>
    <t>BR2+BS2</t>
  </si>
  <si>
    <t>ROUND(BJ2*BQ2*12,0)</t>
  </si>
  <si>
    <t>BR2+BU2</t>
  </si>
  <si>
    <t>Load_Percent</t>
  </si>
  <si>
    <t>ROUND(BR2*BW2,0)</t>
  </si>
  <si>
    <t>ROUND(BS2*BW2,0)</t>
  </si>
  <si>
    <t>BX2+BZ2</t>
  </si>
  <si>
    <t>ROUND(BU2*BW2,0)</t>
  </si>
  <si>
    <t>BX2+CB2</t>
  </si>
  <si>
    <t>BR2+BX2</t>
  </si>
  <si>
    <t>BS2+BY2</t>
  </si>
  <si>
    <t>CD2+CF2</t>
  </si>
  <si>
    <t>BU2+CB2</t>
  </si>
  <si>
    <t>CD2+CH2</t>
  </si>
  <si>
    <t>ROUND(12*CJ2*BK2,0)</t>
  </si>
  <si>
    <t>IF(AND(AA2&gt;0,AM2="9"),ROUND(12*CL2*BO2,0),"NULL")</t>
  </si>
  <si>
    <t>IF(AND(AA2&gt;0,AM2="9"),BO2,"NULL")</t>
  </si>
  <si>
    <t>IF(AA2&gt;0,BO2,"NULL")</t>
  </si>
  <si>
    <t>ROUND(BV2*AH2,0)</t>
  </si>
  <si>
    <t>ROUND(BV2*AR2,0)</t>
  </si>
  <si>
    <t>IF(AJ2&lt;AD2,"ER",IF(AJ2&gt;AD2,"LR","NR"))</t>
  </si>
  <si>
    <t>IF(AND(AZ2&gt;=BK2,AZ2-BK2&lt;5),"N","Y")</t>
  </si>
  <si>
    <t>IF(AND(AZ2&gt;BK2,AZ2-BK2&gt;=5),"D",IF(AND(AZ2&gt;BK2,AZ2-BK2&lt;5),"N",IF(AZ2=BK2,"M","I")))</t>
  </si>
  <si>
    <t>IF(CX2="D","Your current monthly benefit of $"&amp;TEXT(AZ2,"0000.00")&amp;" will decrease to $"&amp;TEXT(BK2,"0000.00")&amp;" because of the limitations placed on the monthly benefit payable at DOPT. See the Benefit Calculation section for further details.","NULL")</t>
  </si>
  <si>
    <t>IF(CX2="D","The benefits PBGC guarantees are limited by federal pension law to PBGC's maximum monthly amount that was in effect on the date of plan termination. This amount is adjusted to reflect the participant's age and form of annuity.","NULL")</t>
  </si>
  <si>
    <t>IF(AND(CX2="D",BJ2&gt;0),"Under Section 4022(c) of ERISA, PBGC has allocated additional funds to non-guaranteed benefits based on PBGC's experience in recovering on claims against plan sponsors. PBGC has, therefore, increased your monthly benefit, as shown below.","NULL")</t>
  </si>
  <si>
    <t>IF(CX2="D","Your current monthly benefit of $"&amp;TEXT(CB2,"0000.00")&amp;" will decrease to $"&amp;TEXT(AI2,"0000.00")&amp;" because of the limitations placed on the monthly benefit payable at DOPT. See the Benefit Calculation section for further details.","NULL")</t>
  </si>
  <si>
    <t>IF(AND(G2="V",OR(F2="XRD",F2="QPSA")),IF(AND(F2="XRD",OR(V2="S",V2="D",V2="W")),"NULL",IF(NOT(ISBLANK(X2)),X2,DATE(YEAR(W2)+IF(S2="M",4,-4),MONTH(W2),DAY(W2)))),IF(Q2="Y",Y2,IF(ISBLANK(X2),"NULL",X2)))</t>
  </si>
  <si>
    <t>IF(Z2="null",DATE(YEAR(W2)+IF(S2="M",4,-4),MONTH(W2),DAY(W2)),Z2)</t>
  </si>
  <si>
    <t>DATE(YEAR(W2)+21,MONTH(W2),DAY(W2))</t>
  </si>
  <si>
    <t>DATE(YEAR(AB2)+1,MONTH(AB2),DAY(AB2))</t>
  </si>
  <si>
    <t>MAX(AC2,AD2)</t>
  </si>
  <si>
    <t>DATE(YEAR(W2)+18,MONTH(W2),DAY(W2))</t>
  </si>
  <si>
    <t>IF(AU2&gt;=5,1,0)</t>
  </si>
  <si>
    <t>ROUND(AS2*AV2,2)</t>
  </si>
  <si>
    <t>IF(AM2&lt;DOPT,AX2,AN2)</t>
  </si>
  <si>
    <t>IF(BH2="Y",BE2,"NULL")</t>
  </si>
  <si>
    <t>IF(AND(OR(V2="U",V2="M"),OR(CI2="9",CI2="0")),"9",IF(CI2="5","5","2"))</t>
  </si>
  <si>
    <t>IF(OR(CA2="9",CA2="0"),0.5,0)</t>
  </si>
  <si>
    <t>IF(CA2="5",BX2-BZ2,"0")</t>
  </si>
  <si>
    <t>IF(BZ2="NULL","0",BZ2)</t>
  </si>
  <si>
    <t>IF(OR(AND(OR(AND(F2="XRD",G2="V"),F2="RBD"),OR(V2="M",V2="U")),AND(F2="DOR",OR(CH2="3",CH2="1"),OR(BV2="9",BV2="0"))),BQ2,IF(OR(F2="QPSA",AND(OR(F2="ERD",F2="EURD",F2="NRD",F2="RETRO"),V2="M",IF(OR(F2="ERD",F2="EURD",F2="NRD",F2="RETRO"),FX2="A",1),NOT(ISBLANK(AJ2)),OR(ISBLANK(AK2),AK2&gt;AJ2)),AND(OR(F2="DOR",F2="DORNSF"),CG2="Y")),CA2,IF(AND(F2="DOR",BV2="5"),BV2,BP2)))</t>
  </si>
  <si>
    <t>IF(OR(AND(OR(AND(F2="XRD",G2="V"),F2="RBD"),OR(V2="M",V2="U")),AND(F2="DOR",OR(CH2="1",CH2="3"),OR(BV2="9",BV2="0"))),BS2,IF(OR(F2="QPSA",AND(OR(F2="ERD",F2="EURD",F2="NRD",F2="RETRO"),V2="M",IF(OR(F2="ERD",F2="EURD",F2="NRD",F2="RETRO"),FX2="A",1),NOT(ISBLANK(AJ2)),OR(ISBLANK(AK2),AK2&gt;AJ2)),AND(OR(F2="DORNSF",F2="DOR"),CG2="Y")),CB2,IF(AND(F2="DOR",BV2="5"),BW2,BR2)))</t>
  </si>
  <si>
    <t>IF(OR(AND(OR(AND(F2="XRD",G2="V"),F2="RBD"),OR(V2="M",V2="U")),AND(F2="DOR",CH2="3",OR(BV2="9",BV2="0"))),BU2,IF(OR(F2="QPSA",AND(OR(F2="ERD",F2="EURD",F2="NRD",F2="RETRO"),V2="M",IF(OR(F2="ERD",F2="EURD",F2="NRD",F2="RETRO"),FX2="A",1),NOT(ISBLANK(AJ2)),OR(ISBLANK(AK2),AK2&gt;AJ2)),AND(OR(F2="DORNSF",F2="DOR"),CG2="Y")),CC2,IF(AND(F2="DOR",BV2="5"),IF(AJ2&gt;0,BZ2,BX2),BT2)))</t>
  </si>
  <si>
    <t>VLOOKUP(CN2,ERF_Table,2,FALSE)</t>
  </si>
  <si>
    <t>ROUND(AW2*CO2*CR2*CU2,2)</t>
  </si>
  <si>
    <t>ROUND(AW2*CO2*CU2,2)</t>
  </si>
  <si>
    <t>ROUND(PBGC_MAX*CY2*DA2*DB2,2)</t>
  </si>
  <si>
    <t>MIN(CV2,DC2)</t>
  </si>
  <si>
    <t>IF(AND(G2="V",V2="S"),ROUND(DD2*DF2*12*DG2,0),0)</t>
  </si>
  <si>
    <t>IF(V2="S",ROUND(DH2/(DF2*12),2),0)</t>
  </si>
  <si>
    <t>IF(V2="S",ROUND((DH2*DK2)/(DF2*12),2),0)</t>
  </si>
  <si>
    <t>DD2+DL2</t>
  </si>
  <si>
    <t>IF(OR(CI2="9",CI2="0"),ROUND(DM2*CJ2,2),0)</t>
  </si>
  <si>
    <t>IF(OR(AND(F2="XRD",G2="V"),CV2&lt;=DC2),"NULL","The benefits PBGC guarantees are limited by federal pension law to PBGC's maximum monthly amount that was in effect on the date of plan termination. This amount is adjusted to reflect the participant's age and form of annuity.")</t>
  </si>
  <si>
    <t>IF(OR(AND(F2="XRD",G2="V"),DL2=0),"NULL","Under Section 4022(c) of ERISA, PBGC has allocated additional funds to non-guaranteed benefits based on PBGC's experience in recovering on claims against plan sponsors. PBGC has, therefore, increased your monthly benefit, as shown below.")</t>
  </si>
  <si>
    <t>IF(OR(AND(F2="XRD",G2="V"),CH2="0",CH2="1",CH2="2",AND(NOT(ISBLANK(AJ2)),AJ2&lt;BN2,D2="1",DN2="NULL"),AND(V2="S",Q2="N"),D2&lt;&gt;"1"),"NULL",DM2/CR2)</t>
  </si>
  <si>
    <t>IF(DX2="NULL","NULL",ROUND(DX2*0.5,2))</t>
  </si>
  <si>
    <t>IF(DZ2="NULL","NULL",ROUND(DZ2*0.75,2))</t>
  </si>
  <si>
    <t>IF(AND(F2="DOR",G2="V",OR(AND(CH2="1",BV2="9"),AND(CH2="0",BV2="2"))),DM2,IF(OR(AND(F2="XRD",G2="V"),ISBLANK(CH2),CH2&lt;&gt;"3"),"NULL",IF(CG2="Y",IF(BY2="2",DS2,IF(BZ2=60,DT2,IF(BZ2=120,DU2,DV2))),IF(BV2="2",DS2,IF(BV2="0",EC2,IF(BW2=0.5,DX2,IF(BW2=0.75,DZ2,IF(BW2=1,EB2,IF(BX2=60,DT2,IF(BX2=120,DU2,DV2))))))))))</t>
  </si>
  <si>
    <t>IF(BV2="0",CW2,"NULL")</t>
  </si>
  <si>
    <t>IF(AND(F2="XRD",G2="V"),"NULL",IF(CG2="Y",IF(BY2=2,"Straight Life Annuity",TEXT(BZ2/12,"0")&amp;"-Year Certain-and-Continuous Annuity"),IF(BV2="2","Straight Life Annuity",IF(BV2="5",TEXT(BX2/12,"0")&amp;"-Year Certain-and-Continuous Annuity",IF(BV2="0","Joint-and-50% Survivor Popup Annuity","Joint-and-"&amp;TEXT(BW2*100,"00")&amp;"% Survivor Annuity")))))</t>
  </si>
  <si>
    <t>IF(OR(AND(F2="XRD",G2="V"),ISBLANK(ED2)),"NULL",IF(AND(IF(ISBLANK(EE2),ED2,EE2)&gt;IF(OR(NOT(ISBLANK(EE2)),EF2="NULL"),IF(DN2="NULL",DM2,DN2),EF2),IF(ISBLANK(EE2),ED2,EE2)-IF(OR(NOT(ISBLANK(EE2)),EF2="NULL"),IF(DN2="NULL",DM2,DN2),EF2)&gt;=5),"D",IF(AND(IF(ISBLANK(EE2),ED2,EE2)&gt;IF(OR(NOT(ISBLANK(EE2)),EF2="NULL"),IF(DN2="NULL",DM2,DN2),EF2),IF(ISBLANK(EE2),ED2,EE2)-IF(OR(NOT(ISBLANK(EE2)),EF2="NULL"),IF(DN2="NULL",DM2,DN2),EF2)&lt;5),"N",IF(IF(ISBLANK(EE2),ED2,EE2)=IF(OR(NOT(ISBLANK(EE2)),EF2="NULL"),IF(DN2="NULL",DM2,DN2),EF2),"M","I"))))</t>
  </si>
  <si>
    <t>IF(OR(AND(F2="XRD",G2="V"),ISBLANK(ED2)),"NULL",IF(EI2="D","Your current monthly benefit of $"&amp;TEXT(IF(ISBLANK(EE2),ED2,EE2),"0.00")&amp;" will decrease to $"&amp;TEXT(IF(OR(NOT(ISBLANK(EE2)),EF2="NULL"),IF(DN2="NULL",DM2,DN2),EF2),"0.00")&amp;" because of the limitations placed on the monthly benefit payable at DOPT. See the Benefit Calculation section for further details.",IF(EI2="N","Your current monthly benefit of $"&amp;TEXT(IF(ISBLANK(EE2),ED2,EE2),"0.00")&amp;" will not change. Although the amount of the PBGC monthly benefit shown above is slightly less than the amount you are currently receiving, we will not change the amount of your current monthly benefit",IF(EI2="I","Your current monthly benefit of $"&amp;TEXT(IF(ISBLANK(EE2),ED2,EE2),"0.00")&amp;" will increase to $"&amp;TEXT(IF(OR(NOT(ISBLANK(EE2)),EF2="NULL"),IF(DN2="NULL",DM2,DN2),EF2),"0.00")&amp;".","Your current monthly benefit of $"&amp;TEXT(IF(ISBLANK(EE2),ED2,EE2),"0.00")&amp;" will not change."))))</t>
  </si>
  <si>
    <t>ROUND(DD2*DF2*12,0)</t>
  </si>
  <si>
    <t>EK2+EL2</t>
  </si>
  <si>
    <t>ROUND(DL2*DF2*12,0)</t>
  </si>
  <si>
    <t>EK2+EO2</t>
  </si>
  <si>
    <t>IF(CI2="9",ROUND(DD2*CB2*DE2*12,0),0)</t>
  </si>
  <si>
    <t>EQ2+EM2</t>
  </si>
  <si>
    <t>EQ2+ES2</t>
  </si>
  <si>
    <t>EK2+EQ2</t>
  </si>
  <si>
    <t>EU2+EV2</t>
  </si>
  <si>
    <t>EO2+ES2</t>
  </si>
  <si>
    <t>EU2+EX2</t>
  </si>
  <si>
    <t>ROUND(EU2*EZ2,0)</t>
  </si>
  <si>
    <t>ROUND(EV2*EZ2,0)</t>
  </si>
  <si>
    <t>FA2+FC2</t>
  </si>
  <si>
    <t>ROUND(EX2*EZ2,0)</t>
  </si>
  <si>
    <t>FA2+FE2</t>
  </si>
  <si>
    <t>EU2+FA2</t>
  </si>
  <si>
    <t>DH2+FB2</t>
  </si>
  <si>
    <t>EV2+FC2</t>
  </si>
  <si>
    <t>FG2+FI2</t>
  </si>
  <si>
    <t>EX2+FE2</t>
  </si>
  <si>
    <t>FG2+FK2</t>
  </si>
  <si>
    <t>IF(OR(CI2="2",NOT(ISBLANK(X2))),1,ROUND(FM2/CR2,4))</t>
  </si>
  <si>
    <t>ROUND(DM2*FN2,2)</t>
  </si>
  <si>
    <t>ROUND(12*FP2*FO2,0)</t>
  </si>
  <si>
    <t>IF(CG2="Y",ROUND(DN2*FR2*12,0),"NULL")</t>
  </si>
  <si>
    <t>IF(FU2&gt;0,MAX(FQ2-FU2,0),"NULL")</t>
  </si>
  <si>
    <t>IF(FQ2&lt;=5000,"Y","N")</t>
  </si>
  <si>
    <t>IF(FQ2&gt;5000,"A","L")</t>
  </si>
  <si>
    <t>ROUND(EY2*AX2,0)</t>
  </si>
  <si>
    <t>ROUND(EY2*BM2,0)</t>
  </si>
  <si>
    <t>IF(D2="2","SB",IF(BN2&lt;AM2,"ER","NR"))</t>
  </si>
  <si>
    <t>"Y"</t>
  </si>
  <si>
    <t>IF(OR(G2="R",ISBLANK(BJ2)),"Y","N")</t>
  </si>
  <si>
    <t>IF(GF2="N","N",IF(OR(G2="R",ISBLANK(BJ2)),"Y","N"))</t>
  </si>
  <si>
    <t>DATE(YEAR(U2)+21,MONTH(U2),DAY(U2))</t>
  </si>
  <si>
    <t>DATE(YEAR(X2)+1,MONTH(X2),DAY(X2))</t>
  </si>
  <si>
    <t>MAX(Y2,Z2)</t>
  </si>
  <si>
    <t>IF(AN2="9",2,4)</t>
  </si>
  <si>
    <t>IF(AN2="5",AP2,0)</t>
  </si>
  <si>
    <t>MIN(BD2,BE2)</t>
  </si>
  <si>
    <t>BD2-BF2</t>
  </si>
  <si>
    <t>ROUND(BG2*BH2,2)</t>
  </si>
  <si>
    <t>BF2+BI2</t>
  </si>
  <si>
    <t>ROUND(BF2*BL2*12,0)</t>
  </si>
  <si>
    <t>ROUND(BG2*BL2*12,0)</t>
  </si>
  <si>
    <t>BM2+BN2</t>
  </si>
  <si>
    <t>ROUND(BI2*BL2*12,0)</t>
  </si>
  <si>
    <t>BM2+BP2</t>
  </si>
  <si>
    <t>ROUND(BM2*BR2,0)</t>
  </si>
  <si>
    <t>ROUND(BN2*BR2,0)</t>
  </si>
  <si>
    <t>BS2+BU2</t>
  </si>
  <si>
    <t>ROUND(BP2*BR2,0)</t>
  </si>
  <si>
    <t>BS2+BW2</t>
  </si>
  <si>
    <t>BM2+BS2</t>
  </si>
  <si>
    <t>BN2+BT2</t>
  </si>
  <si>
    <t>BY2+CA2</t>
  </si>
  <si>
    <t>BP2+BW2</t>
  </si>
  <si>
    <t>BY2+CC2</t>
  </si>
  <si>
    <t>ROUND(12*CE2*BJ2,0)</t>
  </si>
  <si>
    <t>IF(CF2&gt;5000,"N","Y")</t>
  </si>
  <si>
    <t>IF(CG2="Y","L","A")</t>
  </si>
  <si>
    <t>ROUND(BQ2*AK2,0)</t>
  </si>
  <si>
    <t>ROUND(BQ2*AX2,0)</t>
  </si>
  <si>
    <t>IF(AND(BD2&gt;=BJ2,BD2-BJ2&lt;5),"N","Y")</t>
  </si>
  <si>
    <t>IF(AND(BD2&gt;BJ2,BD2-BJ2&gt;=5),"D",IF(AND(BD2&gt;BJ2,BD2-BJ2&lt;5),"N",IF(BD2=BJ2,"M","I")))</t>
  </si>
  <si>
    <t>IF(CQ2="D","Your current monthly benefit of $"&amp;TEXT(AY2,"0000.00")&amp;" will decrease to $"&amp;TEXT(BJ2,"0000.00")&amp;" because of the limitations placed on the monthly benefit payable at DOPT. See the Benefit Calculation section for further details.","NULL")</t>
  </si>
  <si>
    <t>IF(CQ2="D","The benefits PBGC guarantees are limited by federal pension law to PBGC's maximum monthly amount that was in effect on the date of plan termination. This amount is adjusted to reflect the participant's age and form of annuity.","NULL")</t>
  </si>
  <si>
    <t>IF(AND(CQ2="D",BI2&gt;0),"Under Section 4022(c) of ERISA, PBGC has allocated additional funds to non-guaranteed benefits based on PBGC's experience in recovering on claims against plan sponsors. PBGC has, therefore, increased your monthly benefit, as shown below.","NULL")</t>
  </si>
  <si>
    <t>IF(AND(ISBLANK(V2),ISBLANK(W2)),"NULL",anb(IF(O2="Y",W2,V2),AJ2))</t>
  </si>
  <si>
    <t>IF(AND(ISBLANK(V2),ISBLANK(W2)),"NULL",anb(IF(O2="Y",W2,V2),DOPT))</t>
  </si>
  <si>
    <t>IF(AO2&gt;0,AO2-COMPM(AJ2,NRD(DOPT,0)),0)</t>
  </si>
  <si>
    <t>IF(DATE(YEAR(U2)+65,MONTH(U2),DAY(U2))&lt;DOPT,0,COMPM(DOPT,DATE(YEAR(U2)+65,MONTH(U2),DAY(U2))))</t>
  </si>
  <si>
    <t>IF(DATE(YEAR(U2)+65,MONTH(U2),DAY(U2))&gt;=DOPT,0,COMPM(DATE(YEAR(U2)+65,MONTH(U2),DAY(U2)),MIN(MAX(AJ2,AD2),DOPT)))</t>
  </si>
  <si>
    <t>IF(AU2="2",1,IF(AU2="5",CCF(AP2),jsf(AR2,AT2,0.5)*IF(AU2="0",(1-(0.04*AV2*IF(AR2-AT2&lt;0,1-0.1*(AR2-AT2),IF(AR2-AT2&gt;0,0.6667^(0.2*(AR2-AT2)),1)))),1)))</t>
  </si>
  <si>
    <t>IF(ISBLANK(AA2),"NULL",IF(OR(AU2="2",AND(AU2="5",COMPM(AJ2,NRD(AA2,0))=0)),"NULL",IF(AU2="9",ROUND(BK2*AV2,2),BK2)))</t>
  </si>
  <si>
    <t>ROUND(NPVF2("MP",IF(AU2="9","JSC","SLA"),"N",DOPT,Q2,AH2,AR2,IF(AT2="NULL",0,AT2),AV2,AP2,0,DOPT,DOPT,"P","","",P2),4)</t>
  </si>
  <si>
    <t>ROUND(NPVF2("MP",IF(AU2="9","JSC","SLA"),"O",DOPT,Q2,AH2,AR2,IF(AT2="NULL",0,AT2),AV2,AP2,0,DOPT,DOPT,"P","",""),4)</t>
  </si>
  <si>
    <t>IF(AND(AA2&gt;0,AM2="9"),ROUND(NPVF2("MP","SLA","O",LS_Rates,IF(S2="M","F","M"),AI2,AT2,0,0,0,0,DOPT,DOPT,"P","",""),4),"NULL")</t>
  </si>
  <si>
    <t>MAX(NRD(W2,65),NRD(AF2,5))</t>
  </si>
  <si>
    <t>IF(Z2="NULL","NULL",IF(Z2&gt;DOPT,0,anb(Z2,DOPT)))</t>
  </si>
  <si>
    <t>MAX(AM2,NRD(DOPT,0))</t>
  </si>
  <si>
    <t>MAX(BA2,NRD(DOPT,0))</t>
  </si>
  <si>
    <t>IF(AU2&gt;=10,NRD(W2,60),AM2)</t>
  </si>
  <si>
    <t>MAX(BE2,NRD(DOPT,0))</t>
  </si>
  <si>
    <t>IF(NRD(W2,60)&lt;DOPT,AX2,anb(W2,BE2))</t>
  </si>
  <si>
    <t>IF(OR(F2="DORNSF",F2="DOR"),BJ2,NRD(W2,BM2))</t>
  </si>
  <si>
    <t>IF(Z2="NULL","NULL",anb(Z2,BN2))</t>
  </si>
  <si>
    <t>IF(AND(BV2="5",COMPM(BJ2,BK2)&lt;BX2),BV2,IF(AND(AJ2&gt;0,BV2="9"),2,"NULL"))</t>
  </si>
  <si>
    <t>IF(AND(BV2="5",COMPM(BJ2,BK2)&lt;BX2),COMPM(BK2,DATE(YEAR(BJ2)+(BX2/12),MONTH(BJ2)-1,1)),"NULL")</t>
  </si>
  <si>
    <t>IF(BN2&lt;AM2,COMPM(BN2,AM2),0)</t>
  </si>
  <si>
    <t>IF(OR(Z2="NULL",ISBLANK(Z2)),"NULL",anb(Z2,BN2))</t>
  </si>
  <si>
    <t>IF(CI2="2",1,ROUND(BFCFAEQ("SLA",BR2,BT2,0,IF(OR(CI2="9",CI2="0"),"JSC","SLA"),CJ2,CK2,0,CP2,IF(CQ2="NULL",0,CQ2),S2,IF(AND(ISBLANK(T2),S2="M"),"F","M"),0.065,"GM71","GM71","MP","","","",""),4))</t>
  </si>
  <si>
    <t>IF(AI2&gt;AM2,ROUND(LRFAEQ(0.065,S2,AN2,COMPM(AM2,AI2),BT2,"GM71","GM71","MP","Y",,,AN2),4),"NULL")</t>
  </si>
  <si>
    <t>IF(AI2&gt;AM2,ROUND(LRFAEQ(0.065,S2,AN2,CS2,BT2,"GM71","GM71","MP","Y",,,AN2)/CT2,4),ROUND(LRFAEQ(0.065,S2,AN2,CS2,BT2,"GM71","GM71","MP","N",,,AN2),4))</t>
  </si>
  <si>
    <t>IF(DATE(YEAR($W2)+65,MONTH($W2),DAY($W2))&lt;BN2,0,COMPM(BN2,DATE(YEAR($W2)+65,MONTH($W2),DAY($W2))))</t>
  </si>
  <si>
    <t>IF(DATE(YEAR($W2)+65,MONTH($W2),DAY($W2))&gt;=BN2,0,COMPM(DATE(YEAR($W2)+65,MONTH($W2),DAY($W2)),BN2))</t>
  </si>
  <si>
    <t>ROUND(PBGCBFCF2("SLA",0,0,IF(OR(CI2="0",CI2="9"),"JSC","SLA"),CJ2,CK2,CP2,IF(CQ2="NULL",0,CQ2)),4)</t>
  </si>
  <si>
    <t>IF(OR(AJ2&gt;DOPT,AND(Z2&gt;DOPT,CG2="N")),0,QPSAPVF("MP","SLA",DOPT,R2,S2,IF(S2="M","F","M"),AX2,CP2,IF(AY2="NULL",AX2+IF(S2="M",-4,4),AY2),IF(BO2="NULL",CP2+IF(S2="M",-4,4),CQ2),CE2,CF2,0))</t>
  </si>
  <si>
    <t>ROUND(NPVF2("MP",IF(CI2="9","JSC","SLA"),"N",Annuity_Rates,S2,AX2,BM2,IF(BO2="NULL",0,BO2),CJ2,CK2,0,DOPT,DOPT,"P","","",R2),4)</t>
  </si>
  <si>
    <t>IF(AX2&gt;=BM2,0,ROUND(1-lx(IF(S2="M","2M13","2F13"),S2,BM2)/lx(IF(S2="M","2M13","2F13"),S2,AX2),4))</t>
  </si>
  <si>
    <t>IF(OR(AND(F2="XRD",G2="V"),CH2="0",CH2="1",CH2="2",AND(NOT(ISBLANK(AJ2)),AJ2&lt;BN2,D2="1",DN2="NULL")),"NULL",IF(OR(D2="4",AND(NOT(ISBLANK(AJ2)),AJ2&lt;=BN2)),PBGCOFA(DOPT,Z2,0,0,"N",BN2,"MP","SLA",0,0,0,IF(D2="1",DN2,DM2),0,0,"VALUE",0,0,0,0,0,0,0),PBGCOFA(DOPT,W2,0,0,"N",BN2,"MP","SLA",0,IF(F2="DORNSF",CK2,BT2),0,DM2/CR2,0,0,"VALUE",0,0,0,0,0,0,0)))</t>
  </si>
  <si>
    <t>IF(OR(AND(F2="XRD",G2="V"),CH2="0",CH2="1",CH2="2",AND(NOT(ISBLANK(AJ2)),AJ2&lt;BN2,D2="1",DN2="NULL")),"NULL",IF(OR(D2="4",AND(NOT(ISBLANK(AJ2)),AJ2&lt;=BN2)),PBGCOFA(DOPT,Z2,0,0,"N",BN2,"MP","SLA",0,0,0,IF(D2="1",DN2,DM2),0,0,"SLA",0,0,0,0,0,0,0),PBGCOFA(DOPT,W2,0,0,"N",BN2,"MP","SLA",0,IF(F2="DORNSF",CK2,BT2),0,DM2/CR2,0,0,"SLA",0,0,0,0,0,0,0)))</t>
  </si>
  <si>
    <t>IF(OR(AND(F2="XRD",G2="V"),CH2="0",CH2="1",CH2="2",AND(NOT(ISBLANK(AJ2)),AJ2&lt;BN2,D2="1",DN2="NULL")),"NULL",IF(OR(D2="4",AND(NOT(ISBLANK(AJ2)),AJ2&lt;=BN2)),PBGCOFA(DOPT,Z2,0,0,"N",BN2,"MP","SLA",0,0,0,IF(D2="1",DN2,DM2),0,0,"5CC",0,0,0,0,0,0,0),PBGCOFA(DOPT,W2,0,0,"N",BN2,"MP","SLA",0,IF(F2="DORNSF",CK2,BT2),0,DS2,0,0,"5CC",0,0,0,0,0,0,0)))</t>
  </si>
  <si>
    <t>IF(OR(AND(F2="XRD",G2="V"),CH2="0",CH2="1",CH2="2",AND(NOT(ISBLANK(AJ2)),AJ2&lt;BN2,D2="1",DN2="NULL")),"NULL",IF(OR(D2="4",AND(NOT(ISBLANK(AJ2)),AJ2&lt;=BN2)),PBGCOFA(DOPT,Z2,0,0,"N",BN2,"MP","SLA",0,0,0,IF(D2="1",DN2,DM2),0,0,"10CC",0,0,0,0,0,0,0),PBGCOFA(DOPT,W2,0,0,"N",BN2,"MP","SLA",0,IF(F2="DORNSF",CK2,BT2),0,DS2,0,0,"10CC",0,0,0,0,0,0,0)))</t>
  </si>
  <si>
    <t>IF(OR(AND(F2="XRD",G2="V"),CH2="0",CH2="1",CH2="2",AND(NOT(ISBLANK(AJ2)),AJ2&lt;BN2,D2="1",DN2="NULL")),"NULL",IF(OR(D2="4",AND(NOT(ISBLANK(AJ2)),AJ2&lt;=BN2)),PBGCOFA(DOPT,Z2,0,0,"N",BN2,"MP","SLA",0,0,0,IF(D2="1",DN2,DM2),0,0,"15CC",0,0,0,0,0,0,0),PBGCOFA(DOPT,W2,0,0,"N",BN2,"MP","SLA",0,IF(F2="DORNSF",CK2,BT2),0,DS2,0,0,"15CC",0,0,0,0,0,0,0)))</t>
  </si>
  <si>
    <t>IF(OR(AND(F2="XRD",G2="V"),CH2="0",CH2="1",CH2="2"),"NULL",IF(AND(OR(BV2="9",BV2="0"),D2="1",OR(ISBLANK(AJ2),AJ2&gt;BN2)),PBGCOFA(DOPT,W2,IF(RIGHT(F2,5)="NMFSP",Z2,X2),Y2,Q2,BN2,"MP","JSC",BS2,BU2,0,DM2,0,DS2,"VALUE",0,0,0,0,0,0,0),"NULL"))</t>
  </si>
  <si>
    <t>IF(OR(AND(F2="XRD",G2="V"),CH2="0",CH2="1",CH2="2"),"NULL",IF(AND(OR(BV2="9",BV2="0"),D2="1",OR(ISBLANK(AJ2),AJ2&gt;BN2)),PBGCOFA(DOPT,W2,IF(RIGHT(F2,5)="NMFSP",Z2,X2),Y2,Q2,BN2,"MP","JSC",BS2,BU2,0,DM2,0,DS2,"JS50",0,0,0,0,0,0,0),"NULL"))</t>
  </si>
  <si>
    <t>IF(OR(AND(F2="XRD",G2="V"),CH2="0",CH2="1",CH2="2"),"NULL",IF(AND(OR(BV2="9",BV2="0"),D2="1",OR(ISBLANK(AJ2),AJ2&gt;BN2)),PBGCOFA(DOPT,W2,IF(RIGHT(F2,5)="NMFSP",Z2,X2),Y2,Q2,BN2,"MP","JSC",BS2,BU2,0,DM2,0,DS2,"JS75",0,0,0,0,0,0,0),"NULL"))</t>
  </si>
  <si>
    <t>IF(OR(AND(F2="XRD",G2="V"),CH2="0",CH2="1",CH2="2"),"NULL",IF(AND(OR(BV2="9",BV2="0"),D2="1",OR(ISBLANK(AJ2),AJ2&gt;BN2)),PBGCOFA(DOPT,W2,IF(RIGHT(F2,5)="NMFSP",Z2,X2),Y2,Q2,BN2,"MP","JSC",BS2,BU2,0,DM2,0,DS2,"JS100",0,0,0,0,0,0,0),"NULL"))</t>
  </si>
  <si>
    <t>IF(OR(AND(F2="XRD",G2="V"),CH2="0",CH2="1",CH2="2"),"NULL",IF(AND(OR(BV2="9",BV2="0"),D2="1",OR(ISBLANK(AJ2),AJ2&gt;BN2),DS2&lt;&gt;"NULL"),PBGCOFA(DOPT,W2,IF(RIGHT(F2,5)="NMFSP",Z2,X2),Y2,Q2,BN2,"MP","JSC",BS2,BU2,0,DM2,0,DS2,"JSPOP",0,0,0,0,0,0,0),"NULL"))</t>
  </si>
  <si>
    <t>IF(CI2="2",1,ROUND(BFCFAEQ("SLA",BR2,BT2,0,IF(OR(CI2="9",CI2="0"),"JSC","SLA"),CJ2,CK2,0,CP2,CP2,S2,IF(S2="M","F","M"),0.065,"GM71","GM71","MP","","","",""),4))</t>
  </si>
  <si>
    <t>ROUND(NPVF2("MP",IF(CI2="9","JSC","SLA"),"O",LS_Rates,S2,AX2,BM2,IF(ISBLANK(X2),BM2,IF(BO2="NULL",0,BO2)),CJ2,CK2,0,DOPT,DOPT,"P","",""),4)</t>
  </si>
  <si>
    <t>IF(CG2="Y",ROUND(NPVF2("MP","SLA","O",LS_Rates,IF(S2="M","F","M"),AY2,BO2,0,0,0,0,DOPT,DOPT,"P","",""),4),"NULL")</t>
  </si>
  <si>
    <t>MIN(MAX(NRD(TODAY(),0),BE2),BD2)</t>
  </si>
  <si>
    <t>MIN(MAX(NRD(TODAY(),0),BA2),BD2)</t>
  </si>
  <si>
    <t>MAX(NRD(AB2,5),NRD(U2,65))</t>
  </si>
  <si>
    <t>IF(AS2&gt;0,AS2-COMPM(AL2,NRD(DOPT,0)),0)</t>
  </si>
  <si>
    <t>ROUND(NPVF2("MP",IF(AY2=4,"CTN","SLA"),"N",DOPT,IF(O2="Y",S2,R2),AK2,AX2,0,AZ2,AT2,0,DOPT,DOPT,"P","","","0"),4)</t>
  </si>
  <si>
    <t>ROUND(NPVF2("MP","SLA","O",DOPT,IF(O2="Y",S2,R2),AK2,AX2,0,AZ2,AT2,0,DOPT,DOPT,"P","",""),4)</t>
  </si>
  <si>
    <t>NRD(U2,65)</t>
  </si>
  <si>
    <t>anb(U2,AD2)</t>
  </si>
  <si>
    <t>anb(U2,AJ2)</t>
  </si>
  <si>
    <t>anb(U2,DOPT)</t>
  </si>
  <si>
    <t>RBD(C2,DOPT,"P",U2,Z2,AA2,"N",O2)</t>
  </si>
  <si>
    <t>NRD(DOPT,0)</t>
  </si>
  <si>
    <t>PBGCERF(BA2)</t>
  </si>
  <si>
    <t>PBGCLRF(65+BC2/12)</t>
  </si>
  <si>
    <t>NRD(MIN(DATE(2008,12,31),AE2),0)</t>
  </si>
  <si>
    <t>ATT(W2,AM2)</t>
  </si>
  <si>
    <t>SERVYCA(AF2,MIN(AI2,AH2),1000)</t>
  </si>
  <si>
    <t>SERVYCA(AB2,MIN(AI2,AH2,DATE(2010,4,13)),1000)</t>
  </si>
  <si>
    <t>SERVYCA(AB2,MIN(AI2,DOPT),1000)</t>
  </si>
  <si>
    <t>anb(W2,DOPT)</t>
  </si>
  <si>
    <t>RBD(C2,DOPT,"P",W2,AI2,AJ2,"N",Q2)</t>
  </si>
  <si>
    <t>BL(DOPT,AB2,AI2,"N","Y","Y",C2,BC2,AW2)</t>
  </si>
  <si>
    <t>XRA2(BL2,MIN(AN2,BG2),AN2,DOPT,W2,IF(Z2="NULL",0,Z2),C2,D2,0,"")</t>
  </si>
  <si>
    <t>anb(W2,BN2)</t>
  </si>
  <si>
    <t>COMPM(AM2,MAX(AM2,BN2))</t>
  </si>
  <si>
    <t>PBGCERF(CX2)</t>
  </si>
  <si>
    <t>PBGCLRF(65+CZ2/12)</t>
  </si>
  <si>
    <t>NRD(AA2,0)</t>
  </si>
  <si>
    <t>anb(U2,AH2)</t>
  </si>
  <si>
    <t>anb(IF(O2="Y",W2,V2),DOPT)</t>
  </si>
  <si>
    <t>Active</t>
  </si>
  <si>
    <t>Active_Vesteds</t>
  </si>
  <si>
    <t>AEQ_Rates</t>
  </si>
  <si>
    <t>Annuity_Rates</t>
  </si>
  <si>
    <t>Beneficiaries_in_Pay</t>
  </si>
  <si>
    <t>Benefit_Rate_Table</t>
  </si>
  <si>
    <t>BFCF_RATES</t>
  </si>
  <si>
    <t>BFCF_Table</t>
  </si>
  <si>
    <t>BFCF_Table_2</t>
  </si>
  <si>
    <t>BFCF_Table_3</t>
  </si>
  <si>
    <t>BRCHANGE</t>
  </si>
  <si>
    <t>Covered_Comp_Table</t>
  </si>
  <si>
    <t>DOPT_1_Medicare_Benefit</t>
  </si>
  <si>
    <t>DOPT_3</t>
  </si>
  <si>
    <t>DOPT_Medicare_Benefit</t>
  </si>
  <si>
    <t>ep</t>
  </si>
  <si>
    <t>ERF_Table</t>
  </si>
  <si>
    <t>Initial_Annuity_Interest_Rate</t>
  </si>
  <si>
    <t>INT_NEW</t>
  </si>
  <si>
    <t>LRF_Table</t>
  </si>
  <si>
    <t>LS_Rates</t>
  </si>
  <si>
    <t>Medicare_Rates</t>
  </si>
  <si>
    <t>PBGC_BFCF_Table</t>
  </si>
  <si>
    <t>PBGC_ERF</t>
  </si>
  <si>
    <t>PBGC_LRF</t>
  </si>
  <si>
    <t>PBGC_MAX</t>
  </si>
  <si>
    <t>PBGC_Option_Rates</t>
  </si>
  <si>
    <t>Plan_Date</t>
  </si>
  <si>
    <t>Plan_LRF_Table</t>
  </si>
  <si>
    <t>Post_Retirement_Interest</t>
  </si>
  <si>
    <t>Pre_Retirement_Interest</t>
  </si>
  <si>
    <t>Separated_Vesteds</t>
  </si>
  <si>
    <t>SPARR</t>
  </si>
  <si>
    <t>Total_4022C</t>
  </si>
  <si>
    <t>Total_Title_IV_PV</t>
  </si>
  <si>
    <t>Vesting_Table</t>
  </si>
  <si>
    <t>Vesting_Table_2</t>
  </si>
  <si>
    <t>NAME_RANGE_LABEL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</si>
</sst>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General_)"/>
    <numFmt numFmtId="165" formatCode="mm/dd/yy_)"/>
    <numFmt numFmtId="166" formatCode="&quot;$&quot;#,##0.00"/>
    <numFmt numFmtId="167" formatCode="0.0000"/>
    <numFmt numFmtId="168" formatCode="&quot;$&quot;#,##0"/>
    <numFmt numFmtId="169" formatCode="&quot;$&quot;#,##0;[Red]&quot;$&quot;#,##0"/>
    <numFmt numFmtId="170" formatCode="&quot;$&quot;#,##0.00;[Red]&quot;$&quot;#,##0.00"/>
    <numFmt numFmtId="171" formatCode="0.0000%"/>
    <numFmt numFmtId="172" formatCode="#,##0.0000"/>
    <numFmt numFmtId="173" formatCode="0.0"/>
    <numFmt numFmtId="174" formatCode="0.0_)"/>
    <numFmt numFmtId="175" formatCode="0.000%"/>
  </numFmts>
  <fonts count="19" x14ac:knownFonts="1">
    <font>
      <sz val="10"/>
      <name val="Arial"/>
    </font>
    <font>
      <sz val="12"/>
      <name val="Tms Rmn"/>
    </font>
    <font>
      <b/>
      <sz val="8"/>
      <name val="Arial"/>
      <family val="2"/>
    </font>
    <font>
      <b/>
      <sz val="10"/>
      <name val="Arial"/>
      <family val="2"/>
    </font>
    <font>
      <b/>
      <sz val="10"/>
      <color indexed="12"/>
      <name val="Arial"/>
      <family val="2"/>
    </font>
    <font>
      <sz val="12"/>
      <name val="Times New Roman"/>
      <family val="1"/>
    </font>
    <font>
      <sz val="10"/>
      <color indexed="12"/>
      <name val="Arial"/>
      <family val="2"/>
    </font>
    <font>
      <sz val="10"/>
      <color indexed="10"/>
      <name val="Arial"/>
      <family val="2"/>
    </font>
    <font>
      <sz val="10"/>
      <color indexed="13"/>
      <name val="Arial"/>
      <family val="2"/>
    </font>
    <font>
      <b/>
      <sz val="10"/>
      <color indexed="14"/>
      <name val="Arial"/>
      <family val="2"/>
    </font>
    <font>
      <b/>
      <sz val="12"/>
      <name val="Arial"/>
      <family val="2"/>
    </font>
    <font>
      <sz val="12"/>
      <name val="Arial"/>
      <family val="2"/>
    </font>
    <font>
      <b/>
      <i/>
      <sz val="10"/>
      <name val="Arial"/>
      <family val="2"/>
    </font>
    <font>
      <sz val="10"/>
      <color indexed="48"/>
      <name val="Arial"/>
      <family val="2"/>
    </font>
    <font>
      <sz val="10"/>
      <color rgb="FF006100"/>
      <name val="Arial"/>
      <family val="2"/>
    </font>
    <font>
      <b/>
      <sz val="10"/>
      <color theme="0"/>
      <name val="Arial"/>
      <family val="2"/>
    </font>
    <font>
      <sz val="7"/>
      <name val="Arial"/>
      <family val="2"/>
    </font>
    <font>
      <sz val="10"/>
      <name val="Arial"/>
      <family val="2"/>
    </font>
    <font>
      <sz val="10"/>
      <color theme="0"/>
      <name val="Arial"/>
      <family val="2"/>
    </font>
  </fonts>
  <fills count="13">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indexed="22"/>
        <bgColor indexed="64"/>
      </patternFill>
    </fill>
    <fill>
      <patternFill patternType="solid">
        <fgColor indexed="11"/>
        <bgColor indexed="64"/>
      </patternFill>
    </fill>
    <fill>
      <patternFill patternType="solid">
        <fgColor indexed="17"/>
        <bgColor indexed="64"/>
      </patternFill>
    </fill>
    <fill>
      <patternFill patternType="solid">
        <fgColor theme="1"/>
        <bgColor indexed="64"/>
      </patternFill>
    </fill>
    <fill>
      <patternFill patternType="solid">
        <fgColor rgb="FFC6EFCE"/>
      </patternFill>
    </fill>
    <fill>
      <patternFill patternType="solid">
        <fgColor theme="9" tint="0.59999389629810485"/>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5" tint="0.59999389629810485"/>
        <bgColor indexed="64"/>
      </patternFill>
    </fill>
  </fills>
  <borders count="84">
    <border>
      <left/>
      <right/>
      <top/>
      <bottom/>
      <diagonal/>
    </border>
    <border>
      <left/>
      <right/>
      <top/>
      <bottom style="thick">
        <color rgb="FFFF0000"/>
      </bottom>
      <diagonal/>
    </border>
    <border>
      <left/>
      <right/>
      <top/>
      <bottom style="thick">
        <color indexed="10"/>
      </bottom>
      <diagonal/>
    </border>
    <border>
      <left style="medium">
        <color indexed="64"/>
      </left>
      <right style="thin">
        <color indexed="64"/>
      </right>
      <top style="thin">
        <color indexed="64"/>
      </top>
      <bottom style="medium">
        <color indexed="64"/>
      </bottom>
      <diagonal/>
    </border>
    <border>
      <left/>
      <right style="thick">
        <color indexed="64"/>
      </right>
      <top style="thick">
        <color indexed="64"/>
      </top>
      <bottom/>
      <diagonal/>
    </border>
    <border>
      <left style="medium">
        <color indexed="64"/>
      </left>
      <right style="thin">
        <color indexed="64"/>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uble">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ck">
        <color indexed="64"/>
      </top>
      <bottom style="thin">
        <color indexed="64"/>
      </bottom>
      <diagonal/>
    </border>
    <border>
      <left style="thick">
        <color indexed="64"/>
      </left>
      <right/>
      <top/>
      <bottom style="thick">
        <color indexed="64"/>
      </bottom>
      <diagonal/>
    </border>
    <border>
      <left style="medium">
        <color indexed="64"/>
      </left>
      <right style="thin">
        <color indexed="64"/>
      </right>
      <top/>
      <bottom style="medium">
        <color indexed="64"/>
      </bottom>
      <diagonal/>
    </border>
    <border>
      <left/>
      <right/>
      <top style="thick">
        <color rgb="FFFF0000"/>
      </top>
      <bottom style="thick">
        <color rgb="FFFF0000"/>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bottom style="double">
        <color indexed="64"/>
      </bottom>
      <diagonal/>
    </border>
    <border>
      <left style="double">
        <color indexed="64"/>
      </left>
      <right style="double">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top/>
      <bottom style="thick">
        <color indexed="64"/>
      </bottom>
      <diagonal/>
    </border>
    <border>
      <left style="thick">
        <color indexed="64"/>
      </left>
      <right/>
      <top style="thick">
        <color indexed="64"/>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right/>
      <top style="thick">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thin">
        <color indexed="64"/>
      </top>
      <bottom style="thin">
        <color indexed="64"/>
      </bottom>
      <diagonal/>
    </border>
    <border>
      <left/>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style="thick">
        <color indexed="64"/>
      </left>
      <right/>
      <top/>
      <bottom/>
      <diagonal/>
    </border>
    <border>
      <left style="thin">
        <color indexed="64"/>
      </left>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diagonal/>
    </border>
    <border>
      <left style="thick">
        <color indexed="64"/>
      </left>
      <right style="thin">
        <color indexed="64"/>
      </right>
      <top style="thin">
        <color indexed="64"/>
      </top>
      <bottom style="thick">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ck">
        <color indexed="64"/>
      </right>
      <top/>
      <bottom/>
      <diagonal/>
    </border>
    <border>
      <left/>
      <right style="thin">
        <color indexed="64"/>
      </right>
      <top style="double">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top style="double">
        <color indexed="64"/>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top style="thin">
        <color indexed="64"/>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double">
        <color indexed="64"/>
      </bottom>
      <diagonal/>
    </border>
    <border>
      <left style="thin">
        <color indexed="64"/>
      </left>
      <right style="thick">
        <color indexed="64"/>
      </right>
      <top style="thick">
        <color indexed="64"/>
      </top>
      <bottom style="thin">
        <color indexed="64"/>
      </bottom>
      <diagonal/>
    </border>
    <border>
      <left/>
      <right style="thick">
        <color indexed="64"/>
      </right>
      <top/>
      <bottom style="thick">
        <color indexed="64"/>
      </bottom>
      <diagonal/>
    </border>
    <border>
      <left style="double">
        <color indexed="64"/>
      </left>
      <right/>
      <top style="double">
        <color indexed="64"/>
      </top>
      <bottom style="thin">
        <color indexed="64"/>
      </bottom>
      <diagonal/>
    </border>
    <border>
      <left style="double">
        <color indexed="64"/>
      </left>
      <right style="thin">
        <color indexed="64"/>
      </right>
      <top/>
      <bottom style="thin">
        <color indexed="64"/>
      </bottom>
      <diagonal/>
    </border>
    <border>
      <left/>
      <right/>
      <top style="double">
        <color indexed="64"/>
      </top>
      <bottom style="thin">
        <color indexed="64"/>
      </bottom>
      <diagonal/>
    </border>
    <border>
      <left/>
      <right style="double">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right/>
      <top style="double">
        <color indexed="64"/>
      </top>
      <bottom/>
      <diagonal/>
    </border>
    <border>
      <left/>
      <right style="double">
        <color indexed="64"/>
      </right>
      <top style="double">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double">
        <color indexed="64"/>
      </bottom>
      <diagonal/>
    </border>
    <border>
      <left style="thin">
        <color indexed="64"/>
      </left>
      <right style="medium">
        <color indexed="64"/>
      </right>
      <top style="medium">
        <color indexed="64"/>
      </top>
      <bottom/>
      <diagonal/>
    </border>
    <border>
      <left style="double">
        <color indexed="64"/>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double">
        <color rgb="FF3F3F3F"/>
      </left>
      <right style="double">
        <color rgb="FF3F3F3F"/>
      </right>
      <top style="double">
        <color rgb="FF3F3F3F"/>
      </top>
      <bottom style="double">
        <color rgb="FF3F3F3F"/>
      </bottom>
      <diagonal/>
    </border>
  </borders>
  <cellStyleXfs count="5">
    <xf numFmtId="0" fontId="0" fillId="0" borderId="0"/>
    <xf numFmtId="0" fontId="1" fillId="0" borderId="0"/>
    <xf numFmtId="174" fontId="1" fillId="0" borderId="0"/>
    <xf numFmtId="0" fontId="1" fillId="0" borderId="0"/>
    <xf numFmtId="0" fontId="14" fillId="8" borderId="0" applyNumberFormat="0" applyBorder="0" applyAlignment="0" applyProtection="0"/>
  </cellStyleXfs>
  <cellXfs count="336">
    <xf numFmtId="0" fontId="0" fillId="0" borderId="0" xfId="0"/>
    <xf numFmtId="174" fontId="2" fillId="0" borderId="0" xfId="2" applyFont="1" applyAlignment="1">
      <alignment horizontal="center" vertical="center"/>
    </xf>
    <xf numFmtId="0" fontId="3" fillId="2" borderId="1" xfId="0" applyFont="1" applyFill="1" applyBorder="1" applyProtection="1">
      <protection locked="0"/>
    </xf>
    <xf numFmtId="166" fontId="4" fillId="0" borderId="0" xfId="0" applyNumberFormat="1" applyFont="1" applyAlignment="1" applyProtection="1">
      <alignment horizontal="center" vertical="center"/>
      <protection locked="0"/>
    </xf>
    <xf numFmtId="14" fontId="4" fillId="0" borderId="2" xfId="0" applyNumberFormat="1" applyFont="1" applyBorder="1" applyAlignment="1" applyProtection="1">
      <alignment horizontal="center"/>
      <protection locked="0"/>
    </xf>
    <xf numFmtId="167" fontId="0" fillId="0" borderId="3" xfId="0" applyNumberFormat="1" applyBorder="1"/>
    <xf numFmtId="174" fontId="0" fillId="0" borderId="4" xfId="2" applyFont="1" applyBorder="1" applyAlignment="1">
      <alignment vertical="center"/>
    </xf>
    <xf numFmtId="166" fontId="4" fillId="0" borderId="0" xfId="0" applyNumberFormat="1" applyFont="1" applyAlignment="1" applyProtection="1">
      <alignment horizontal="center"/>
      <protection locked="0"/>
    </xf>
    <xf numFmtId="0" fontId="0" fillId="3" borderId="0" xfId="0" applyFill="1" applyProtection="1">
      <protection locked="0"/>
    </xf>
    <xf numFmtId="169" fontId="0" fillId="0" borderId="0" xfId="0" quotePrefix="1" applyNumberFormat="1"/>
    <xf numFmtId="0" fontId="3" fillId="0" borderId="0" xfId="0" applyFont="1" applyProtection="1">
      <protection locked="0"/>
    </xf>
    <xf numFmtId="0" fontId="0" fillId="0" borderId="5" xfId="0" applyBorder="1"/>
    <xf numFmtId="0" fontId="5" fillId="0" borderId="6" xfId="0" applyFont="1" applyBorder="1" applyAlignment="1">
      <alignment horizontal="center"/>
    </xf>
    <xf numFmtId="0" fontId="6" fillId="0" borderId="0" xfId="0" applyFont="1" applyProtection="1">
      <protection locked="0"/>
    </xf>
    <xf numFmtId="0" fontId="3" fillId="4" borderId="2" xfId="0" applyFont="1" applyFill="1" applyBorder="1" applyProtection="1">
      <protection locked="0"/>
    </xf>
    <xf numFmtId="0" fontId="0" fillId="0" borderId="0" xfId="0" applyProtection="1">
      <protection locked="0"/>
    </xf>
    <xf numFmtId="3" fontId="5" fillId="0" borderId="7" xfId="0" applyNumberFormat="1" applyFont="1" applyBorder="1"/>
    <xf numFmtId="10" fontId="4" fillId="0" borderId="0" xfId="0" applyNumberFormat="1" applyFont="1" applyProtection="1">
      <protection locked="0"/>
    </xf>
    <xf numFmtId="164" fontId="3" fillId="2" borderId="2" xfId="0" applyNumberFormat="1" applyFont="1" applyFill="1" applyBorder="1" applyAlignment="1" applyProtection="1">
      <alignment horizontal="left"/>
      <protection locked="0"/>
    </xf>
    <xf numFmtId="0" fontId="0" fillId="0" borderId="8" xfId="0" applyBorder="1"/>
    <xf numFmtId="169" fontId="4" fillId="0" borderId="0" xfId="0" quotePrefix="1" applyNumberFormat="1" applyFont="1" applyProtection="1">
      <protection locked="0"/>
    </xf>
    <xf numFmtId="164" fontId="0" fillId="0" borderId="0" xfId="0" applyNumberFormat="1" applyAlignment="1" applyProtection="1">
      <alignment horizontal="center"/>
      <protection locked="0"/>
    </xf>
    <xf numFmtId="0" fontId="5" fillId="0" borderId="9" xfId="0" applyFont="1" applyBorder="1" applyAlignment="1">
      <alignment horizontal="center" wrapText="1"/>
    </xf>
    <xf numFmtId="0" fontId="4" fillId="0" borderId="2" xfId="0" applyFont="1" applyBorder="1" applyAlignment="1" applyProtection="1">
      <alignment horizontal="center"/>
      <protection locked="0"/>
    </xf>
    <xf numFmtId="0" fontId="3" fillId="0" borderId="10" xfId="0" applyFont="1" applyBorder="1"/>
    <xf numFmtId="14" fontId="0" fillId="0" borderId="0" xfId="0" applyNumberFormat="1" applyAlignment="1">
      <alignment horizontal="right"/>
    </xf>
    <xf numFmtId="166" fontId="0" fillId="0" borderId="0" xfId="0" applyNumberFormat="1"/>
    <xf numFmtId="167" fontId="0" fillId="0" borderId="11" xfId="0" applyNumberFormat="1" applyBorder="1"/>
    <xf numFmtId="14" fontId="0" fillId="0" borderId="12" xfId="1" applyNumberFormat="1" applyFont="1" applyBorder="1" applyAlignment="1">
      <alignment horizontal="center" vertical="center"/>
    </xf>
    <xf numFmtId="169" fontId="0" fillId="0" borderId="0" xfId="0" applyNumberFormat="1"/>
    <xf numFmtId="166" fontId="3" fillId="5" borderId="2" xfId="0" applyNumberFormat="1" applyFont="1" applyFill="1" applyBorder="1" applyProtection="1">
      <protection locked="0"/>
    </xf>
    <xf numFmtId="0" fontId="4" fillId="0" borderId="0" xfId="0" applyFont="1" applyProtection="1">
      <protection locked="0"/>
    </xf>
    <xf numFmtId="14" fontId="4" fillId="0" borderId="0" xfId="0" quotePrefix="1" applyNumberFormat="1" applyFont="1" applyAlignment="1" applyProtection="1">
      <alignment horizontal="left"/>
      <protection locked="0"/>
    </xf>
    <xf numFmtId="9" fontId="4" fillId="0" borderId="0" xfId="0" applyNumberFormat="1" applyFont="1" applyProtection="1">
      <protection locked="0"/>
    </xf>
    <xf numFmtId="2" fontId="0" fillId="0" borderId="13" xfId="0" applyNumberFormat="1" applyBorder="1"/>
    <xf numFmtId="0" fontId="7" fillId="0" borderId="14" xfId="0" applyFont="1" applyBorder="1" applyProtection="1">
      <protection locked="0"/>
    </xf>
    <xf numFmtId="167" fontId="0" fillId="0" borderId="15" xfId="0" applyNumberFormat="1" applyBorder="1"/>
    <xf numFmtId="0" fontId="5" fillId="0" borderId="16" xfId="0" applyFont="1" applyBorder="1" applyAlignment="1">
      <alignment horizontal="center"/>
    </xf>
    <xf numFmtId="0" fontId="0" fillId="0" borderId="0" xfId="0" quotePrefix="1" applyAlignment="1">
      <alignment horizontal="center"/>
    </xf>
    <xf numFmtId="168" fontId="4" fillId="0" borderId="0" xfId="0" applyNumberFormat="1" applyFont="1" applyAlignment="1" applyProtection="1">
      <alignment horizontal="center" vertical="center"/>
      <protection locked="0"/>
    </xf>
    <xf numFmtId="0" fontId="5" fillId="0" borderId="17" xfId="0" applyFont="1" applyBorder="1" applyAlignment="1">
      <alignment horizontal="center"/>
    </xf>
    <xf numFmtId="10" fontId="8" fillId="6" borderId="0" xfId="0" applyNumberFormat="1" applyFont="1" applyFill="1"/>
    <xf numFmtId="0" fontId="5" fillId="0" borderId="18" xfId="0" applyFont="1" applyBorder="1" applyAlignment="1">
      <alignment horizontal="center"/>
    </xf>
    <xf numFmtId="14" fontId="4" fillId="0" borderId="2" xfId="0" applyNumberFormat="1" applyFont="1" applyBorder="1" applyProtection="1">
      <protection locked="0"/>
    </xf>
    <xf numFmtId="166" fontId="4" fillId="0" borderId="0" xfId="0" applyNumberFormat="1" applyFont="1" applyProtection="1">
      <protection locked="0"/>
    </xf>
    <xf numFmtId="168" fontId="0" fillId="0" borderId="0" xfId="0" applyNumberFormat="1"/>
    <xf numFmtId="3" fontId="5" fillId="0" borderId="19" xfId="0" applyNumberFormat="1" applyFont="1" applyBorder="1"/>
    <xf numFmtId="167" fontId="0" fillId="0" borderId="8" xfId="0" applyNumberFormat="1" applyBorder="1"/>
    <xf numFmtId="169" fontId="4" fillId="0" borderId="0" xfId="0" applyNumberFormat="1" applyFont="1" applyProtection="1">
      <protection locked="0"/>
    </xf>
    <xf numFmtId="167" fontId="4" fillId="0" borderId="2" xfId="0" applyNumberFormat="1" applyFont="1" applyBorder="1" applyAlignment="1" applyProtection="1">
      <alignment horizontal="center"/>
      <protection locked="0"/>
    </xf>
    <xf numFmtId="0" fontId="5" fillId="0" borderId="21" xfId="0" applyFont="1" applyBorder="1" applyAlignment="1">
      <alignment horizontal="center" wrapText="1"/>
    </xf>
    <xf numFmtId="0" fontId="3" fillId="0" borderId="0" xfId="0" applyFont="1" applyAlignment="1" applyProtection="1">
      <alignment horizontal="center" wrapText="1"/>
      <protection locked="0"/>
    </xf>
    <xf numFmtId="167" fontId="0" fillId="0" borderId="22" xfId="0" applyNumberFormat="1" applyBorder="1"/>
    <xf numFmtId="0" fontId="3" fillId="0" borderId="23" xfId="0" applyFont="1" applyBorder="1" applyAlignment="1">
      <alignment horizontal="center"/>
    </xf>
    <xf numFmtId="164" fontId="0" fillId="0" borderId="0" xfId="0" applyNumberFormat="1" applyProtection="1">
      <protection locked="0"/>
    </xf>
    <xf numFmtId="167" fontId="4" fillId="0" borderId="2" xfId="0" quotePrefix="1" applyNumberFormat="1" applyFont="1" applyBorder="1" applyProtection="1">
      <protection locked="0"/>
    </xf>
    <xf numFmtId="0" fontId="3" fillId="5" borderId="1" xfId="0" applyFont="1" applyFill="1" applyBorder="1" applyAlignment="1" applyProtection="1">
      <alignment horizontal="left"/>
      <protection locked="0"/>
    </xf>
    <xf numFmtId="0" fontId="4" fillId="0" borderId="2" xfId="0" applyFont="1" applyBorder="1" applyProtection="1">
      <protection locked="0"/>
    </xf>
    <xf numFmtId="0" fontId="0" fillId="0" borderId="24" xfId="0" applyBorder="1"/>
    <xf numFmtId="14" fontId="4" fillId="0" borderId="0" xfId="0" applyNumberFormat="1" applyFont="1" applyAlignment="1" applyProtection="1">
      <alignment horizontal="center"/>
      <protection locked="0"/>
    </xf>
    <xf numFmtId="164" fontId="3" fillId="5" borderId="1" xfId="0" quotePrefix="1" applyNumberFormat="1" applyFont="1" applyFill="1" applyBorder="1" applyAlignment="1" applyProtection="1">
      <alignment horizontal="left"/>
      <protection locked="0"/>
    </xf>
    <xf numFmtId="167" fontId="0" fillId="0" borderId="0" xfId="0" applyNumberFormat="1"/>
    <xf numFmtId="9" fontId="0" fillId="0" borderId="0" xfId="0" applyNumberFormat="1" applyAlignment="1">
      <alignment horizontal="center"/>
    </xf>
    <xf numFmtId="0" fontId="0" fillId="0" borderId="25" xfId="1" applyFont="1" applyBorder="1" applyAlignment="1">
      <alignment horizontal="right" vertical="center"/>
    </xf>
    <xf numFmtId="2" fontId="0" fillId="0" borderId="8" xfId="0" applyNumberFormat="1" applyBorder="1"/>
    <xf numFmtId="0" fontId="0" fillId="0" borderId="0" xfId="0" applyAlignment="1">
      <alignment horizontal="center"/>
    </xf>
    <xf numFmtId="3" fontId="5" fillId="0" borderId="0" xfId="0" applyNumberFormat="1" applyFont="1"/>
    <xf numFmtId="14" fontId="0" fillId="0" borderId="26" xfId="1" applyNumberFormat="1" applyFont="1" applyBorder="1" applyAlignment="1">
      <alignment horizontal="center" vertical="center"/>
    </xf>
    <xf numFmtId="2" fontId="0" fillId="0" borderId="27" xfId="0" applyNumberFormat="1" applyBorder="1"/>
    <xf numFmtId="0" fontId="3" fillId="4" borderId="0" xfId="0" applyFont="1" applyFill="1" applyProtection="1">
      <protection locked="0"/>
    </xf>
    <xf numFmtId="0" fontId="5" fillId="0" borderId="9" xfId="0" applyFont="1" applyBorder="1" applyAlignment="1">
      <alignment horizontal="center"/>
    </xf>
    <xf numFmtId="171" fontId="0" fillId="0" borderId="0" xfId="0" applyNumberFormat="1"/>
    <xf numFmtId="0" fontId="7" fillId="3" borderId="14" xfId="0" applyFont="1" applyFill="1" applyBorder="1" applyProtection="1">
      <protection locked="0"/>
    </xf>
    <xf numFmtId="3" fontId="5" fillId="0" borderId="28" xfId="0" applyNumberFormat="1" applyFont="1" applyBorder="1"/>
    <xf numFmtId="0" fontId="3" fillId="0" borderId="2" xfId="0" applyFont="1" applyBorder="1" applyAlignment="1" applyProtection="1">
      <alignment horizontal="center" wrapText="1"/>
      <protection locked="0" hidden="1"/>
    </xf>
    <xf numFmtId="0" fontId="0" fillId="0" borderId="0" xfId="0" quotePrefix="1"/>
    <xf numFmtId="0" fontId="4" fillId="0" borderId="0" xfId="0" applyFont="1" applyAlignment="1" applyProtection="1">
      <alignment horizontal="center"/>
      <protection locked="0"/>
    </xf>
    <xf numFmtId="167" fontId="0" fillId="0" borderId="29" xfId="0" applyNumberFormat="1" applyBorder="1"/>
    <xf numFmtId="14" fontId="0" fillId="0" borderId="0" xfId="0" applyNumberFormat="1"/>
    <xf numFmtId="0" fontId="3" fillId="0" borderId="30" xfId="0" applyFont="1" applyBorder="1"/>
    <xf numFmtId="167" fontId="4" fillId="0" borderId="2" xfId="0" applyNumberFormat="1" applyFont="1" applyBorder="1" applyProtection="1">
      <protection locked="0"/>
    </xf>
    <xf numFmtId="0" fontId="0" fillId="0" borderId="31" xfId="3" applyFont="1" applyBorder="1" applyAlignment="1">
      <alignment horizontal="center" vertical="center"/>
    </xf>
    <xf numFmtId="164" fontId="3" fillId="5" borderId="1" xfId="0" applyNumberFormat="1" applyFont="1" applyFill="1" applyBorder="1" applyAlignment="1" applyProtection="1">
      <alignment horizontal="left"/>
      <protection locked="0"/>
    </xf>
    <xf numFmtId="0" fontId="3" fillId="0" borderId="32" xfId="0" applyFont="1" applyBorder="1"/>
    <xf numFmtId="0" fontId="4" fillId="3" borderId="0" xfId="0" applyFont="1" applyFill="1" applyAlignment="1" applyProtection="1">
      <alignment horizontal="left"/>
      <protection locked="0"/>
    </xf>
    <xf numFmtId="0" fontId="3" fillId="0" borderId="33" xfId="0" applyFont="1" applyBorder="1"/>
    <xf numFmtId="0" fontId="4" fillId="0" borderId="0" xfId="0" quotePrefix="1" applyFont="1" applyProtection="1">
      <protection locked="0"/>
    </xf>
    <xf numFmtId="0" fontId="3" fillId="0" borderId="34" xfId="0" applyFont="1" applyBorder="1"/>
    <xf numFmtId="0" fontId="5" fillId="0" borderId="21" xfId="0" applyFont="1" applyBorder="1" applyAlignment="1">
      <alignment horizontal="center"/>
    </xf>
    <xf numFmtId="0" fontId="8" fillId="6" borderId="0" xfId="0" applyFont="1" applyFill="1" applyAlignment="1">
      <alignment horizontal="center"/>
    </xf>
    <xf numFmtId="167" fontId="0" fillId="0" borderId="35" xfId="0" applyNumberFormat="1" applyBorder="1"/>
    <xf numFmtId="167" fontId="4" fillId="0" borderId="0" xfId="0" applyNumberFormat="1" applyFont="1" applyAlignment="1" applyProtection="1">
      <alignment horizontal="center"/>
      <protection locked="0"/>
    </xf>
    <xf numFmtId="0" fontId="5" fillId="0" borderId="36" xfId="0" applyFont="1" applyBorder="1" applyAlignment="1">
      <alignment horizontal="center"/>
    </xf>
    <xf numFmtId="0" fontId="5" fillId="0" borderId="37" xfId="0" applyFont="1" applyBorder="1" applyAlignment="1">
      <alignment horizontal="center" wrapText="1"/>
    </xf>
    <xf numFmtId="0" fontId="3" fillId="0" borderId="2" xfId="0" applyFont="1" applyBorder="1" applyAlignment="1" applyProtection="1">
      <alignment horizontal="center" wrapText="1"/>
      <protection locked="0"/>
    </xf>
    <xf numFmtId="0" fontId="5" fillId="0" borderId="38" xfId="0" applyFont="1" applyBorder="1" applyAlignment="1">
      <alignment horizontal="center"/>
    </xf>
    <xf numFmtId="14" fontId="0" fillId="0" borderId="39" xfId="1" applyNumberFormat="1" applyFont="1" applyBorder="1" applyAlignment="1">
      <alignment horizontal="center" vertical="center"/>
    </xf>
    <xf numFmtId="0" fontId="5" fillId="0" borderId="28" xfId="0" applyFont="1" applyBorder="1" applyAlignment="1">
      <alignment horizontal="center" wrapText="1"/>
    </xf>
    <xf numFmtId="0" fontId="0" fillId="3" borderId="0" xfId="0" applyFill="1"/>
    <xf numFmtId="167" fontId="4" fillId="0" borderId="0" xfId="0" quotePrefix="1" applyNumberFormat="1" applyFont="1" applyProtection="1">
      <protection locked="0"/>
    </xf>
    <xf numFmtId="173" fontId="0" fillId="0" borderId="0" xfId="0" applyNumberFormat="1"/>
    <xf numFmtId="0" fontId="0" fillId="4" borderId="0" xfId="0" applyFill="1" applyAlignment="1" applyProtection="1">
      <alignment horizontal="left"/>
      <protection locked="0"/>
    </xf>
    <xf numFmtId="0" fontId="0" fillId="0" borderId="0" xfId="0" applyAlignment="1" applyProtection="1">
      <alignment horizontal="center"/>
      <protection locked="0"/>
    </xf>
    <xf numFmtId="0" fontId="3" fillId="0" borderId="0" xfId="0" applyFont="1" applyAlignment="1">
      <alignment horizontal="center"/>
    </xf>
    <xf numFmtId="9" fontId="0" fillId="0" borderId="41" xfId="0" applyNumberFormat="1" applyBorder="1" applyAlignment="1">
      <alignment horizontal="center"/>
    </xf>
    <xf numFmtId="0" fontId="5" fillId="0" borderId="7" xfId="0" applyFont="1" applyBorder="1" applyAlignment="1">
      <alignment horizontal="center"/>
    </xf>
    <xf numFmtId="0" fontId="8" fillId="0" borderId="0" xfId="0" applyFont="1"/>
    <xf numFmtId="10" fontId="4" fillId="0" borderId="2" xfId="0" applyNumberFormat="1" applyFont="1" applyBorder="1" applyProtection="1">
      <protection locked="0"/>
    </xf>
    <xf numFmtId="0" fontId="3" fillId="0" borderId="0" xfId="0" applyFont="1" applyAlignment="1">
      <alignment horizontal="center" wrapText="1"/>
    </xf>
    <xf numFmtId="0" fontId="0" fillId="0" borderId="43" xfId="0" applyBorder="1"/>
    <xf numFmtId="0" fontId="3" fillId="0" borderId="33" xfId="0" applyFont="1" applyBorder="1" applyAlignment="1">
      <alignment horizontal="center"/>
    </xf>
    <xf numFmtId="0" fontId="8" fillId="6" borderId="0" xfId="0" applyFont="1" applyFill="1"/>
    <xf numFmtId="1" fontId="4" fillId="0" borderId="0" xfId="0" applyNumberFormat="1" applyFont="1" applyProtection="1">
      <protection locked="0"/>
    </xf>
    <xf numFmtId="167" fontId="0" fillId="0" borderId="44" xfId="0" applyNumberFormat="1" applyBorder="1"/>
    <xf numFmtId="167" fontId="4" fillId="0" borderId="0" xfId="0" applyNumberFormat="1" applyFont="1" applyProtection="1">
      <protection locked="0"/>
    </xf>
    <xf numFmtId="3" fontId="0" fillId="0" borderId="0" xfId="0" applyNumberFormat="1"/>
    <xf numFmtId="168" fontId="4" fillId="0" borderId="2" xfId="0" quotePrefix="1" applyNumberFormat="1" applyFont="1" applyBorder="1" applyProtection="1">
      <protection locked="0"/>
    </xf>
    <xf numFmtId="0" fontId="5" fillId="0" borderId="45" xfId="0" applyFont="1" applyBorder="1" applyAlignment="1">
      <alignment horizontal="center" wrapText="1"/>
    </xf>
    <xf numFmtId="3" fontId="5" fillId="0" borderId="46" xfId="0" applyNumberFormat="1" applyFont="1" applyBorder="1"/>
    <xf numFmtId="9" fontId="4" fillId="0" borderId="2" xfId="0" applyNumberFormat="1" applyFont="1" applyBorder="1" applyProtection="1">
      <protection locked="0"/>
    </xf>
    <xf numFmtId="175" fontId="0" fillId="0" borderId="0" xfId="0" applyNumberFormat="1"/>
    <xf numFmtId="167" fontId="0" fillId="0" borderId="47" xfId="0" applyNumberFormat="1" applyBorder="1"/>
    <xf numFmtId="174" fontId="0" fillId="0" borderId="48" xfId="2" applyFont="1" applyBorder="1" applyAlignment="1">
      <alignment vertical="center"/>
    </xf>
    <xf numFmtId="3" fontId="5" fillId="0" borderId="49" xfId="0" applyNumberFormat="1" applyFont="1" applyBorder="1"/>
    <xf numFmtId="0" fontId="9" fillId="0" borderId="0" xfId="0" applyFont="1"/>
    <xf numFmtId="167" fontId="0" fillId="0" borderId="50" xfId="0" applyNumberFormat="1" applyBorder="1"/>
    <xf numFmtId="0" fontId="5" fillId="0" borderId="19" xfId="0" applyFont="1" applyBorder="1" applyAlignment="1">
      <alignment horizontal="center"/>
    </xf>
    <xf numFmtId="0" fontId="3" fillId="0" borderId="23" xfId="0" applyFont="1" applyBorder="1"/>
    <xf numFmtId="174" fontId="0" fillId="0" borderId="48" xfId="2" applyFont="1" applyBorder="1" applyAlignment="1">
      <alignment horizontal="left" vertical="center"/>
    </xf>
    <xf numFmtId="0" fontId="3" fillId="0" borderId="51" xfId="0" applyFont="1" applyBorder="1"/>
    <xf numFmtId="49" fontId="4" fillId="0" borderId="0" xfId="0" applyNumberFormat="1" applyFont="1" applyProtection="1">
      <protection locked="0"/>
    </xf>
    <xf numFmtId="0" fontId="5" fillId="0" borderId="52" xfId="0" applyFont="1" applyBorder="1" applyAlignment="1">
      <alignment horizontal="center" wrapText="1"/>
    </xf>
    <xf numFmtId="164" fontId="3" fillId="2" borderId="1" xfId="0" applyNumberFormat="1" applyFont="1" applyFill="1" applyBorder="1" applyAlignment="1" applyProtection="1">
      <alignment horizontal="left"/>
      <protection locked="0"/>
    </xf>
    <xf numFmtId="0" fontId="5" fillId="0" borderId="53" xfId="0" applyFont="1" applyBorder="1" applyAlignment="1">
      <alignment horizontal="center" wrapText="1"/>
    </xf>
    <xf numFmtId="0" fontId="5" fillId="0" borderId="37" xfId="0" applyFont="1" applyBorder="1" applyAlignment="1">
      <alignment horizontal="center"/>
    </xf>
    <xf numFmtId="14" fontId="0" fillId="0" borderId="0" xfId="1" applyNumberFormat="1" applyFont="1" applyAlignment="1">
      <alignment horizontal="center" vertical="center"/>
    </xf>
    <xf numFmtId="174" fontId="2" fillId="0" borderId="0" xfId="2" applyFont="1" applyAlignment="1">
      <alignment vertical="center"/>
    </xf>
    <xf numFmtId="164" fontId="3" fillId="0" borderId="0" xfId="0" applyNumberFormat="1" applyFont="1" applyProtection="1">
      <protection locked="0"/>
    </xf>
    <xf numFmtId="0" fontId="4" fillId="0" borderId="2" xfId="0" quotePrefix="1" applyFont="1" applyBorder="1" applyAlignment="1" applyProtection="1">
      <alignment horizontal="left"/>
      <protection locked="0"/>
    </xf>
    <xf numFmtId="166" fontId="3" fillId="0" borderId="2" xfId="0" applyNumberFormat="1" applyFont="1" applyBorder="1" applyAlignment="1" applyProtection="1">
      <alignment horizontal="center" wrapText="1"/>
      <protection locked="0"/>
    </xf>
    <xf numFmtId="3" fontId="5" fillId="0" borderId="54" xfId="0" applyNumberFormat="1" applyFont="1" applyBorder="1"/>
    <xf numFmtId="3" fontId="5" fillId="0" borderId="55" xfId="0" applyNumberFormat="1" applyFont="1" applyBorder="1"/>
    <xf numFmtId="0" fontId="5" fillId="0" borderId="28" xfId="0" applyFont="1" applyBorder="1" applyAlignment="1">
      <alignment horizontal="center"/>
    </xf>
    <xf numFmtId="172" fontId="4" fillId="0" borderId="0" xfId="0" applyNumberFormat="1" applyFont="1" applyAlignment="1" applyProtection="1">
      <alignment horizontal="center"/>
      <protection locked="0"/>
    </xf>
    <xf numFmtId="0" fontId="10" fillId="0" borderId="0" xfId="0" applyFont="1"/>
    <xf numFmtId="168" fontId="4" fillId="0" borderId="2" xfId="0" applyNumberFormat="1" applyFont="1" applyBorder="1" applyProtection="1">
      <protection locked="0"/>
    </xf>
    <xf numFmtId="166" fontId="3" fillId="5" borderId="1" xfId="0" applyNumberFormat="1" applyFont="1" applyFill="1" applyBorder="1" applyProtection="1">
      <protection locked="0"/>
    </xf>
    <xf numFmtId="0" fontId="0" fillId="0" borderId="3" xfId="0" applyBorder="1" applyAlignment="1">
      <alignment horizontal="center"/>
    </xf>
    <xf numFmtId="0" fontId="5" fillId="0" borderId="56" xfId="0" applyFont="1" applyBorder="1" applyAlignment="1">
      <alignment horizontal="center"/>
    </xf>
    <xf numFmtId="10" fontId="0" fillId="0" borderId="0" xfId="0" applyNumberFormat="1"/>
    <xf numFmtId="9" fontId="0" fillId="0" borderId="47" xfId="0" applyNumberFormat="1" applyBorder="1" applyAlignment="1">
      <alignment horizontal="center"/>
    </xf>
    <xf numFmtId="166" fontId="4" fillId="3" borderId="0" xfId="0" quotePrefix="1" applyNumberFormat="1" applyFont="1" applyFill="1" applyProtection="1">
      <protection locked="0"/>
    </xf>
    <xf numFmtId="0" fontId="3" fillId="2" borderId="2" xfId="0" applyFont="1" applyFill="1" applyBorder="1" applyProtection="1">
      <protection locked="0"/>
    </xf>
    <xf numFmtId="0" fontId="0" fillId="0" borderId="0" xfId="1" applyFont="1" applyAlignment="1">
      <alignment horizontal="right" vertical="center"/>
    </xf>
    <xf numFmtId="167" fontId="0" fillId="0" borderId="57" xfId="0" applyNumberFormat="1" applyBorder="1"/>
    <xf numFmtId="175" fontId="8" fillId="6" borderId="0" xfId="0" applyNumberFormat="1" applyFont="1" applyFill="1"/>
    <xf numFmtId="0" fontId="5" fillId="0" borderId="58" xfId="0" applyFont="1" applyBorder="1" applyAlignment="1">
      <alignment horizontal="center" wrapText="1"/>
    </xf>
    <xf numFmtId="0" fontId="4" fillId="0" borderId="2" xfId="0" applyFont="1" applyBorder="1" applyAlignment="1" applyProtection="1">
      <alignment horizontal="left"/>
      <protection locked="0"/>
    </xf>
    <xf numFmtId="172" fontId="0" fillId="0" borderId="0" xfId="0" applyNumberFormat="1"/>
    <xf numFmtId="167" fontId="0" fillId="0" borderId="59" xfId="0" applyNumberFormat="1" applyBorder="1"/>
    <xf numFmtId="14" fontId="0" fillId="0" borderId="25" xfId="1" applyNumberFormat="1" applyFont="1" applyBorder="1" applyAlignment="1">
      <alignment horizontal="center" vertical="center"/>
    </xf>
    <xf numFmtId="166" fontId="0" fillId="0" borderId="0" xfId="0" applyNumberFormat="1" applyAlignment="1" applyProtection="1">
      <alignment horizontal="center"/>
      <protection locked="0"/>
    </xf>
    <xf numFmtId="165" fontId="0" fillId="0" borderId="0" xfId="0" applyNumberFormat="1" applyProtection="1">
      <protection locked="0"/>
    </xf>
    <xf numFmtId="0" fontId="0" fillId="0" borderId="27" xfId="0" applyBorder="1"/>
    <xf numFmtId="0" fontId="5" fillId="0" borderId="45" xfId="0" applyFont="1" applyBorder="1" applyAlignment="1">
      <alignment horizontal="center"/>
    </xf>
    <xf numFmtId="0" fontId="5" fillId="0" borderId="60" xfId="0" applyFont="1" applyBorder="1" applyAlignment="1">
      <alignment horizontal="center"/>
    </xf>
    <xf numFmtId="167" fontId="0" fillId="0" borderId="61" xfId="0" applyNumberFormat="1" applyBorder="1"/>
    <xf numFmtId="0" fontId="6" fillId="0" borderId="0" xfId="0" applyFont="1" applyAlignment="1" applyProtection="1">
      <alignment horizontal="left"/>
      <protection locked="0"/>
    </xf>
    <xf numFmtId="168" fontId="4" fillId="0" borderId="0" xfId="0" quotePrefix="1" applyNumberFormat="1" applyFont="1" applyProtection="1">
      <protection locked="0"/>
    </xf>
    <xf numFmtId="166" fontId="4" fillId="3" borderId="0" xfId="0" applyNumberFormat="1" applyFont="1" applyFill="1" applyProtection="1">
      <protection locked="0"/>
    </xf>
    <xf numFmtId="0" fontId="5" fillId="0" borderId="46" xfId="0" applyFont="1" applyBorder="1" applyAlignment="1">
      <alignment horizontal="center" wrapText="1"/>
    </xf>
    <xf numFmtId="0" fontId="3" fillId="5" borderId="1" xfId="0" applyFont="1" applyFill="1" applyBorder="1" applyAlignment="1" applyProtection="1">
      <alignment horizontal="center"/>
      <protection locked="0"/>
    </xf>
    <xf numFmtId="4" fontId="4" fillId="0" borderId="0" xfId="0" applyNumberFormat="1" applyFont="1" applyAlignment="1" applyProtection="1">
      <alignment horizontal="right"/>
      <protection locked="0"/>
    </xf>
    <xf numFmtId="4" fontId="0" fillId="0" borderId="0" xfId="0" applyNumberFormat="1"/>
    <xf numFmtId="0" fontId="0" fillId="0" borderId="8" xfId="0" applyBorder="1" applyAlignment="1">
      <alignment horizontal="center"/>
    </xf>
    <xf numFmtId="0" fontId="5" fillId="0" borderId="49" xfId="0" applyFont="1" applyBorder="1" applyAlignment="1">
      <alignment horizontal="center" wrapText="1"/>
    </xf>
    <xf numFmtId="3" fontId="5" fillId="0" borderId="62" xfId="0" applyNumberFormat="1" applyFont="1" applyBorder="1"/>
    <xf numFmtId="0" fontId="5" fillId="0" borderId="55" xfId="0" applyFont="1" applyBorder="1" applyAlignment="1">
      <alignment horizontal="center"/>
    </xf>
    <xf numFmtId="0" fontId="5" fillId="0" borderId="62" xfId="0" applyFont="1" applyBorder="1" applyAlignment="1">
      <alignment horizontal="center" wrapText="1"/>
    </xf>
    <xf numFmtId="14" fontId="3" fillId="5" borderId="2" xfId="0" applyNumberFormat="1" applyFont="1" applyFill="1" applyBorder="1" applyAlignment="1" applyProtection="1">
      <alignment horizontal="left"/>
      <protection locked="0"/>
    </xf>
    <xf numFmtId="0" fontId="0" fillId="0" borderId="27" xfId="0" applyBorder="1" applyAlignment="1">
      <alignment horizontal="center"/>
    </xf>
    <xf numFmtId="0" fontId="4" fillId="0" borderId="0" xfId="0" quotePrefix="1" applyFont="1" applyAlignment="1" applyProtection="1">
      <alignment horizontal="left"/>
      <protection locked="0"/>
    </xf>
    <xf numFmtId="0" fontId="11" fillId="0" borderId="0" xfId="0" applyFont="1"/>
    <xf numFmtId="0" fontId="3" fillId="0" borderId="0" xfId="0" applyFont="1"/>
    <xf numFmtId="0" fontId="5" fillId="0" borderId="57" xfId="0" applyFont="1" applyBorder="1" applyAlignment="1">
      <alignment horizontal="center" wrapText="1"/>
    </xf>
    <xf numFmtId="168" fontId="4" fillId="0" borderId="0" xfId="0" applyNumberFormat="1" applyFont="1" applyProtection="1">
      <protection locked="0"/>
    </xf>
    <xf numFmtId="0" fontId="0" fillId="0" borderId="0" xfId="3" applyFont="1" applyAlignment="1">
      <alignment horizontal="center" vertical="center"/>
    </xf>
    <xf numFmtId="167" fontId="0" fillId="0" borderId="19" xfId="0" applyNumberFormat="1" applyBorder="1"/>
    <xf numFmtId="167" fontId="0" fillId="0" borderId="63" xfId="0" applyNumberFormat="1" applyBorder="1"/>
    <xf numFmtId="167" fontId="0" fillId="0" borderId="24" xfId="0" applyNumberFormat="1" applyBorder="1"/>
    <xf numFmtId="3" fontId="5" fillId="0" borderId="60" xfId="0" applyNumberFormat="1" applyFont="1" applyBorder="1"/>
    <xf numFmtId="174" fontId="0" fillId="0" borderId="64" xfId="2" applyFont="1" applyBorder="1" applyAlignment="1">
      <alignment vertical="center"/>
    </xf>
    <xf numFmtId="170" fontId="0" fillId="0" borderId="0" xfId="0" applyNumberFormat="1"/>
    <xf numFmtId="49" fontId="4" fillId="0" borderId="0" xfId="0" quotePrefix="1" applyNumberFormat="1" applyFont="1" applyProtection="1">
      <protection locked="0"/>
    </xf>
    <xf numFmtId="0" fontId="3" fillId="5" borderId="2" xfId="0" applyFont="1" applyFill="1" applyBorder="1" applyAlignment="1" applyProtection="1">
      <alignment horizontal="left"/>
      <protection locked="0"/>
    </xf>
    <xf numFmtId="0" fontId="3" fillId="4" borderId="2" xfId="0" applyFont="1" applyFill="1" applyBorder="1" applyAlignment="1" applyProtection="1">
      <alignment horizontal="center" wrapText="1"/>
      <protection locked="0"/>
    </xf>
    <xf numFmtId="164" fontId="3" fillId="5" borderId="2" xfId="0" quotePrefix="1" applyNumberFormat="1" applyFont="1" applyFill="1" applyBorder="1" applyAlignment="1" applyProtection="1">
      <alignment horizontal="left"/>
      <protection locked="0"/>
    </xf>
    <xf numFmtId="0" fontId="5" fillId="0" borderId="65" xfId="0" applyFont="1" applyBorder="1" applyAlignment="1">
      <alignment horizontal="center" wrapText="1"/>
    </xf>
    <xf numFmtId="0" fontId="5" fillId="0" borderId="66" xfId="0" applyFont="1" applyBorder="1" applyAlignment="1">
      <alignment horizontal="center" wrapText="1"/>
    </xf>
    <xf numFmtId="0" fontId="12" fillId="4" borderId="0" xfId="0" applyFont="1" applyFill="1" applyAlignment="1" applyProtection="1">
      <alignment horizontal="right"/>
      <protection locked="0"/>
    </xf>
    <xf numFmtId="3" fontId="5" fillId="0" borderId="17" xfId="0" applyNumberFormat="1" applyFont="1" applyBorder="1"/>
    <xf numFmtId="0" fontId="7" fillId="3" borderId="0" xfId="0" applyFont="1" applyFill="1" applyProtection="1">
      <protection locked="0"/>
    </xf>
    <xf numFmtId="0" fontId="3" fillId="5" borderId="1" xfId="0" applyFont="1" applyFill="1" applyBorder="1" applyProtection="1">
      <protection locked="0"/>
    </xf>
    <xf numFmtId="14" fontId="4" fillId="0" borderId="0" xfId="0" applyNumberFormat="1" applyFont="1" applyProtection="1">
      <protection locked="0"/>
    </xf>
    <xf numFmtId="0" fontId="4" fillId="0" borderId="0" xfId="0" applyFont="1" applyAlignment="1" applyProtection="1">
      <alignment horizontal="left"/>
      <protection locked="0"/>
    </xf>
    <xf numFmtId="14" fontId="0" fillId="0" borderId="31" xfId="1" applyNumberFormat="1" applyFont="1" applyBorder="1" applyAlignment="1">
      <alignment horizontal="center" vertical="center"/>
    </xf>
    <xf numFmtId="3" fontId="5" fillId="0" borderId="68" xfId="0" applyNumberFormat="1" applyFont="1" applyBorder="1"/>
    <xf numFmtId="0" fontId="0" fillId="0" borderId="69" xfId="0" applyBorder="1"/>
    <xf numFmtId="2" fontId="0" fillId="0" borderId="24" xfId="0" applyNumberFormat="1" applyBorder="1"/>
    <xf numFmtId="0" fontId="5" fillId="0" borderId="70" xfId="0" applyFont="1" applyBorder="1" applyAlignment="1">
      <alignment horizontal="center" wrapText="1"/>
    </xf>
    <xf numFmtId="0" fontId="3" fillId="3" borderId="2" xfId="0" applyFont="1" applyFill="1" applyBorder="1" applyAlignment="1" applyProtection="1">
      <alignment horizontal="center" wrapText="1"/>
      <protection locked="0"/>
    </xf>
    <xf numFmtId="0" fontId="0" fillId="0" borderId="72" xfId="0" applyBorder="1"/>
    <xf numFmtId="0" fontId="3" fillId="0" borderId="73" xfId="0" applyFont="1" applyBorder="1"/>
    <xf numFmtId="166" fontId="4" fillId="0" borderId="2" xfId="0" applyNumberFormat="1" applyFont="1" applyBorder="1" applyAlignment="1" applyProtection="1">
      <alignment horizontal="center"/>
      <protection locked="0"/>
    </xf>
    <xf numFmtId="0" fontId="6" fillId="0" borderId="0" xfId="0" quotePrefix="1" applyFont="1" applyAlignment="1" applyProtection="1">
      <alignment horizontal="left"/>
      <protection locked="0"/>
    </xf>
    <xf numFmtId="164" fontId="3" fillId="5" borderId="2" xfId="0" applyNumberFormat="1" applyFont="1" applyFill="1" applyBorder="1" applyAlignment="1" applyProtection="1">
      <alignment horizontal="left"/>
      <protection locked="0"/>
    </xf>
    <xf numFmtId="167" fontId="3" fillId="0" borderId="74" xfId="0" applyNumberFormat="1" applyFont="1" applyBorder="1"/>
    <xf numFmtId="0" fontId="5" fillId="0" borderId="62" xfId="0" applyFont="1" applyBorder="1" applyAlignment="1">
      <alignment horizontal="center"/>
    </xf>
    <xf numFmtId="14" fontId="6" fillId="0" borderId="0" xfId="0" applyNumberFormat="1" applyFont="1" applyAlignment="1" applyProtection="1">
      <alignment horizontal="left"/>
      <protection locked="0"/>
    </xf>
    <xf numFmtId="167" fontId="0" fillId="0" borderId="41" xfId="0" applyNumberFormat="1" applyBorder="1"/>
    <xf numFmtId="0" fontId="13" fillId="0" borderId="0" xfId="0" applyFont="1" applyAlignment="1" applyProtection="1">
      <alignment horizontal="left"/>
      <protection locked="0"/>
    </xf>
    <xf numFmtId="0" fontId="5" fillId="0" borderId="75" xfId="0" applyFont="1" applyBorder="1" applyAlignment="1">
      <alignment horizontal="center" wrapText="1"/>
    </xf>
    <xf numFmtId="0" fontId="3" fillId="0" borderId="76" xfId="0" applyFont="1" applyBorder="1"/>
    <xf numFmtId="0" fontId="5" fillId="0" borderId="57" xfId="0" applyFont="1" applyBorder="1" applyAlignment="1">
      <alignment horizontal="center"/>
    </xf>
    <xf numFmtId="0" fontId="3" fillId="5" borderId="2" xfId="0" applyFont="1" applyFill="1" applyBorder="1" applyProtection="1">
      <protection locked="0"/>
    </xf>
    <xf numFmtId="169" fontId="4" fillId="0" borderId="2" xfId="0" quotePrefix="1" applyNumberFormat="1" applyFont="1" applyBorder="1" applyProtection="1">
      <protection locked="0"/>
    </xf>
    <xf numFmtId="3" fontId="5" fillId="0" borderId="71" xfId="0" applyNumberFormat="1" applyFont="1" applyBorder="1"/>
    <xf numFmtId="0" fontId="5" fillId="0" borderId="77" xfId="0" applyFont="1" applyBorder="1" applyAlignment="1">
      <alignment horizontal="center"/>
    </xf>
    <xf numFmtId="0" fontId="0" fillId="3" borderId="0" xfId="0" applyFill="1" applyAlignment="1" applyProtection="1">
      <alignment horizontal="center"/>
      <protection locked="0"/>
    </xf>
    <xf numFmtId="0" fontId="4" fillId="0" borderId="2" xfId="0" applyFont="1" applyBorder="1" applyAlignment="1" applyProtection="1">
      <alignment horizontal="center" wrapText="1"/>
      <protection locked="0"/>
    </xf>
    <xf numFmtId="14" fontId="0" fillId="0" borderId="0" xfId="0" applyNumberFormat="1" applyProtection="1">
      <protection locked="0"/>
    </xf>
    <xf numFmtId="0" fontId="3" fillId="0" borderId="0" xfId="0" applyFont="1" applyAlignment="1">
      <alignment horizontal="left"/>
    </xf>
    <xf numFmtId="0" fontId="5" fillId="0" borderId="66" xfId="0" applyFont="1" applyBorder="1" applyAlignment="1">
      <alignment horizontal="center"/>
    </xf>
    <xf numFmtId="14" fontId="4" fillId="0" borderId="2" xfId="0" quotePrefix="1" applyNumberFormat="1" applyFont="1" applyBorder="1" applyAlignment="1" applyProtection="1">
      <alignment horizontal="left"/>
      <protection locked="0"/>
    </xf>
    <xf numFmtId="166" fontId="4" fillId="0" borderId="0" xfId="0" quotePrefix="1" applyNumberFormat="1" applyFont="1" applyAlignment="1" applyProtection="1">
      <alignment horizontal="left"/>
      <protection locked="0"/>
    </xf>
    <xf numFmtId="0" fontId="0" fillId="0" borderId="3" xfId="0" applyBorder="1"/>
    <xf numFmtId="10" fontId="4" fillId="0" borderId="0" xfId="0" applyNumberFormat="1" applyFont="1" applyAlignment="1" applyProtection="1">
      <alignment horizontal="center"/>
      <protection locked="0"/>
    </xf>
    <xf numFmtId="166" fontId="7" fillId="0" borderId="14" xfId="0" applyNumberFormat="1" applyFont="1" applyBorder="1" applyProtection="1">
      <protection locked="0"/>
    </xf>
    <xf numFmtId="174" fontId="0" fillId="0" borderId="0" xfId="2" applyFont="1" applyAlignment="1">
      <alignment vertical="center"/>
    </xf>
    <xf numFmtId="166" fontId="4" fillId="0" borderId="2" xfId="0" applyNumberFormat="1" applyFont="1" applyBorder="1" applyProtection="1">
      <protection locked="0"/>
    </xf>
    <xf numFmtId="0" fontId="5" fillId="0" borderId="78" xfId="0" applyFont="1" applyBorder="1" applyAlignment="1">
      <alignment horizontal="center" wrapText="1"/>
    </xf>
    <xf numFmtId="169" fontId="4" fillId="0" borderId="2" xfId="0" applyNumberFormat="1" applyFont="1" applyBorder="1" applyProtection="1">
      <protection locked="0"/>
    </xf>
    <xf numFmtId="0" fontId="5" fillId="0" borderId="16" xfId="0" applyFont="1" applyBorder="1" applyAlignment="1">
      <alignment horizontal="center" wrapText="1"/>
    </xf>
    <xf numFmtId="0" fontId="5" fillId="0" borderId="0" xfId="0" applyFont="1" applyAlignment="1">
      <alignment horizontal="center"/>
    </xf>
    <xf numFmtId="0" fontId="0" fillId="4" borderId="0" xfId="0" applyFill="1" applyProtection="1">
      <protection locked="0"/>
    </xf>
    <xf numFmtId="0" fontId="3" fillId="0" borderId="79" xfId="0" applyFont="1" applyBorder="1"/>
    <xf numFmtId="0" fontId="13" fillId="0" borderId="0" xfId="0" applyFont="1" applyProtection="1">
      <protection locked="0"/>
    </xf>
    <xf numFmtId="164" fontId="0" fillId="3" borderId="0" xfId="0" applyNumberFormat="1" applyFill="1" applyAlignment="1" applyProtection="1">
      <alignment horizontal="center"/>
      <protection locked="0"/>
    </xf>
    <xf numFmtId="0" fontId="4" fillId="0" borderId="0" xfId="0" applyFont="1" applyAlignment="1" applyProtection="1">
      <alignment horizontal="right" vertical="center"/>
      <protection locked="0"/>
    </xf>
    <xf numFmtId="9" fontId="0" fillId="0" borderId="44" xfId="0" applyNumberFormat="1" applyBorder="1" applyAlignment="1">
      <alignment horizontal="center"/>
    </xf>
    <xf numFmtId="167" fontId="0" fillId="0" borderId="80" xfId="0" applyNumberFormat="1" applyBorder="1"/>
    <xf numFmtId="167" fontId="0" fillId="0" borderId="81" xfId="0" applyNumberFormat="1" applyBorder="1"/>
    <xf numFmtId="167" fontId="0" fillId="0" borderId="82" xfId="0" applyNumberFormat="1" applyBorder="1"/>
    <xf numFmtId="167" fontId="0" fillId="7" borderId="22" xfId="0" applyNumberFormat="1" applyFill="1" applyBorder="1"/>
    <xf numFmtId="167" fontId="0" fillId="7" borderId="59" xfId="0" applyNumberFormat="1" applyFill="1" applyBorder="1"/>
    <xf numFmtId="167" fontId="0" fillId="7" borderId="19" xfId="0" applyNumberFormat="1" applyFill="1" applyBorder="1"/>
    <xf numFmtId="167" fontId="0" fillId="7" borderId="47" xfId="0" applyNumberFormat="1" applyFill="1" applyBorder="1"/>
    <xf numFmtId="167" fontId="0" fillId="7" borderId="35" xfId="0" applyNumberFormat="1" applyFill="1" applyBorder="1"/>
    <xf numFmtId="167" fontId="0" fillId="7" borderId="41" xfId="0" applyNumberFormat="1" applyFill="1" applyBorder="1"/>
    <xf numFmtId="14" fontId="4" fillId="0" borderId="0" xfId="0" quotePrefix="1" applyNumberFormat="1" applyFont="1" applyProtection="1">
      <protection locked="0"/>
    </xf>
    <xf numFmtId="0" fontId="4" fillId="0" borderId="0" xfId="0" applyFont="1" applyAlignment="1" applyProtection="1">
      <alignment horizontal="right"/>
      <protection locked="0"/>
    </xf>
    <xf numFmtId="0" fontId="4" fillId="0" borderId="0" xfId="0" quotePrefix="1" applyFont="1" applyAlignment="1" applyProtection="1">
      <alignment horizontal="right"/>
      <protection locked="0"/>
    </xf>
    <xf numFmtId="168" fontId="3" fillId="9" borderId="83" xfId="4" applyNumberFormat="1" applyFont="1" applyFill="1" applyBorder="1" applyProtection="1">
      <protection locked="0"/>
    </xf>
    <xf numFmtId="14" fontId="0" fillId="0" borderId="0" xfId="0" applyNumberFormat="1" applyAlignment="1" applyProtection="1">
      <alignment horizontal="center"/>
      <protection locked="0"/>
    </xf>
    <xf numFmtId="166" fontId="4" fillId="0" borderId="0" xfId="0" quotePrefix="1" applyNumberFormat="1" applyFont="1" applyProtection="1">
      <protection locked="0"/>
    </xf>
    <xf numFmtId="166" fontId="4" fillId="0" borderId="0" xfId="0" quotePrefix="1" applyNumberFormat="1" applyFont="1" applyAlignment="1" applyProtection="1">
      <alignment horizontal="center"/>
      <protection locked="0"/>
    </xf>
    <xf numFmtId="166" fontId="4" fillId="10" borderId="0" xfId="0" applyNumberFormat="1" applyFont="1" applyFill="1" applyProtection="1">
      <protection locked="0"/>
    </xf>
    <xf numFmtId="164" fontId="0" fillId="10" borderId="0" xfId="0" applyNumberFormat="1" applyFill="1" applyProtection="1">
      <protection locked="0"/>
    </xf>
    <xf numFmtId="0" fontId="0" fillId="10" borderId="0" xfId="0" applyFill="1" applyProtection="1">
      <protection locked="0"/>
    </xf>
    <xf numFmtId="0" fontId="3" fillId="10" borderId="0" xfId="0" applyFont="1" applyFill="1" applyProtection="1">
      <protection locked="0"/>
    </xf>
    <xf numFmtId="164" fontId="3" fillId="10" borderId="0" xfId="0" applyNumberFormat="1" applyFont="1" applyFill="1" applyProtection="1">
      <protection locked="0"/>
    </xf>
    <xf numFmtId="0" fontId="15" fillId="7" borderId="2" xfId="0" applyFont="1" applyFill="1" applyBorder="1" applyAlignment="1" applyProtection="1">
      <alignment horizontal="center" wrapText="1"/>
      <protection locked="0"/>
    </xf>
    <xf numFmtId="168" fontId="0" fillId="0" borderId="0" xfId="0" quotePrefix="1" applyNumberFormat="1"/>
    <xf numFmtId="168" fontId="3" fillId="0" borderId="0" xfId="4" applyNumberFormat="1" applyFont="1" applyFill="1" applyBorder="1" applyProtection="1">
      <protection locked="0"/>
    </xf>
    <xf numFmtId="3" fontId="0" fillId="0" borderId="0" xfId="0" quotePrefix="1" applyNumberFormat="1"/>
    <xf numFmtId="166" fontId="0" fillId="11" borderId="0" xfId="0" applyNumberFormat="1" applyFill="1" applyAlignment="1" applyProtection="1">
      <alignment horizontal="center"/>
      <protection locked="0"/>
    </xf>
    <xf numFmtId="0" fontId="3" fillId="12" borderId="2" xfId="0" applyFont="1" applyFill="1" applyBorder="1" applyAlignment="1" applyProtection="1">
      <alignment horizontal="center" wrapText="1"/>
      <protection locked="0"/>
    </xf>
    <xf numFmtId="166" fontId="3" fillId="12" borderId="2" xfId="0" applyNumberFormat="1" applyFont="1" applyFill="1" applyBorder="1" applyAlignment="1" applyProtection="1">
      <alignment horizontal="center" wrapText="1"/>
      <protection locked="0"/>
    </xf>
    <xf numFmtId="166" fontId="16" fillId="0" borderId="0" xfId="0" applyNumberFormat="1" applyFont="1" applyProtection="1">
      <protection locked="0"/>
    </xf>
    <xf numFmtId="166" fontId="16" fillId="0" borderId="0" xfId="0" applyNumberFormat="1" applyFont="1" applyAlignment="1" applyProtection="1">
      <alignment horizontal="center"/>
      <protection locked="0"/>
    </xf>
    <xf numFmtId="166" fontId="3" fillId="0" borderId="0" xfId="0" applyNumberFormat="1" applyFont="1" applyAlignment="1" applyProtection="1">
      <alignment horizontal="center"/>
      <protection locked="0"/>
    </xf>
    <xf numFmtId="166" fontId="3" fillId="11" borderId="0" xfId="0" applyNumberFormat="1" applyFont="1" applyFill="1" applyAlignment="1" applyProtection="1">
      <alignment horizontal="center"/>
      <protection locked="0"/>
    </xf>
    <xf numFmtId="164" fontId="0" fillId="3" borderId="0" xfId="0" applyNumberFormat="1" applyFill="1" applyAlignment="1" applyProtection="1">
      <alignment horizontal="left"/>
      <protection locked="0"/>
    </xf>
    <xf numFmtId="0" fontId="17" fillId="4" borderId="0" xfId="0" applyFont="1" applyFill="1" applyAlignment="1" applyProtection="1">
      <alignment horizontal="left"/>
      <protection locked="0"/>
    </xf>
    <xf numFmtId="0" fontId="17" fillId="0" borderId="0" xfId="0" applyFont="1" applyProtection="1">
      <protection locked="0"/>
    </xf>
    <xf numFmtId="166" fontId="17" fillId="0" borderId="0" xfId="0" applyNumberFormat="1" applyFont="1" applyAlignment="1" applyProtection="1">
      <alignment horizontal="center"/>
      <protection locked="0"/>
    </xf>
    <xf numFmtId="164" fontId="17" fillId="0" borderId="0" xfId="0" applyNumberFormat="1" applyFont="1" applyProtection="1">
      <protection locked="0"/>
    </xf>
    <xf numFmtId="164" fontId="17" fillId="0" borderId="0" xfId="0" applyNumberFormat="1" applyFont="1" applyAlignment="1" applyProtection="1">
      <alignment horizontal="center"/>
      <protection locked="0"/>
    </xf>
    <xf numFmtId="49" fontId="6" fillId="0" borderId="0" xfId="0" applyNumberFormat="1" applyFont="1" applyProtection="1">
      <protection locked="0"/>
    </xf>
    <xf numFmtId="14" fontId="17" fillId="0" borderId="0" xfId="0" applyNumberFormat="1" applyFont="1" applyProtection="1">
      <protection locked="0"/>
    </xf>
    <xf numFmtId="0" fontId="17" fillId="0" borderId="0" xfId="0" applyFont="1" applyAlignment="1" applyProtection="1">
      <alignment horizontal="center"/>
      <protection locked="0"/>
    </xf>
    <xf numFmtId="0" fontId="17" fillId="4" borderId="0" xfId="0" applyFont="1" applyFill="1" applyProtection="1">
      <protection locked="0"/>
    </xf>
    <xf numFmtId="165" fontId="17" fillId="0" borderId="0" xfId="0" applyNumberFormat="1" applyFont="1" applyProtection="1">
      <protection locked="0"/>
    </xf>
    <xf numFmtId="1" fontId="0" fillId="0" borderId="27" xfId="0" applyNumberFormat="1" applyBorder="1"/>
    <xf numFmtId="1" fontId="0" fillId="0" borderId="8" xfId="0" applyNumberFormat="1" applyBorder="1"/>
    <xf numFmtId="1" fontId="0" fillId="0" borderId="3" xfId="0" applyNumberFormat="1" applyBorder="1"/>
    <xf numFmtId="0" fontId="18" fillId="7" borderId="0" xfId="0" applyFont="1" applyFill="1" applyProtection="1">
      <protection locked="0"/>
    </xf>
    <xf numFmtId="0" fontId="18" fillId="7" borderId="14" xfId="0" applyFont="1" applyFill="1" applyBorder="1" applyProtection="1">
      <protection locked="0"/>
    </xf>
    <xf numFmtId="0" fontId="15" fillId="7" borderId="1" xfId="0" applyFont="1" applyFill="1" applyBorder="1" applyAlignment="1" applyProtection="1">
      <alignment horizontal="left"/>
      <protection locked="0"/>
    </xf>
    <xf numFmtId="14" fontId="15" fillId="7" borderId="0" xfId="0" applyNumberFormat="1" applyFont="1" applyFill="1" applyProtection="1">
      <protection locked="0"/>
    </xf>
    <xf numFmtId="166" fontId="15" fillId="7" borderId="2" xfId="0" applyNumberFormat="1" applyFont="1" applyFill="1" applyBorder="1" applyProtection="1">
      <protection locked="0"/>
    </xf>
    <xf numFmtId="166" fontId="15" fillId="7" borderId="0" xfId="0" applyNumberFormat="1" applyFont="1" applyFill="1" applyProtection="1">
      <protection locked="0"/>
    </xf>
    <xf numFmtId="164" fontId="18" fillId="7" borderId="0" xfId="0" applyNumberFormat="1" applyFont="1" applyFill="1" applyProtection="1">
      <protection locked="0"/>
    </xf>
    <xf numFmtId="0" fontId="15" fillId="7" borderId="2" xfId="0" applyFont="1" applyFill="1" applyBorder="1" applyAlignment="1" applyProtection="1">
      <alignment horizontal="left"/>
      <protection locked="0"/>
    </xf>
    <xf numFmtId="1" fontId="4" fillId="0" borderId="0" xfId="0" quotePrefix="1" applyNumberFormat="1" applyFont="1" applyProtection="1">
      <protection locked="0"/>
    </xf>
    <xf numFmtId="9" fontId="4" fillId="0" borderId="0" xfId="0" quotePrefix="1" applyNumberFormat="1" applyFont="1" applyProtection="1">
      <protection locked="0"/>
    </xf>
    <xf numFmtId="2" fontId="3" fillId="5" borderId="1" xfId="0" applyNumberFormat="1" applyFont="1" applyFill="1" applyBorder="1" applyProtection="1">
      <protection locked="0"/>
    </xf>
    <xf numFmtId="2" fontId="4" fillId="0" borderId="0" xfId="0" quotePrefix="1" applyNumberFormat="1" applyFont="1" applyProtection="1">
      <protection locked="0"/>
    </xf>
    <xf numFmtId="2" fontId="4" fillId="0" borderId="2" xfId="0" applyNumberFormat="1" applyFont="1" applyBorder="1" applyProtection="1">
      <protection locked="0"/>
    </xf>
    <xf numFmtId="2" fontId="0" fillId="0" borderId="0" xfId="0" applyNumberFormat="1" applyAlignment="1" applyProtection="1">
      <alignment horizontal="center"/>
      <protection locked="0"/>
    </xf>
    <xf numFmtId="2" fontId="3" fillId="0" borderId="0" xfId="0" applyNumberFormat="1" applyFont="1" applyAlignment="1" applyProtection="1">
      <alignment horizontal="center"/>
      <protection locked="0"/>
    </xf>
    <xf numFmtId="2" fontId="7" fillId="0" borderId="14" xfId="0" applyNumberFormat="1" applyFont="1" applyBorder="1" applyProtection="1">
      <protection locked="0"/>
    </xf>
    <xf numFmtId="2" fontId="3" fillId="0" borderId="2" xfId="0" applyNumberFormat="1" applyFont="1" applyBorder="1" applyAlignment="1" applyProtection="1">
      <alignment horizontal="center" wrapText="1"/>
      <protection locked="0" hidden="1"/>
    </xf>
    <xf numFmtId="168" fontId="4" fillId="0" borderId="0" xfId="0" quotePrefix="1" applyNumberFormat="1" applyFont="1" applyAlignment="1" applyProtection="1">
      <alignment horizontal="center"/>
      <protection locked="0"/>
    </xf>
    <xf numFmtId="166" fontId="4" fillId="7" borderId="0" xfId="0" applyNumberFormat="1" applyFont="1" applyFill="1" applyProtection="1">
      <protection locked="0"/>
    </xf>
    <xf numFmtId="164" fontId="0" fillId="7" borderId="0" xfId="0" applyNumberFormat="1" applyFill="1" applyProtection="1">
      <protection locked="0"/>
    </xf>
    <xf numFmtId="0" fontId="3" fillId="7" borderId="0" xfId="0" applyFont="1" applyFill="1" applyProtection="1">
      <protection locked="0"/>
    </xf>
    <xf numFmtId="164" fontId="3" fillId="7" borderId="0" xfId="0" applyNumberFormat="1" applyFont="1" applyFill="1" applyProtection="1">
      <protection locked="0"/>
    </xf>
    <xf numFmtId="0" fontId="0" fillId="7" borderId="0" xfId="0" applyFill="1" applyProtection="1">
      <protection locked="0"/>
    </xf>
    <xf numFmtId="173" fontId="0" fillId="0" borderId="0" xfId="0" quotePrefix="1" applyNumberFormat="1"/>
    <xf numFmtId="167" fontId="4" fillId="0" borderId="0" xfId="0" quotePrefix="1" applyNumberFormat="1" applyFont="1" applyAlignment="1" applyProtection="1">
      <alignment horizontal="center"/>
      <protection locked="0"/>
    </xf>
    <xf numFmtId="3" fontId="4" fillId="0" borderId="0" xfId="0" quotePrefix="1" applyNumberFormat="1" applyFont="1" applyProtection="1">
      <protection locked="0"/>
    </xf>
    <xf numFmtId="0" fontId="0" fillId="0" borderId="0" xfId="0" applyAlignment="1">
      <alignment wrapText="1"/>
    </xf>
    <xf numFmtId="0" fontId="17" fillId="0" borderId="0" xfId="0" applyFont="1" applyAlignment="1">
      <alignment wrapText="1"/>
    </xf>
    <xf numFmtId="49" fontId="3" fillId="0" borderId="0" xfId="0" applyNumberFormat="1" applyFont="1"/>
    <xf numFmtId="49" fontId="0" fillId="0" borderId="0" xfId="0" applyNumberFormat="1"/>
    <xf numFmtId="0" fontId="5" fillId="0" borderId="42" xfId="0" applyFont="1" applyBorder="1" applyAlignment="1">
      <alignment horizontal="center" wrapText="1"/>
    </xf>
    <xf numFmtId="0" fontId="0" fillId="0" borderId="20" xfId="0" applyBorder="1" applyAlignment="1">
      <alignment horizontal="center" wrapText="1"/>
    </xf>
    <xf numFmtId="0" fontId="5" fillId="0" borderId="67" xfId="0" applyFont="1" applyBorder="1" applyAlignment="1">
      <alignment horizontal="center"/>
    </xf>
    <xf numFmtId="0" fontId="0" fillId="0" borderId="67" xfId="0" applyBorder="1" applyAlignment="1">
      <alignment horizontal="center"/>
    </xf>
    <xf numFmtId="0" fontId="0" fillId="0" borderId="71" xfId="0" applyBorder="1" applyAlignment="1">
      <alignment horizontal="center"/>
    </xf>
    <xf numFmtId="0" fontId="0" fillId="0" borderId="0" xfId="0" applyAlignment="1">
      <alignment horizontal="center"/>
    </xf>
    <xf numFmtId="0" fontId="5" fillId="0" borderId="40" xfId="0" applyFont="1" applyBorder="1" applyAlignment="1">
      <alignment horizontal="center"/>
    </xf>
    <xf numFmtId="0" fontId="3" fillId="0" borderId="0" xfId="0" applyFont="1" applyAlignment="1">
      <alignment horizontal="center"/>
    </xf>
    <xf numFmtId="10" fontId="3" fillId="0" borderId="0" xfId="0" applyNumberFormat="1" applyFont="1" applyAlignment="1">
      <alignment horizontal="center"/>
    </xf>
    <xf numFmtId="0" fontId="3" fillId="0" borderId="0" xfId="0" applyFont="1"/>
  </cellXfs>
  <cellStyles count="5">
    <cellStyle name="Good" xfId="4" builtinId="26"/>
    <cellStyle name="Normal" xfId="0" builtinId="0"/>
    <cellStyle name="Normal_AAA Temp" xfId="1" xr:uid="{00000000-0005-0000-0000-000002000000}"/>
    <cellStyle name="Normal_Camillus Hourly 2000-2001 Valuation" xfId="2" xr:uid="{00000000-0005-0000-0000-000003000000}"/>
    <cellStyle name="Normal_Camillus Hourly Retiree Benefits" xfId="3" xr:uid="{00000000-0005-0000-0000-000004000000}"/>
  </cellStyles>
  <dxfs count="0"/>
  <tableStyles count="1" defaultTableStyle="TableStyleMedium2" defaultPivotStyle="PivotStyleLight16">
    <tableStyle name="Invisible" pivot="0" table="0" count="0" xr9:uid="{119C718A-8909-4D5F-A7C9-49DDB12F79C9}"/>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D750-10FF-458A-95E0-13EFF75CB792}">
  <sheetPr codeName="Sheet7"/>
  <dimension ref="A1:F7"/>
  <sheetViews>
    <sheetView workbookViewId="0">
      <selection sqref="A1:F7"/>
    </sheetView>
  </sheetViews>
  <sheetFormatPr defaultRowHeight="12.75" x14ac:dyDescent="0.2"/>
  <cols>
    <col min="1" max="1" width="17.7109375" style="322" bestFit="1" customWidth="1"/>
    <col min="2" max="2" width="22.85546875" style="322" bestFit="1" customWidth="1"/>
    <col min="3" max="3" width="17.7109375" style="322" bestFit="1" customWidth="1"/>
    <col min="4" max="4" width="11.5703125" style="322" bestFit="1" customWidth="1"/>
    <col min="5" max="5" width="15.42578125" style="322" customWidth="1"/>
    <col min="6" max="6" width="70.5703125" style="322" customWidth="1"/>
  </cols>
  <sheetData>
    <row r="1" spans="1:6" x14ac:dyDescent="0.2">
      <c r="A1" s="322" t="s">
        <v>759</v>
      </c>
      <c r="B1" s="322" t="s">
        <v>760</v>
      </c>
      <c r="C1" s="322" t="s">
        <v>761</v>
      </c>
      <c r="D1" s="322" t="s">
        <v>762</v>
      </c>
      <c r="E1" s="322" t="s">
        <v>763</v>
      </c>
      <c r="F1" s="322" t="s">
        <v>764</v>
      </c>
    </row>
    <row r="2" spans="1:6" x14ac:dyDescent="0.2">
      <c r="A2" s="322" t="s">
        <v>178</v>
      </c>
      <c r="B2" s="323" t="s">
        <v>770</v>
      </c>
      <c r="C2" s="323" t="s">
        <v>775</v>
      </c>
      <c r="D2" s="323" t="s">
        <v>777</v>
      </c>
      <c r="E2" s="322">
        <v>1</v>
      </c>
      <c r="F2" s="323" t="s">
        <v>769</v>
      </c>
    </row>
    <row r="3" spans="1:6" ht="25.5" x14ac:dyDescent="0.2">
      <c r="A3" s="322" t="s">
        <v>740</v>
      </c>
      <c r="B3" s="323" t="s">
        <v>771</v>
      </c>
      <c r="C3" s="323" t="s">
        <v>776</v>
      </c>
      <c r="D3" s="323" t="s">
        <v>777</v>
      </c>
      <c r="E3" s="322">
        <v>1</v>
      </c>
      <c r="F3" s="323" t="s">
        <v>782</v>
      </c>
    </row>
    <row r="4" spans="1:6" ht="25.5" x14ac:dyDescent="0.2">
      <c r="A4" s="322" t="s">
        <v>677</v>
      </c>
      <c r="B4" s="323" t="s">
        <v>772</v>
      </c>
      <c r="C4" s="323" t="s">
        <v>781</v>
      </c>
      <c r="D4" s="323" t="s">
        <v>778</v>
      </c>
      <c r="E4" s="322">
        <v>1</v>
      </c>
      <c r="F4" s="323" t="s">
        <v>785</v>
      </c>
    </row>
    <row r="5" spans="1:6" x14ac:dyDescent="0.2">
      <c r="A5" s="322" t="s">
        <v>765</v>
      </c>
      <c r="B5" s="323" t="s">
        <v>773</v>
      </c>
      <c r="C5" s="323" t="s">
        <v>780</v>
      </c>
      <c r="D5" s="323" t="s">
        <v>778</v>
      </c>
      <c r="E5" s="322">
        <v>1</v>
      </c>
      <c r="F5" s="323" t="s">
        <v>783</v>
      </c>
    </row>
    <row r="6" spans="1:6" ht="25.5" x14ac:dyDescent="0.2">
      <c r="A6" s="322" t="s">
        <v>766</v>
      </c>
      <c r="B6" s="323" t="s">
        <v>774</v>
      </c>
      <c r="C6" s="322" t="s">
        <v>766</v>
      </c>
      <c r="D6" s="323" t="s">
        <v>779</v>
      </c>
      <c r="E6" s="322">
        <v>1</v>
      </c>
      <c r="F6" s="323" t="s">
        <v>784</v>
      </c>
    </row>
    <row r="7" spans="1:6" x14ac:dyDescent="0.2">
      <c r="A7" s="322" t="s">
        <v>767</v>
      </c>
      <c r="B7" s="323" t="s">
        <v>768</v>
      </c>
      <c r="E7" s="32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M16"/>
  <sheetViews>
    <sheetView zoomScale="90" zoomScaleNormal="90" workbookViewId="0">
      <selection activeCell="C10" sqref="C10"/>
    </sheetView>
  </sheetViews>
  <sheetFormatPr defaultRowHeight="12.75" x14ac:dyDescent="0.2"/>
  <cols>
    <col min="1" max="1" width="19.85546875" customWidth="1"/>
    <col min="2" max="3" width="19.42578125" customWidth="1"/>
    <col min="4" max="4" width="14" customWidth="1"/>
    <col min="5" max="5" width="8.85546875" customWidth="1"/>
    <col min="6" max="6" width="15.85546875" customWidth="1"/>
    <col min="7" max="14" width="14.42578125" customWidth="1"/>
    <col min="15" max="16" width="20.28515625" customWidth="1"/>
    <col min="17" max="17" width="12.5703125" customWidth="1"/>
    <col min="18" max="19" width="14.7109375" customWidth="1"/>
    <col min="20" max="20" width="10.85546875" customWidth="1"/>
    <col min="21" max="21" width="12" customWidth="1"/>
    <col min="22" max="23" width="13.85546875" customWidth="1"/>
    <col min="24" max="24" width="12.7109375" customWidth="1"/>
    <col min="25" max="25" width="14.28515625" customWidth="1"/>
    <col min="26" max="29" width="12.5703125" customWidth="1"/>
    <col min="30" max="30" width="13.42578125" customWidth="1"/>
    <col min="31" max="33" width="13.140625" customWidth="1"/>
    <col min="34" max="34" width="14.28515625" customWidth="1"/>
    <col min="35" max="35" width="13.7109375" customWidth="1"/>
    <col min="36" max="36" width="12.7109375" customWidth="1"/>
    <col min="37" max="37" width="15.7109375" customWidth="1"/>
    <col min="38" max="38" width="12.7109375" customWidth="1"/>
    <col min="39" max="39" width="18" customWidth="1"/>
    <col min="40" max="40" width="14.7109375" customWidth="1"/>
    <col min="41" max="42" width="12.140625" customWidth="1"/>
    <col min="43" max="43" width="8.85546875" customWidth="1"/>
    <col min="44" max="44" width="13.85546875" customWidth="1"/>
    <col min="45" max="45" width="13.28515625" customWidth="1"/>
    <col min="46" max="46" width="14.42578125" customWidth="1"/>
    <col min="47" max="47" width="18" customWidth="1"/>
    <col min="48" max="48" width="14.7109375" customWidth="1"/>
    <col min="49" max="49" width="12.140625" customWidth="1"/>
    <col min="50" max="50" width="12.28515625" customWidth="1"/>
    <col min="51" max="51" width="11.7109375" customWidth="1"/>
    <col min="52" max="52" width="19.140625" customWidth="1"/>
    <col min="53" max="53" width="18.5703125" customWidth="1"/>
    <col min="54" max="56" width="20.140625" customWidth="1"/>
    <col min="57" max="58" width="21.7109375" customWidth="1"/>
    <col min="59" max="59" width="25.140625" customWidth="1"/>
    <col min="60" max="60" width="22.140625" customWidth="1"/>
    <col min="61" max="61" width="28.28515625" customWidth="1"/>
    <col min="62" max="62" width="25.140625" customWidth="1"/>
    <col min="63" max="69" width="21.5703125" customWidth="1"/>
    <col min="70" max="70" width="30.28515625" customWidth="1"/>
    <col min="71" max="71" width="22.42578125" customWidth="1"/>
    <col min="72" max="72" width="32.42578125" customWidth="1"/>
    <col min="73" max="73" width="26.140625" customWidth="1"/>
    <col min="74" max="74" width="25.140625" customWidth="1"/>
    <col min="75" max="75" width="16.140625" customWidth="1"/>
    <col min="76" max="76" width="15.7109375" customWidth="1"/>
    <col min="77" max="77" width="17.5703125" customWidth="1"/>
    <col min="78" max="78" width="16.5703125" customWidth="1"/>
    <col min="79" max="79" width="14.7109375" customWidth="1"/>
    <col min="80" max="80" width="12.85546875" customWidth="1"/>
    <col min="81" max="81" width="14.28515625" customWidth="1"/>
    <col min="82" max="82" width="16.7109375" customWidth="1"/>
    <col min="83" max="83" width="17.140625" customWidth="1"/>
    <col min="84" max="84" width="18.42578125" customWidth="1"/>
    <col min="85" max="85" width="21.42578125" customWidth="1"/>
    <col min="86" max="86" width="16.7109375" customWidth="1"/>
    <col min="87" max="87" width="14.7109375" customWidth="1"/>
    <col min="88" max="88" width="21.7109375" customWidth="1"/>
    <col min="89" max="89" width="10.5703125" customWidth="1"/>
    <col min="90" max="90" width="14.5703125" bestFit="1" customWidth="1"/>
    <col min="91" max="91" width="10.5703125" customWidth="1"/>
    <col min="92" max="92" width="11.5703125" customWidth="1"/>
    <col min="93" max="96" width="22.140625" customWidth="1"/>
    <col min="97" max="97" width="15.42578125" customWidth="1"/>
    <col min="98" max="99" width="15" customWidth="1"/>
    <col min="100" max="103" width="16.140625" customWidth="1"/>
    <col min="104" max="108" width="20.140625" customWidth="1"/>
    <col min="109" max="111" width="16.140625" customWidth="1"/>
    <col min="112" max="112" width="17.28515625" customWidth="1"/>
    <col min="113" max="113" width="17.5703125" customWidth="1"/>
    <col min="114" max="114" width="17.140625" customWidth="1"/>
    <col min="115" max="115" width="17.85546875" customWidth="1"/>
    <col min="116" max="116" width="17.7109375" customWidth="1"/>
    <col min="117" max="117" width="18" customWidth="1"/>
  </cols>
  <sheetData>
    <row r="1" spans="1:117" ht="13.5" thickBot="1" x14ac:dyDescent="0.25">
      <c r="A1" s="69" t="s">
        <v>460</v>
      </c>
      <c r="B1" s="60" t="s">
        <v>654</v>
      </c>
      <c r="C1" s="60" t="s">
        <v>510</v>
      </c>
      <c r="D1" s="60" t="s">
        <v>302</v>
      </c>
      <c r="E1" s="82" t="s">
        <v>400</v>
      </c>
      <c r="F1" s="82" t="s">
        <v>168</v>
      </c>
      <c r="G1" s="56" t="s">
        <v>310</v>
      </c>
      <c r="H1" s="56" t="s">
        <v>87</v>
      </c>
      <c r="I1" s="56" t="s">
        <v>228</v>
      </c>
      <c r="J1" s="56" t="s">
        <v>144</v>
      </c>
      <c r="K1" s="56" t="s">
        <v>429</v>
      </c>
      <c r="L1" s="56" t="s">
        <v>182</v>
      </c>
      <c r="M1" s="56" t="s">
        <v>298</v>
      </c>
      <c r="N1" s="56" t="s">
        <v>571</v>
      </c>
      <c r="O1" s="56" t="s">
        <v>156</v>
      </c>
      <c r="P1" s="56" t="s">
        <v>299</v>
      </c>
      <c r="Q1" s="56" t="s">
        <v>164</v>
      </c>
      <c r="R1" s="56" t="s">
        <v>403</v>
      </c>
      <c r="S1" s="56" t="s">
        <v>367</v>
      </c>
      <c r="T1" s="56" t="s">
        <v>105</v>
      </c>
      <c r="U1" s="56" t="s">
        <v>520</v>
      </c>
      <c r="V1" s="56" t="s">
        <v>469</v>
      </c>
      <c r="W1" s="56" t="s">
        <v>432</v>
      </c>
      <c r="X1" s="56" t="s">
        <v>111</v>
      </c>
      <c r="Y1" s="56" t="s">
        <v>431</v>
      </c>
      <c r="Z1" s="56" t="s">
        <v>15</v>
      </c>
      <c r="AA1" s="56" t="s">
        <v>551</v>
      </c>
      <c r="AB1" s="56" t="s">
        <v>9</v>
      </c>
      <c r="AC1" s="56" t="s">
        <v>566</v>
      </c>
      <c r="AD1" s="56" t="s">
        <v>412</v>
      </c>
      <c r="AE1" s="56" t="s">
        <v>369</v>
      </c>
      <c r="AF1" s="56" t="s">
        <v>534</v>
      </c>
      <c r="AG1" s="56" t="s">
        <v>583</v>
      </c>
      <c r="AH1" s="56" t="s">
        <v>471</v>
      </c>
      <c r="AI1" s="56" t="s">
        <v>539</v>
      </c>
      <c r="AJ1" s="202" t="s">
        <v>565</v>
      </c>
      <c r="AK1" s="202" t="s">
        <v>354</v>
      </c>
      <c r="AL1" s="202" t="s">
        <v>522</v>
      </c>
      <c r="AM1" s="202" t="s">
        <v>133</v>
      </c>
      <c r="AN1" s="202" t="s">
        <v>232</v>
      </c>
      <c r="AO1" s="202" t="s">
        <v>56</v>
      </c>
      <c r="AP1" s="202" t="s">
        <v>162</v>
      </c>
      <c r="AQ1" s="202" t="s">
        <v>93</v>
      </c>
      <c r="AR1" s="202" t="s">
        <v>198</v>
      </c>
      <c r="AS1" s="202" t="s">
        <v>249</v>
      </c>
      <c r="AT1" s="202" t="s">
        <v>152</v>
      </c>
      <c r="AU1" s="202" t="s">
        <v>513</v>
      </c>
      <c r="AV1" s="202" t="s">
        <v>554</v>
      </c>
      <c r="AW1" s="202" t="s">
        <v>409</v>
      </c>
      <c r="AX1" s="202" t="s">
        <v>72</v>
      </c>
      <c r="AY1" s="202" t="s">
        <v>35</v>
      </c>
      <c r="AZ1" s="202" t="s">
        <v>670</v>
      </c>
      <c r="BA1" s="202" t="s">
        <v>320</v>
      </c>
      <c r="BB1" s="202" t="s">
        <v>509</v>
      </c>
      <c r="BC1" s="202" t="s">
        <v>186</v>
      </c>
      <c r="BD1" s="202" t="s">
        <v>517</v>
      </c>
      <c r="BE1" s="146" t="s">
        <v>291</v>
      </c>
      <c r="BF1" s="146" t="s">
        <v>353</v>
      </c>
      <c r="BG1" s="146" t="s">
        <v>366</v>
      </c>
      <c r="BH1" s="146" t="s">
        <v>678</v>
      </c>
      <c r="BI1" s="146" t="s">
        <v>679</v>
      </c>
      <c r="BJ1" s="146" t="s">
        <v>262</v>
      </c>
      <c r="BK1" s="202" t="s">
        <v>255</v>
      </c>
      <c r="BL1" s="202" t="s">
        <v>151</v>
      </c>
      <c r="BM1" s="202" t="s">
        <v>434</v>
      </c>
      <c r="BN1" s="202" t="s">
        <v>108</v>
      </c>
      <c r="BO1" s="202" t="s">
        <v>433</v>
      </c>
      <c r="BP1" s="202" t="s">
        <v>663</v>
      </c>
      <c r="BQ1" s="202" t="s">
        <v>21</v>
      </c>
      <c r="BR1" s="171" t="s">
        <v>563</v>
      </c>
      <c r="BS1" s="171" t="s">
        <v>358</v>
      </c>
      <c r="BT1" s="171" t="s">
        <v>319</v>
      </c>
      <c r="BU1" s="171" t="s">
        <v>207</v>
      </c>
      <c r="BV1" s="171" t="s">
        <v>558</v>
      </c>
      <c r="BW1" s="202" t="s">
        <v>150</v>
      </c>
      <c r="BX1" s="171" t="s">
        <v>242</v>
      </c>
      <c r="BY1" s="171" t="s">
        <v>504</v>
      </c>
      <c r="BZ1" s="171" t="s">
        <v>341</v>
      </c>
      <c r="CA1" s="171" t="s">
        <v>24</v>
      </c>
      <c r="CB1" s="171" t="s">
        <v>191</v>
      </c>
      <c r="CC1" s="171" t="s">
        <v>121</v>
      </c>
      <c r="CD1" s="171" t="s">
        <v>405</v>
      </c>
      <c r="CE1" s="171" t="s">
        <v>300</v>
      </c>
      <c r="CF1" s="171" t="s">
        <v>48</v>
      </c>
      <c r="CG1" s="171" t="s">
        <v>500</v>
      </c>
      <c r="CH1" s="171" t="s">
        <v>388</v>
      </c>
      <c r="CI1" s="171" t="s">
        <v>491</v>
      </c>
      <c r="CJ1" s="202" t="s">
        <v>483</v>
      </c>
      <c r="CK1" s="202" t="s">
        <v>531</v>
      </c>
      <c r="CL1" s="202" t="s">
        <v>201</v>
      </c>
      <c r="CM1" s="202" t="s">
        <v>325</v>
      </c>
      <c r="CN1" s="202" t="s">
        <v>269</v>
      </c>
      <c r="CO1" s="202" t="s">
        <v>413</v>
      </c>
      <c r="CP1" s="202" t="s">
        <v>169</v>
      </c>
      <c r="CQ1" s="202" t="s">
        <v>386</v>
      </c>
      <c r="CR1" s="202" t="s">
        <v>375</v>
      </c>
      <c r="CS1" s="202" t="s">
        <v>251</v>
      </c>
      <c r="CT1" s="202" t="s">
        <v>465</v>
      </c>
      <c r="CU1" s="202" t="s">
        <v>112</v>
      </c>
      <c r="CV1" s="202" t="s">
        <v>363</v>
      </c>
      <c r="CW1" s="202" t="s">
        <v>185</v>
      </c>
      <c r="CX1" s="202" t="s">
        <v>0</v>
      </c>
      <c r="CY1" s="202" t="s">
        <v>344</v>
      </c>
      <c r="CZ1" s="202" t="s">
        <v>395</v>
      </c>
      <c r="DA1" s="202" t="s">
        <v>499</v>
      </c>
      <c r="DB1" s="202" t="s">
        <v>523</v>
      </c>
      <c r="DC1" s="202" t="s">
        <v>540</v>
      </c>
      <c r="DD1" s="202" t="s">
        <v>553</v>
      </c>
      <c r="DE1" s="202" t="s">
        <v>436</v>
      </c>
      <c r="DF1" s="202" t="s">
        <v>421</v>
      </c>
      <c r="DG1" s="202" t="s">
        <v>96</v>
      </c>
      <c r="DH1" s="202" t="s">
        <v>590</v>
      </c>
      <c r="DI1" s="202" t="s">
        <v>592</v>
      </c>
      <c r="DJ1" s="202" t="s">
        <v>593</v>
      </c>
      <c r="DK1" s="202" t="s">
        <v>594</v>
      </c>
      <c r="DL1" s="202" t="s">
        <v>595</v>
      </c>
      <c r="DM1" s="202" t="s">
        <v>596</v>
      </c>
    </row>
    <row r="2" spans="1:117" ht="13.5" thickTop="1" x14ac:dyDescent="0.2">
      <c r="A2" s="69" t="s">
        <v>211</v>
      </c>
      <c r="B2" s="214">
        <v>22361100</v>
      </c>
      <c r="C2" s="181" t="s">
        <v>487</v>
      </c>
      <c r="D2" s="181"/>
      <c r="E2" s="181" t="s">
        <v>487</v>
      </c>
      <c r="F2" s="181"/>
      <c r="G2" s="204"/>
      <c r="H2" s="204"/>
      <c r="I2" s="181"/>
      <c r="J2" s="204"/>
      <c r="K2" s="204"/>
      <c r="L2" s="204"/>
      <c r="M2" s="204"/>
      <c r="N2" s="204"/>
      <c r="O2" s="204" t="s">
        <v>442</v>
      </c>
      <c r="P2" s="181" t="s">
        <v>387</v>
      </c>
      <c r="Q2" s="204" t="s">
        <v>419</v>
      </c>
      <c r="R2" s="31" t="s">
        <v>116</v>
      </c>
      <c r="S2" s="31"/>
      <c r="T2" s="31" t="s">
        <v>419</v>
      </c>
      <c r="U2" s="203">
        <v>16510</v>
      </c>
      <c r="V2" s="203">
        <v>17078</v>
      </c>
      <c r="W2" s="203"/>
      <c r="X2" s="203">
        <v>25430</v>
      </c>
      <c r="Y2" s="32">
        <v>26390</v>
      </c>
      <c r="Z2" s="32">
        <v>38107</v>
      </c>
      <c r="AA2" s="32"/>
      <c r="AB2" s="32"/>
      <c r="AC2" s="32"/>
      <c r="AD2" s="259" t="e">
        <f ca="1">NRD(U2,65)</f>
        <v>#NAME?</v>
      </c>
      <c r="AE2" s="86" t="e">
        <f ca="1">anb(U2,AD2)</f>
        <v>#NAME?</v>
      </c>
      <c r="AF2" s="86" t="e">
        <f ca="1">anb(U2,AJ2)</f>
        <v>#NAME?</v>
      </c>
      <c r="AG2" s="86" t="e">
        <f ca="1">IF(AND(ISBLANK(V2),ISBLANK(W2)),"NULL",anb(IF(O2="Y",W2,V2),AJ2))</f>
        <v>#NAME?</v>
      </c>
      <c r="AH2" s="86" t="e">
        <f ca="1">anb(U2,DOPT)</f>
        <v>#NAME?</v>
      </c>
      <c r="AI2" s="86" t="e">
        <f ca="1">IF(AND(ISBLANK(V2),ISBLANK(W2)),"NULL",anb(IF(O2="Y",W2,V2),DOPT))</f>
        <v>#NAME?</v>
      </c>
      <c r="AJ2" s="59">
        <v>38108</v>
      </c>
      <c r="AK2" s="59"/>
      <c r="AL2" s="59" t="e">
        <f ca="1">RBD(C2,DOPT,"P",U2,Z2,AA2,"N",O2)</f>
        <v>#NAME?</v>
      </c>
      <c r="AM2" s="86" t="s">
        <v>216</v>
      </c>
      <c r="AN2" s="33">
        <v>0.5</v>
      </c>
      <c r="AO2" s="31">
        <v>0</v>
      </c>
      <c r="AP2" s="31">
        <f>IF(AO2&gt;0,AO2-COMPM(AJ2,NRD(DOPT,0)),0)</f>
        <v>0</v>
      </c>
      <c r="AQ2" s="44" t="s">
        <v>174</v>
      </c>
      <c r="AR2" s="31" t="e">
        <f ca="1">AH2</f>
        <v>#NAME?</v>
      </c>
      <c r="AS2" s="59" t="e">
        <f ca="1">NRD(DOPT,0)</f>
        <v>#NAME?</v>
      </c>
      <c r="AT2" s="76" t="e">
        <f ca="1">AI2</f>
        <v>#NAME?</v>
      </c>
      <c r="AU2" s="31" t="str">
        <f>IF(AND(AM2="5",AP2=0),"2",IF(AND(OR(AM2="9",AM2="0"),,NOT(ISBLANK(IF(O2="Y",AC2,AB2))),IF(O2="Y",AC2,AB2)&lt;=DOPT),"2",AM2))</f>
        <v>9</v>
      </c>
      <c r="AV2" s="33">
        <f>IF(OR(AU2="9",AU2="0"),AN2,0)</f>
        <v>0.5</v>
      </c>
      <c r="AW2" s="31">
        <f>IF(AP2&gt;0,AO2,0)</f>
        <v>0</v>
      </c>
      <c r="AX2" s="31" t="e">
        <f ca="1">+AR2</f>
        <v>#NAME?</v>
      </c>
      <c r="AY2" s="31">
        <v>999</v>
      </c>
      <c r="AZ2" s="44">
        <v>3000</v>
      </c>
      <c r="BA2" s="31">
        <f>IF(DATE(YEAR(U2)+65,MONTH(U2),DAY(U2))&lt;DOPT,0,COMPM(DOPT,DATE(YEAR(U2)+65,MONTH(U2),DAY(U2))))</f>
        <v>0</v>
      </c>
      <c r="BB2" s="114" t="e">
        <f ca="1">PBGCERF(BA2)</f>
        <v>#NAME?</v>
      </c>
      <c r="BC2" s="31" t="e">
        <f ca="1">IF(DATE(YEAR(U2)+65,MONTH(U2),DAY(U2))&gt;=DOPT,0,COMPM(DATE(YEAR(U2)+65,MONTH(U2),DAY(U2)),MIN(MAX(AJ2,AD2),DOPT)))</f>
        <v>#NAME?</v>
      </c>
      <c r="BD2" s="114" t="e">
        <f ca="1">PBGCLRF(65+BC2/12)</f>
        <v>#NAME?</v>
      </c>
      <c r="BE2" s="143" t="e">
        <f ca="1">IF(AU2="2",1,IF(AU2="5",CCF(AP2),jsf(AR2,AT2,0.5)*IF(AU2="0",(1-(0.04*AV2*IF(AR2-AT2&lt;0,1-0.1*(AR2-AT2),IF(AR2-AT2&gt;0,0.6667^(0.2*(AR2-AT2)),1)))),1)))</f>
        <v>#NAME?</v>
      </c>
      <c r="BF2" s="7" t="e">
        <f ca="1">ROUND(PBGC_MAX*BB2*BD2*BE2,2)</f>
        <v>#NAME?</v>
      </c>
      <c r="BG2" s="7" t="e">
        <f ca="1">MIN(AZ2,BF2)</f>
        <v>#NAME?</v>
      </c>
      <c r="BH2" s="7" t="e">
        <f ca="1">AZ2-BG2</f>
        <v>#NAME?</v>
      </c>
      <c r="BI2" s="236">
        <f>PC6_4022C_AR</f>
        <v>0.17230000000000001</v>
      </c>
      <c r="BJ2" s="7" t="e">
        <f ca="1">ROUND(BH2*BI2,2)</f>
        <v>#NAME?</v>
      </c>
      <c r="BK2" s="44" t="e">
        <f ca="1">BG2+BJ2</f>
        <v>#NAME?</v>
      </c>
      <c r="BL2" s="44" t="e">
        <f ca="1">BK2</f>
        <v>#NAME?</v>
      </c>
      <c r="BM2" s="264" t="str">
        <f>IF(AND(AA2&gt;0,AM2="9"),"2","NULL")</f>
        <v>NULL</v>
      </c>
      <c r="BN2" s="321">
        <f>IF(AND(AA2&gt;0,AM2="5"),AO2,0)</f>
        <v>0</v>
      </c>
      <c r="BO2" s="44" t="str">
        <f>IF(ISBLANK(AA2),"NULL",IF(OR(AU2="2",AND(AU2="5",COMPM(AJ2,NRD(AA2,0))=0)),"NULL",IF(AU2="9",ROUND(BK2*AV2,2),BK2)))</f>
        <v>NULL</v>
      </c>
      <c r="BP2" s="44" t="str">
        <f>BO2</f>
        <v>NULL</v>
      </c>
      <c r="BQ2" s="114" t="e">
        <f ca="1">ROUND(NPVF2("MP",IF(AU2="9","JSC","SLA"),"N",DOPT,Q2,AH2,AR2,IF(AT2="NULL",0,AT2),AV2,AP2,0,DOPT,DOPT,"P","","",P2),4)</f>
        <v>#NAME?</v>
      </c>
      <c r="BR2" s="168" t="e">
        <f ca="1">ROUND(BG2*BQ2*12,0)</f>
        <v>#NAME?</v>
      </c>
      <c r="BS2" s="168" t="e">
        <f ca="1">ROUND(BH2*BQ2*12,0)</f>
        <v>#NAME?</v>
      </c>
      <c r="BT2" s="168" t="e">
        <f ca="1">BR2+BS2</f>
        <v>#NAME?</v>
      </c>
      <c r="BU2" s="168" t="e">
        <f ca="1">ROUND(BJ2*BQ2*12,0)</f>
        <v>#NAME?</v>
      </c>
      <c r="BV2" s="168" t="e">
        <f ca="1">BR2+BU2</f>
        <v>#NAME?</v>
      </c>
      <c r="BW2" s="17">
        <f>Load_Percent</f>
        <v>1.11E-2</v>
      </c>
      <c r="BX2" s="20" t="e">
        <f ca="1">ROUND(BR2*BW2,0)</f>
        <v>#NAME?</v>
      </c>
      <c r="BY2" s="20" t="e">
        <f ca="1">ROUND(BS2*BW2,0)</f>
        <v>#NAME?</v>
      </c>
      <c r="BZ2" s="48" t="e">
        <f ca="1">BY2</f>
        <v>#NAME?</v>
      </c>
      <c r="CA2" s="48" t="e">
        <f ca="1">BX2+BZ2</f>
        <v>#NAME?</v>
      </c>
      <c r="CB2" s="48" t="e">
        <f ca="1">ROUND(BU2*BW2,0)</f>
        <v>#NAME?</v>
      </c>
      <c r="CC2" s="48" t="e">
        <f ca="1">BX2+CB2</f>
        <v>#NAME?</v>
      </c>
      <c r="CD2" s="48" t="e">
        <f t="shared" ref="CD2:CE2" ca="1" si="0">BR2+BX2</f>
        <v>#NAME?</v>
      </c>
      <c r="CE2" s="48" t="e">
        <f t="shared" ca="1" si="0"/>
        <v>#NAME?</v>
      </c>
      <c r="CF2" s="48" t="e">
        <f ca="1">CE2</f>
        <v>#NAME?</v>
      </c>
      <c r="CG2" s="48" t="e">
        <f ca="1">CD2+CF2</f>
        <v>#NAME?</v>
      </c>
      <c r="CH2" s="48" t="e">
        <f ca="1">BU2+CB2</f>
        <v>#NAME?</v>
      </c>
      <c r="CI2" s="48" t="e">
        <f ca="1">CD2+CH2</f>
        <v>#NAME?</v>
      </c>
      <c r="CJ2" s="31" t="e">
        <f ca="1">ROUND(NPVF2("MP",IF(AU2="9","JSC","SLA"),"O",DOPT,Q2,AH2,AR2,IF(AT2="NULL",0,AT2),AV2,AP2,0,DOPT,DOPT,"P","",""),4)</f>
        <v>#NAME?</v>
      </c>
      <c r="CK2" s="168" t="e">
        <f ca="1">ROUND(12*CJ2*BK2,0)</f>
        <v>#NAME?</v>
      </c>
      <c r="CL2" s="99" t="str">
        <f>IF(AND(AA2&gt;0,AM2="9"),ROUND(NPVF2("MP","SLA","O",LS_Rates,IF(S2="M","F","M"),AI2,AT2,0,0,0,0,DOPT,DOPT,"P","",""),4),"NULL")</f>
        <v>NULL</v>
      </c>
      <c r="CM2" s="168" t="str">
        <f>IF(AND(AA2&gt;0,AM2="9"),ROUND(12*CL2*BO2,0),"NULL")</f>
        <v>NULL</v>
      </c>
      <c r="CN2" s="31" t="s">
        <v>442</v>
      </c>
      <c r="CO2" s="31" t="s">
        <v>544</v>
      </c>
      <c r="CP2" s="86" t="str">
        <f>IF(AND(AA2&gt;0,AM2="9"),BO2,"NULL")</f>
        <v>NULL</v>
      </c>
      <c r="CQ2" s="86" t="str">
        <f>IF(AA2&gt;0,BO2,"NULL")</f>
        <v>NULL</v>
      </c>
      <c r="CR2" s="86" t="str">
        <f>IF(AA2&gt;0,BO2,"NULL")</f>
        <v>NULL</v>
      </c>
      <c r="CS2" s="185" t="e">
        <f ca="1">ROUND(BV2*AH2,0)</f>
        <v>#NAME?</v>
      </c>
      <c r="CT2" s="185" t="e">
        <f ca="1">ROUND(BV2*AR2,0)</f>
        <v>#NAME?</v>
      </c>
      <c r="CU2" s="185" t="e">
        <f ca="1">IF(AJ2&lt;AD2,"ER",IF(AJ2&gt;AD2,"LR","NR"))</f>
        <v>#NAME?</v>
      </c>
      <c r="CV2" s="44" t="e">
        <f ca="1">IF(AND(AZ2&gt;=BK2,AZ2-BK2&lt;5),"N","Y")</f>
        <v>#NAME?</v>
      </c>
      <c r="CW2" s="44" t="s">
        <v>442</v>
      </c>
      <c r="CX2" s="44" t="e">
        <f ca="1">IF(AND(AZ2&gt;BK2,AZ2-BK2&gt;=5),"D",IF(AND(AZ2&gt;BK2,AZ2-BK2&lt;5),"N",IF(AZ2=BK2,"M","I")))</f>
        <v>#NAME?</v>
      </c>
      <c r="CY2" s="44" t="e">
        <f ca="1">IF(CX2="D","Your current monthly benefit of $"&amp;TEXT(AZ2,"0000.00")&amp;" will decrease to $"&amp;TEXT(BK2,"0000.00")&amp;" because of the limitations placed on the monthly benefit payable at DOPT.  See the Benefit Calculation section for further details.","NULL")</f>
        <v>#NAME?</v>
      </c>
      <c r="CZ2" s="44" t="e">
        <f ca="1">IF(CX2="D","The benefits PBGC guarantees are limited by federal pension law to PBGC's maximum monthly amount that was in effect on the date of plan termination.  This amount is adjusted to reflect the participant's age and form of annuity.","NULL")</f>
        <v>#NAME?</v>
      </c>
      <c r="DA2" s="44" t="e">
        <f ca="1">IF(AND(CX2="D",BJ2&gt;0),"Under Section 4022(c) of ERISA, PBGC has allocated additional funds to non-guaranteed benefits based on PBGC's experience in recovering on claims against plan sponsors. PBGC has, therefore, increased your monthly benefit, as shown below.","NULL")</f>
        <v>#NAME?</v>
      </c>
      <c r="DB2" s="44" t="e">
        <f ca="1">IF(CX2="D","The benefits PBGC guarantees are limited by federal pension law to PBGC's maximum monthly amount that was in effect on the date of plan termination.  This amount is adjusted to reflect the participant's age and form of annuity.","NULL")</f>
        <v>#NAME?</v>
      </c>
      <c r="DC2" s="44" t="e">
        <f ca="1">IF(AND(CX2="D",BJ2&gt;0),"Under Section 4022(c) of ERISA, PBGC has allocated additional funds to non-guaranteed benefits based on PBGC's experience in recovering on claims against plan sponsors. PBGC has, therefore, increased your monthly benefit, as shown below.","NULL")</f>
        <v>#NAME?</v>
      </c>
      <c r="DD2" s="44" t="e">
        <f ca="1">IF(CX2="D","The benefits PBGC guarantees are limited by federal pension law to PBGC's maximum monthly amount that was in effect on the date of plan termination.  This amount is adjusted to reflect the participant's age and form of annuity.","NULL")</f>
        <v>#NAME?</v>
      </c>
      <c r="DE2" s="44" t="e">
        <f ca="1">IF(CX2="D","Your current monthly benefit of $"&amp;TEXT(CB2,"0000.00")&amp;" will decrease to $"&amp;TEXT(AI2,"0000.00")&amp;" because of the limitations placed on the monthly benefit payable at DOPT.  See the Benefit Calculation section for further details.","NULL")</f>
        <v>#NAME?</v>
      </c>
      <c r="DF2" s="3" t="s">
        <v>140</v>
      </c>
      <c r="DG2" s="3" t="s">
        <v>140</v>
      </c>
      <c r="DH2" s="3" t="s">
        <v>442</v>
      </c>
      <c r="DI2" s="3" t="s">
        <v>442</v>
      </c>
      <c r="DJ2" s="3" t="s">
        <v>442</v>
      </c>
      <c r="DK2" s="3" t="s">
        <v>442</v>
      </c>
      <c r="DL2" s="3" t="s">
        <v>442</v>
      </c>
      <c r="DM2" s="3" t="s">
        <v>442</v>
      </c>
    </row>
    <row r="3" spans="1:117" ht="13.5" thickBot="1" x14ac:dyDescent="0.25">
      <c r="A3" s="14"/>
      <c r="B3" s="138"/>
      <c r="C3" s="138"/>
      <c r="D3" s="138"/>
      <c r="E3" s="138"/>
      <c r="F3" s="138"/>
      <c r="G3" s="157"/>
      <c r="H3" s="157"/>
      <c r="I3" s="157"/>
      <c r="J3" s="157"/>
      <c r="K3" s="157"/>
      <c r="L3" s="157"/>
      <c r="M3" s="157"/>
      <c r="N3" s="157"/>
      <c r="O3" s="157"/>
      <c r="P3" s="157"/>
      <c r="Q3" s="157"/>
      <c r="R3" s="57"/>
      <c r="S3" s="57"/>
      <c r="T3" s="57"/>
      <c r="U3" s="43"/>
      <c r="V3" s="43"/>
      <c r="W3" s="43"/>
      <c r="X3" s="43"/>
      <c r="Y3" s="233"/>
      <c r="Z3" s="233"/>
      <c r="AA3" s="233"/>
      <c r="AB3" s="233"/>
      <c r="AC3" s="233"/>
      <c r="AD3" s="43"/>
      <c r="AE3" s="57"/>
      <c r="AF3" s="57"/>
      <c r="AG3" s="57"/>
      <c r="AH3" s="57"/>
      <c r="AI3" s="57"/>
      <c r="AJ3" s="4"/>
      <c r="AK3" s="4"/>
      <c r="AL3" s="4"/>
      <c r="AM3" s="57"/>
      <c r="AN3" s="119"/>
      <c r="AO3" s="57"/>
      <c r="AP3" s="57"/>
      <c r="AQ3" s="239"/>
      <c r="AR3" s="57"/>
      <c r="AS3" s="4"/>
      <c r="AT3" s="23"/>
      <c r="AU3" s="57"/>
      <c r="AV3" s="119"/>
      <c r="AW3" s="57"/>
      <c r="AX3" s="57"/>
      <c r="AY3" s="57"/>
      <c r="AZ3" s="239"/>
      <c r="BA3" s="49"/>
      <c r="BB3" s="49"/>
      <c r="BC3" s="49"/>
      <c r="BD3" s="49"/>
      <c r="BE3" s="213"/>
      <c r="BF3" s="213"/>
      <c r="BG3" s="213"/>
      <c r="BH3" s="213"/>
      <c r="BI3" s="213"/>
      <c r="BJ3" s="213"/>
      <c r="BK3" s="239"/>
      <c r="BL3" s="239"/>
      <c r="BM3" s="239"/>
      <c r="BN3" s="239"/>
      <c r="BO3" s="239"/>
      <c r="BP3" s="239"/>
      <c r="BQ3" s="80"/>
      <c r="BR3" s="116"/>
      <c r="BS3" s="116"/>
      <c r="BT3" s="116"/>
      <c r="BU3" s="116"/>
      <c r="BV3" s="116"/>
      <c r="BW3" s="107"/>
      <c r="BX3" s="225"/>
      <c r="BY3" s="55"/>
      <c r="BZ3" s="241"/>
      <c r="CA3" s="241"/>
      <c r="CB3" s="241"/>
      <c r="CC3" s="241"/>
      <c r="CD3" s="241"/>
      <c r="CE3" s="55"/>
      <c r="CF3" s="241"/>
      <c r="CG3" s="241"/>
      <c r="CH3" s="241"/>
      <c r="CI3" s="241"/>
      <c r="CJ3" s="57"/>
      <c r="CK3" s="145"/>
      <c r="CL3" s="145"/>
      <c r="CM3" s="145"/>
      <c r="CN3" s="57"/>
      <c r="CO3" s="57"/>
      <c r="CP3" s="57"/>
      <c r="CQ3" s="57"/>
      <c r="CR3" s="57"/>
      <c r="CS3" s="145"/>
      <c r="CT3" s="145"/>
      <c r="CU3" s="145"/>
      <c r="CV3" s="239"/>
      <c r="CW3" s="239"/>
      <c r="CX3" s="239"/>
      <c r="CY3" s="239"/>
      <c r="CZ3" s="239"/>
      <c r="DA3" s="239"/>
      <c r="DB3" s="239"/>
      <c r="DC3" s="239"/>
      <c r="DD3" s="239"/>
      <c r="DE3" s="239"/>
      <c r="DF3" s="239"/>
      <c r="DG3" s="239"/>
      <c r="DH3" s="239"/>
      <c r="DI3" s="239"/>
      <c r="DJ3" s="239"/>
      <c r="DK3" s="239"/>
      <c r="DL3" s="239"/>
      <c r="DM3" s="239"/>
    </row>
    <row r="4" spans="1:117" ht="13.5" thickTop="1" x14ac:dyDescent="0.2">
      <c r="A4" s="101"/>
      <c r="B4" s="13"/>
      <c r="C4" s="13"/>
      <c r="D4" s="15"/>
      <c r="E4" s="15"/>
      <c r="F4" s="15"/>
      <c r="G4" s="15"/>
      <c r="H4" s="15"/>
      <c r="I4" s="15"/>
      <c r="J4" s="15"/>
      <c r="K4" s="15"/>
      <c r="L4" s="15"/>
      <c r="M4" s="15"/>
      <c r="N4" s="15"/>
      <c r="O4" s="15"/>
      <c r="P4" s="15"/>
      <c r="Q4" s="15"/>
      <c r="R4" s="15"/>
      <c r="S4" s="15"/>
      <c r="T4" s="15"/>
      <c r="U4" s="15"/>
      <c r="V4" s="15"/>
      <c r="W4" s="15"/>
      <c r="X4" s="15"/>
      <c r="Y4" s="15"/>
      <c r="Z4" s="15"/>
      <c r="AA4" s="15"/>
      <c r="AB4" s="15"/>
      <c r="AC4" s="15"/>
      <c r="AD4" s="259"/>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61"/>
      <c r="BF4" s="161"/>
      <c r="BG4" s="161"/>
      <c r="BH4" s="161"/>
      <c r="BI4" s="161"/>
      <c r="BJ4" s="161"/>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15"/>
      <c r="CR4" s="15"/>
      <c r="CS4" s="15"/>
      <c r="CT4" s="15"/>
      <c r="CU4" s="15"/>
      <c r="CV4" s="15"/>
      <c r="CW4" s="15"/>
      <c r="CX4" s="15"/>
      <c r="CY4" s="15"/>
      <c r="CZ4" s="15"/>
      <c r="DA4" s="15"/>
      <c r="DB4" s="15"/>
      <c r="DC4" s="15"/>
      <c r="DD4" s="15"/>
      <c r="DE4" s="15"/>
      <c r="DF4" s="15"/>
      <c r="DG4" s="15"/>
      <c r="DH4" s="15"/>
      <c r="DI4" s="15"/>
      <c r="DJ4" s="15"/>
      <c r="DK4" s="15"/>
      <c r="DL4" s="15"/>
      <c r="DM4" s="15"/>
    </row>
    <row r="5" spans="1:117" x14ac:dyDescent="0.2">
      <c r="A5" s="199"/>
      <c r="B5" s="214"/>
      <c r="D5" s="15"/>
      <c r="E5" s="15"/>
      <c r="F5" s="15"/>
      <c r="G5" s="15"/>
      <c r="H5" s="15"/>
      <c r="I5" s="15"/>
      <c r="J5" s="15"/>
      <c r="K5" s="15"/>
      <c r="L5" s="15"/>
      <c r="M5" s="15"/>
      <c r="N5" s="15"/>
      <c r="O5" s="15"/>
      <c r="P5" s="15"/>
      <c r="Q5" s="54"/>
      <c r="R5" s="54"/>
      <c r="S5" s="54"/>
      <c r="T5" s="54"/>
      <c r="U5" s="54"/>
      <c r="V5" s="54"/>
      <c r="W5" s="54"/>
      <c r="X5" s="54"/>
      <c r="Y5" s="15"/>
      <c r="Z5" s="15"/>
      <c r="AA5" s="15"/>
      <c r="AB5" s="15"/>
      <c r="AC5" s="15"/>
      <c r="AD5" s="54"/>
      <c r="AE5" s="54"/>
      <c r="AF5" s="54"/>
      <c r="AG5" s="54"/>
      <c r="AH5" s="54"/>
      <c r="AI5" s="54"/>
      <c r="AJ5" s="21"/>
      <c r="AK5" s="21"/>
      <c r="AL5" s="21"/>
      <c r="AM5" s="54"/>
      <c r="AN5" s="54"/>
      <c r="AO5" s="54"/>
      <c r="AP5" s="54"/>
      <c r="AQ5" s="15"/>
      <c r="AR5" s="54"/>
      <c r="AS5" s="54"/>
      <c r="AT5" s="54"/>
      <c r="AU5" s="54"/>
      <c r="AV5" s="54"/>
      <c r="AW5" s="54"/>
      <c r="AX5" s="54"/>
      <c r="AY5" s="54"/>
      <c r="AZ5" s="54"/>
      <c r="BA5" s="21"/>
      <c r="BB5" s="21"/>
      <c r="BC5" s="21"/>
      <c r="BD5" s="21"/>
      <c r="BE5" s="161"/>
      <c r="BF5" s="161"/>
      <c r="BG5" s="161"/>
      <c r="BH5" s="161"/>
      <c r="BI5" s="161"/>
      <c r="BJ5" s="161"/>
      <c r="BK5" s="21"/>
      <c r="BL5" s="21"/>
      <c r="BM5" s="21"/>
      <c r="BN5" s="21"/>
      <c r="BO5" s="21"/>
      <c r="BP5" s="21"/>
      <c r="BQ5" s="54"/>
      <c r="BR5" s="15"/>
      <c r="BS5" s="15"/>
      <c r="BT5" s="15"/>
      <c r="BU5" s="15"/>
      <c r="BV5" s="15"/>
      <c r="BW5" s="54"/>
      <c r="BX5" s="15"/>
      <c r="BY5" s="15"/>
      <c r="BZ5" s="15"/>
      <c r="CA5" s="15"/>
      <c r="CB5" s="15"/>
      <c r="CC5" s="15"/>
      <c r="CD5" s="15"/>
      <c r="CE5" s="15"/>
      <c r="CF5" s="15"/>
      <c r="CG5" s="15"/>
      <c r="CH5" s="15"/>
      <c r="CI5" s="15"/>
      <c r="CJ5" s="54"/>
      <c r="CK5" s="54"/>
      <c r="CL5" s="54"/>
      <c r="CM5" s="54"/>
      <c r="CN5" s="54"/>
      <c r="CO5" s="54"/>
      <c r="CP5" s="54"/>
      <c r="CQ5" s="54"/>
      <c r="CR5" s="54"/>
      <c r="CS5" s="54"/>
      <c r="CT5" s="54"/>
      <c r="CU5" s="54"/>
      <c r="CV5" s="54"/>
      <c r="CW5" s="54"/>
      <c r="CX5" s="54"/>
      <c r="CY5" s="54"/>
      <c r="CZ5" s="54"/>
      <c r="DA5" s="54"/>
      <c r="DB5" s="54"/>
      <c r="DC5" s="54"/>
      <c r="DD5" s="54"/>
      <c r="DE5" s="54"/>
      <c r="DF5" s="54"/>
      <c r="DG5" s="54"/>
      <c r="DH5" s="54"/>
      <c r="DI5" s="54"/>
      <c r="DJ5" s="54"/>
      <c r="DK5" s="54"/>
      <c r="DL5" s="54"/>
      <c r="DM5" s="54"/>
    </row>
    <row r="6" spans="1:117" x14ac:dyDescent="0.2">
      <c r="A6" s="199"/>
      <c r="B6" s="167"/>
      <c r="D6" s="15"/>
      <c r="E6" s="15"/>
      <c r="F6" s="15"/>
      <c r="G6" s="15"/>
      <c r="H6" s="15"/>
      <c r="I6" s="15"/>
      <c r="J6" s="15"/>
      <c r="K6" s="15"/>
      <c r="L6" s="15"/>
      <c r="M6" s="15"/>
      <c r="N6" s="15"/>
      <c r="O6" s="15"/>
      <c r="P6" s="15"/>
      <c r="Q6" s="15"/>
      <c r="R6" s="15"/>
      <c r="S6" s="15"/>
      <c r="T6" s="15"/>
      <c r="U6" s="15"/>
      <c r="V6" s="15"/>
      <c r="W6" s="15"/>
      <c r="X6" s="15"/>
      <c r="Y6" s="230"/>
      <c r="Z6" s="15"/>
      <c r="AA6" s="15"/>
      <c r="AB6" s="15"/>
      <c r="AC6" s="15"/>
      <c r="AD6" s="203"/>
      <c r="AE6" s="15"/>
      <c r="AF6" s="15"/>
      <c r="AG6" s="15"/>
      <c r="AH6" s="15"/>
      <c r="AI6" s="15"/>
      <c r="AJ6" s="102"/>
      <c r="AK6" s="102"/>
      <c r="AL6" s="102"/>
      <c r="AM6" s="15"/>
      <c r="AN6" s="15"/>
      <c r="AO6" s="15"/>
      <c r="AP6" s="15"/>
      <c r="AQ6" s="15"/>
      <c r="AR6" s="15"/>
      <c r="AS6" s="15"/>
      <c r="AT6" s="15"/>
      <c r="AU6" s="15"/>
      <c r="AV6" s="15"/>
      <c r="AW6" s="15"/>
      <c r="AX6" s="15"/>
      <c r="AY6" s="15"/>
      <c r="AZ6" s="10"/>
      <c r="BA6" s="102"/>
      <c r="BB6" s="102"/>
      <c r="BC6" s="102"/>
      <c r="BD6" s="102"/>
      <c r="BE6" s="161"/>
      <c r="BF6" s="161"/>
      <c r="BG6" s="161"/>
      <c r="BH6" s="161"/>
      <c r="BI6" s="161"/>
      <c r="BJ6" s="161"/>
      <c r="BK6" s="102"/>
      <c r="BL6" s="102"/>
      <c r="BM6" s="102"/>
      <c r="BN6" s="102"/>
      <c r="BO6" s="102"/>
      <c r="BP6" s="102"/>
      <c r="BQ6" s="10"/>
      <c r="BR6" s="15"/>
      <c r="BS6" s="15"/>
      <c r="BT6" s="15"/>
      <c r="BU6" s="15"/>
      <c r="BV6" s="15"/>
      <c r="BW6" s="10"/>
      <c r="BX6" s="15"/>
      <c r="BY6" s="15"/>
      <c r="BZ6" s="15"/>
      <c r="CA6" s="15"/>
      <c r="CB6" s="15"/>
      <c r="CC6" s="15"/>
      <c r="CD6" s="15"/>
      <c r="CE6" s="15"/>
      <c r="CF6" s="15"/>
      <c r="CG6" s="15"/>
      <c r="CH6" s="15"/>
      <c r="CI6" s="15"/>
      <c r="CJ6" s="10"/>
      <c r="CK6" s="10"/>
      <c r="CL6" s="10"/>
      <c r="CM6" s="10"/>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row>
    <row r="7" spans="1:117" x14ac:dyDescent="0.2">
      <c r="A7" s="199"/>
      <c r="B7" s="204"/>
      <c r="D7" s="15"/>
      <c r="E7" s="15"/>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02"/>
      <c r="AK7" s="102"/>
      <c r="AL7" s="102"/>
      <c r="AM7" s="15"/>
      <c r="AN7" s="15"/>
      <c r="AO7" s="15"/>
      <c r="AP7" s="15"/>
      <c r="AQ7" s="15"/>
      <c r="AR7" s="15"/>
      <c r="AS7" s="15"/>
      <c r="AT7" s="15"/>
      <c r="AU7" s="15"/>
      <c r="AV7" s="15"/>
      <c r="AW7" s="15"/>
      <c r="AX7" s="15"/>
      <c r="AY7" s="15"/>
      <c r="AZ7" s="10"/>
      <c r="BA7" s="102"/>
      <c r="BB7" s="102"/>
      <c r="BC7" s="102"/>
      <c r="BD7" s="102"/>
      <c r="BE7" s="161"/>
      <c r="BF7" s="161"/>
      <c r="BG7" s="161"/>
      <c r="BH7" s="161"/>
      <c r="BI7" s="161"/>
      <c r="BJ7" s="161"/>
      <c r="BK7" s="102"/>
      <c r="BL7" s="102"/>
      <c r="BM7" s="102"/>
      <c r="BN7" s="102"/>
      <c r="BO7" s="102"/>
      <c r="BP7" s="102"/>
      <c r="BQ7" s="10"/>
      <c r="BR7" s="15"/>
      <c r="BS7" s="15"/>
      <c r="BT7" s="15"/>
      <c r="BU7" s="15"/>
      <c r="BV7" s="15"/>
      <c r="BW7" s="10"/>
      <c r="BX7" s="15"/>
      <c r="BY7" s="15"/>
      <c r="BZ7" s="15"/>
      <c r="CA7" s="15"/>
      <c r="CB7" s="15"/>
      <c r="CC7" s="15"/>
      <c r="CD7" s="15"/>
      <c r="CE7" s="15"/>
      <c r="CF7" s="15"/>
      <c r="CG7" s="15"/>
      <c r="CH7" s="15"/>
      <c r="CI7" s="15"/>
      <c r="CJ7" s="10"/>
      <c r="CK7" s="10"/>
      <c r="CL7" s="10"/>
      <c r="CM7" s="10"/>
      <c r="CN7" s="15"/>
      <c r="CO7" s="15"/>
      <c r="CP7" s="15"/>
      <c r="CQ7" s="15"/>
      <c r="CR7" s="15"/>
      <c r="CS7" s="15"/>
      <c r="CT7" s="15"/>
      <c r="CU7" s="15"/>
      <c r="CV7" s="15"/>
      <c r="CW7" s="15"/>
      <c r="CX7" s="15"/>
      <c r="CY7" s="15"/>
      <c r="CZ7" s="15"/>
      <c r="DA7" s="15"/>
      <c r="DB7" s="15"/>
      <c r="DC7" s="15"/>
      <c r="DD7" s="15"/>
      <c r="DE7" s="15"/>
      <c r="DF7" s="15"/>
      <c r="DG7" s="15"/>
      <c r="DH7" s="15"/>
      <c r="DI7" s="15"/>
      <c r="DJ7" s="15"/>
      <c r="DK7" s="15"/>
      <c r="DL7" s="15"/>
      <c r="DM7" s="15"/>
    </row>
    <row r="8" spans="1:117" x14ac:dyDescent="0.2">
      <c r="A8" s="199"/>
      <c r="B8" s="218"/>
      <c r="D8" s="15"/>
      <c r="E8" s="15"/>
      <c r="F8" s="15"/>
      <c r="G8" s="15"/>
      <c r="H8" s="15"/>
      <c r="I8" s="15"/>
      <c r="J8" s="15"/>
      <c r="K8" s="15"/>
      <c r="L8" s="15"/>
      <c r="M8" s="15"/>
      <c r="N8" s="15"/>
      <c r="O8" s="15"/>
      <c r="P8" s="15"/>
      <c r="Q8" s="54"/>
      <c r="R8" s="54"/>
      <c r="S8" s="54"/>
      <c r="T8" s="54"/>
      <c r="U8" s="54"/>
      <c r="V8" s="54"/>
      <c r="W8" s="54"/>
      <c r="X8" s="54"/>
      <c r="Y8" s="15"/>
      <c r="Z8" s="15"/>
      <c r="AA8" s="15"/>
      <c r="AB8" s="15"/>
      <c r="AC8" s="15"/>
      <c r="AD8" s="54"/>
      <c r="AE8" s="54"/>
      <c r="AF8" s="54"/>
      <c r="AG8" s="54"/>
      <c r="AH8" s="54"/>
      <c r="AI8" s="54"/>
      <c r="AJ8" s="21"/>
      <c r="AK8" s="21"/>
      <c r="AL8" s="21"/>
      <c r="AM8" s="54"/>
      <c r="AN8" s="54"/>
      <c r="AO8" s="54"/>
      <c r="AP8" s="54"/>
      <c r="AQ8" s="15"/>
      <c r="AR8" s="54"/>
      <c r="AS8" s="54"/>
      <c r="AT8" s="54"/>
      <c r="AU8" s="54"/>
      <c r="AV8" s="54"/>
      <c r="AW8" s="54"/>
      <c r="AX8" s="54"/>
      <c r="AY8" s="54"/>
      <c r="AZ8" s="137"/>
      <c r="BA8" s="21"/>
      <c r="BB8" s="21"/>
      <c r="BC8" s="21"/>
      <c r="BD8" s="21"/>
      <c r="BE8" s="102"/>
      <c r="BF8" s="102"/>
      <c r="BG8" s="102"/>
      <c r="BH8" s="102"/>
      <c r="BI8" s="102"/>
      <c r="BJ8" s="102"/>
      <c r="BK8" s="21"/>
      <c r="BL8" s="21"/>
      <c r="BM8" s="21"/>
      <c r="BN8" s="21"/>
      <c r="BO8" s="21"/>
      <c r="BP8" s="21"/>
      <c r="BQ8" s="137"/>
      <c r="BR8" s="15"/>
      <c r="BS8" s="15"/>
      <c r="BT8" s="15"/>
      <c r="BU8" s="15"/>
      <c r="BV8" s="15"/>
      <c r="BW8" s="137"/>
      <c r="BX8" s="15"/>
      <c r="BY8" s="15"/>
      <c r="BZ8" s="15"/>
      <c r="CA8" s="15"/>
      <c r="CB8" s="15"/>
      <c r="CC8" s="15"/>
      <c r="CD8" s="15"/>
      <c r="CE8" s="15"/>
      <c r="CF8" s="15"/>
      <c r="CG8" s="15"/>
      <c r="CH8" s="15"/>
      <c r="CI8" s="15"/>
      <c r="CJ8" s="137"/>
      <c r="CK8" s="137"/>
      <c r="CL8" s="137"/>
      <c r="CM8" s="137"/>
      <c r="CN8" s="54"/>
      <c r="CO8" s="54"/>
      <c r="CP8" s="54"/>
      <c r="CQ8" s="54"/>
      <c r="CR8" s="54"/>
      <c r="CS8" s="54"/>
      <c r="CT8" s="54"/>
      <c r="CU8" s="54"/>
      <c r="CV8" s="54"/>
      <c r="CW8" s="54"/>
      <c r="CX8" s="54"/>
      <c r="CY8" s="54"/>
      <c r="CZ8" s="54"/>
      <c r="DA8" s="54"/>
      <c r="DB8" s="54"/>
      <c r="DC8" s="54"/>
      <c r="DD8" s="54"/>
      <c r="DE8" s="54"/>
      <c r="DF8" s="54"/>
      <c r="DG8" s="54"/>
      <c r="DH8" s="54"/>
      <c r="DI8" s="54"/>
      <c r="DJ8" s="54"/>
      <c r="DK8" s="54"/>
      <c r="DL8" s="54"/>
      <c r="DM8" s="54"/>
    </row>
    <row r="9" spans="1:117" ht="13.5" thickBot="1" x14ac:dyDescent="0.25">
      <c r="A9" s="199"/>
      <c r="B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5"/>
      <c r="CT9" s="15"/>
      <c r="CU9" s="15"/>
      <c r="CV9" s="15"/>
      <c r="CW9" s="15"/>
      <c r="CX9" s="15"/>
      <c r="CY9" s="15"/>
      <c r="CZ9" s="15"/>
      <c r="DA9" s="15"/>
      <c r="DB9" s="15"/>
      <c r="DC9" s="15"/>
      <c r="DD9" s="15"/>
      <c r="DE9" s="15"/>
      <c r="DF9" s="15"/>
      <c r="DG9" s="15"/>
      <c r="DH9" s="15"/>
      <c r="DI9" s="15"/>
      <c r="DJ9" s="15"/>
      <c r="DK9" s="15"/>
      <c r="DL9" s="15"/>
      <c r="DM9" s="15"/>
    </row>
    <row r="10" spans="1:117" ht="14.25" thickTop="1" thickBot="1" x14ac:dyDescent="0.25">
      <c r="A10" s="199"/>
      <c r="B10" s="167"/>
      <c r="D10" s="15"/>
      <c r="E10" s="15"/>
      <c r="F10" s="15"/>
      <c r="G10" s="15"/>
      <c r="H10" s="15"/>
      <c r="I10" s="15"/>
      <c r="J10" s="15"/>
      <c r="K10" s="15"/>
      <c r="L10" s="15"/>
      <c r="M10" s="15"/>
      <c r="N10" s="15"/>
      <c r="O10" s="15"/>
      <c r="P10" s="15"/>
      <c r="Q10" s="54"/>
      <c r="R10" s="54"/>
      <c r="S10" s="54"/>
      <c r="T10" s="54"/>
      <c r="U10" s="54"/>
      <c r="V10" s="54"/>
      <c r="W10" s="54"/>
      <c r="X10" s="54"/>
      <c r="Y10" s="15"/>
      <c r="Z10" s="15"/>
      <c r="AA10" s="15"/>
      <c r="AB10" s="15"/>
      <c r="AC10" s="15"/>
      <c r="AD10" s="54"/>
      <c r="AE10" s="54"/>
      <c r="AF10" s="54"/>
      <c r="AG10" s="54"/>
      <c r="AH10" s="54"/>
      <c r="AI10" s="54"/>
      <c r="AJ10" s="21"/>
      <c r="AK10" s="21"/>
      <c r="AL10" s="21"/>
      <c r="AQ10" s="15"/>
      <c r="AR10" s="54"/>
      <c r="AS10" s="54"/>
      <c r="AT10" s="54"/>
      <c r="AY10" s="54"/>
      <c r="AZ10" s="15"/>
      <c r="BA10" s="15"/>
      <c r="BB10" s="15"/>
      <c r="BC10" s="15"/>
      <c r="BD10" s="15"/>
      <c r="BE10" s="15"/>
      <c r="BF10" s="15"/>
      <c r="BG10" s="15"/>
      <c r="BH10" s="15"/>
      <c r="BI10" s="15"/>
      <c r="BJ10" s="15"/>
      <c r="BK10" s="15"/>
      <c r="BL10" s="15"/>
      <c r="BR10" s="262"/>
      <c r="BS10" s="262"/>
      <c r="BT10" s="262"/>
      <c r="BU10" s="262"/>
      <c r="BV10" s="262"/>
      <c r="BW10" s="137"/>
      <c r="BX10" s="262"/>
      <c r="BY10" s="262"/>
      <c r="BZ10" s="262"/>
      <c r="CA10" s="262"/>
      <c r="CB10" s="262"/>
      <c r="CC10" s="262"/>
      <c r="CD10" s="262"/>
      <c r="CE10" s="262"/>
      <c r="CF10" s="262"/>
      <c r="CG10" s="262"/>
      <c r="CH10" s="262"/>
      <c r="CI10" s="262"/>
      <c r="CJ10" s="137"/>
      <c r="CK10" s="262"/>
      <c r="CL10" s="137"/>
      <c r="CM10" s="262"/>
      <c r="CN10" s="54"/>
      <c r="CO10" s="54"/>
      <c r="CP10" s="54"/>
      <c r="CQ10" s="54"/>
      <c r="CR10" s="54"/>
      <c r="CS10" s="262"/>
      <c r="CT10" s="262"/>
      <c r="CU10" s="54"/>
      <c r="CV10" s="54"/>
      <c r="CW10" s="54"/>
      <c r="CX10" s="54"/>
      <c r="CY10" s="54"/>
      <c r="CZ10" s="54"/>
      <c r="DA10" s="54"/>
      <c r="DB10" s="54"/>
      <c r="DC10" s="54"/>
      <c r="DD10" s="54"/>
      <c r="DE10" s="54"/>
      <c r="DF10" s="54"/>
      <c r="DG10" s="54"/>
      <c r="DH10" s="54"/>
      <c r="DI10" s="54"/>
      <c r="DJ10" s="54"/>
      <c r="DK10" s="54"/>
      <c r="DL10" s="54"/>
      <c r="DM10" s="54"/>
    </row>
    <row r="11" spans="1:117" ht="13.5" thickTop="1" x14ac:dyDescent="0.2">
      <c r="A11" s="199"/>
      <c r="B11" s="218"/>
      <c r="C11" s="218"/>
      <c r="D11" s="15"/>
      <c r="E11" s="15"/>
      <c r="F11" s="15"/>
      <c r="G11" s="15"/>
      <c r="H11" s="15"/>
      <c r="I11" s="15"/>
      <c r="J11" s="15"/>
      <c r="K11" s="15"/>
      <c r="L11" s="15"/>
      <c r="M11" s="15"/>
      <c r="N11" s="15"/>
      <c r="O11" s="15"/>
      <c r="P11" s="15"/>
      <c r="Q11" s="54"/>
      <c r="R11" s="54"/>
      <c r="S11" s="54"/>
      <c r="T11" s="54"/>
      <c r="U11" s="54"/>
      <c r="V11" s="54"/>
      <c r="W11" s="54"/>
      <c r="X11" s="54"/>
      <c r="Y11" s="15"/>
      <c r="Z11" s="15"/>
      <c r="AA11" s="15"/>
      <c r="AB11" s="15"/>
      <c r="AC11" s="15"/>
      <c r="AD11" s="54"/>
      <c r="AE11" s="54"/>
      <c r="AF11" s="54"/>
      <c r="AG11" s="54"/>
      <c r="AH11" s="54"/>
      <c r="AI11" s="54"/>
      <c r="AJ11" s="21"/>
      <c r="AK11" s="21"/>
      <c r="AL11" s="21"/>
      <c r="AQ11" s="15"/>
      <c r="AR11" s="54"/>
      <c r="AS11" s="54"/>
      <c r="AT11" s="54"/>
      <c r="AY11" s="54"/>
      <c r="BW11" s="137"/>
      <c r="BX11" s="15"/>
      <c r="BY11" s="15"/>
      <c r="BZ11" s="15"/>
      <c r="CA11" s="15"/>
      <c r="CB11" s="15"/>
      <c r="CC11" s="15"/>
      <c r="CD11" s="15"/>
      <c r="CE11" s="15"/>
      <c r="CF11" s="15"/>
      <c r="CG11" s="15"/>
      <c r="CH11" s="15"/>
      <c r="CI11" s="15"/>
      <c r="CJ11" s="137"/>
      <c r="CK11" s="137"/>
      <c r="CL11" s="137"/>
      <c r="CM11" s="137"/>
      <c r="CN11" s="54"/>
      <c r="CO11" s="54"/>
      <c r="CP11" s="54"/>
      <c r="CQ11" s="54"/>
      <c r="CR11" s="54"/>
      <c r="CS11" s="54"/>
      <c r="CT11" s="54"/>
      <c r="CU11" s="54"/>
      <c r="CV11" s="54"/>
      <c r="CW11" s="54"/>
      <c r="CX11" s="54"/>
      <c r="CY11" s="54"/>
      <c r="CZ11" s="54"/>
      <c r="DA11" s="54"/>
      <c r="DB11" s="54"/>
      <c r="DC11" s="54"/>
      <c r="DD11" s="54"/>
      <c r="DE11" s="54"/>
      <c r="DF11" s="54"/>
      <c r="DG11" s="54"/>
      <c r="DH11" s="54"/>
      <c r="DI11" s="54"/>
      <c r="DJ11" s="54"/>
      <c r="DK11" s="54"/>
      <c r="DL11" s="54"/>
      <c r="DM11" s="54"/>
    </row>
    <row r="12" spans="1:117" x14ac:dyDescent="0.2">
      <c r="A12" s="244"/>
      <c r="B12" s="167"/>
      <c r="C12" s="167"/>
      <c r="D12" s="162"/>
      <c r="E12" s="162"/>
      <c r="F12" s="162"/>
      <c r="G12" s="15"/>
      <c r="H12" s="15"/>
      <c r="I12" s="15"/>
      <c r="J12" s="15"/>
      <c r="K12" s="15"/>
      <c r="L12" s="15"/>
      <c r="M12" s="15"/>
      <c r="N12" s="15"/>
      <c r="O12" s="15"/>
      <c r="P12" s="15"/>
      <c r="Q12" s="15"/>
      <c r="R12" s="15"/>
      <c r="S12" s="15"/>
      <c r="T12" s="15"/>
      <c r="U12" s="15"/>
      <c r="V12" s="15"/>
      <c r="W12" s="15"/>
      <c r="X12" s="15"/>
      <c r="Y12" s="15"/>
      <c r="Z12" s="15"/>
      <c r="AA12" s="15"/>
      <c r="AB12" s="15"/>
      <c r="AC12" s="15"/>
      <c r="AD12" s="246"/>
      <c r="AE12" s="15"/>
      <c r="AF12" s="15"/>
      <c r="AG12" s="15"/>
      <c r="AH12" s="15"/>
      <c r="AI12" s="15"/>
      <c r="AJ12" s="220"/>
      <c r="AK12" s="220"/>
      <c r="AL12" s="220"/>
      <c r="AM12" s="15"/>
      <c r="AN12" s="15"/>
      <c r="AO12" s="15"/>
      <c r="AP12" s="15"/>
      <c r="AQ12" s="220"/>
      <c r="AR12" s="15"/>
      <c r="AS12" s="15"/>
      <c r="AT12" s="15"/>
      <c r="AU12" s="15"/>
      <c r="AV12" s="15"/>
      <c r="AW12" s="15"/>
      <c r="AX12" s="15"/>
      <c r="AY12" s="15"/>
      <c r="AZ12" s="15"/>
      <c r="BA12" s="102"/>
      <c r="BB12" s="102"/>
      <c r="BC12" s="102"/>
      <c r="BD12" s="102"/>
      <c r="BE12" s="161"/>
      <c r="BF12" s="161"/>
      <c r="BG12" s="161"/>
      <c r="BH12" s="161"/>
      <c r="BI12" s="161"/>
      <c r="BJ12" s="161"/>
      <c r="BK12" s="102"/>
      <c r="BL12" s="102"/>
      <c r="BM12" s="102"/>
      <c r="BN12" s="102"/>
      <c r="BO12" s="102"/>
      <c r="BP12" s="102"/>
      <c r="BQ12" s="220"/>
      <c r="BR12" s="15"/>
      <c r="BS12" s="15"/>
      <c r="BT12" s="15"/>
      <c r="BU12" s="15"/>
      <c r="BV12" s="15"/>
      <c r="BW12" s="15"/>
      <c r="BX12" s="15"/>
      <c r="BY12" s="15"/>
      <c r="BZ12" s="15"/>
      <c r="CA12" s="15"/>
      <c r="CB12" s="15"/>
      <c r="CC12" s="15"/>
      <c r="CD12" s="15"/>
      <c r="CE12" s="15"/>
      <c r="CF12" s="15"/>
      <c r="CG12" s="15"/>
      <c r="CH12" s="15"/>
      <c r="CI12" s="15"/>
      <c r="CJ12" s="10"/>
      <c r="CK12" s="10"/>
      <c r="CL12" s="10"/>
      <c r="CM12" s="10"/>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row>
    <row r="13" spans="1:117" ht="77.25" thickBot="1" x14ac:dyDescent="0.25">
      <c r="A13" s="195" t="s">
        <v>993</v>
      </c>
      <c r="B13" s="229"/>
      <c r="C13" s="229"/>
      <c r="D13" s="94"/>
      <c r="E13" s="94"/>
      <c r="F13" s="94" t="s">
        <v>145</v>
      </c>
      <c r="G13" s="94" t="s">
        <v>350</v>
      </c>
      <c r="H13" s="94" t="s">
        <v>79</v>
      </c>
      <c r="I13" s="94" t="s">
        <v>331</v>
      </c>
      <c r="J13" s="94" t="s">
        <v>340</v>
      </c>
      <c r="K13" s="94" t="s">
        <v>263</v>
      </c>
      <c r="L13" s="94" t="s">
        <v>223</v>
      </c>
      <c r="M13" s="94" t="s">
        <v>423</v>
      </c>
      <c r="N13" s="94" t="s">
        <v>258</v>
      </c>
      <c r="O13" s="94" t="s">
        <v>226</v>
      </c>
      <c r="P13" s="94" t="s">
        <v>3</v>
      </c>
      <c r="Q13" s="94" t="s">
        <v>524</v>
      </c>
      <c r="R13" s="94" t="s">
        <v>195</v>
      </c>
      <c r="S13" s="94" t="s">
        <v>461</v>
      </c>
      <c r="T13" s="94" t="s">
        <v>393</v>
      </c>
      <c r="U13" s="94" t="s">
        <v>277</v>
      </c>
      <c r="V13" s="94" t="s">
        <v>452</v>
      </c>
      <c r="W13" s="94" t="s">
        <v>489</v>
      </c>
      <c r="X13" s="94" t="s">
        <v>261</v>
      </c>
      <c r="Y13" s="94" t="s">
        <v>464</v>
      </c>
      <c r="Z13" s="94" t="s">
        <v>446</v>
      </c>
      <c r="AA13" s="94" t="s">
        <v>428</v>
      </c>
      <c r="AB13" s="94" t="s">
        <v>189</v>
      </c>
      <c r="AC13" s="94" t="s">
        <v>135</v>
      </c>
      <c r="AD13" s="94" t="s">
        <v>128</v>
      </c>
      <c r="AE13" s="94" t="s">
        <v>496</v>
      </c>
      <c r="AF13" s="94" t="s">
        <v>668</v>
      </c>
      <c r="AG13" s="94" t="s">
        <v>669</v>
      </c>
      <c r="AH13" s="94" t="s">
        <v>466</v>
      </c>
      <c r="AI13" s="94" t="s">
        <v>394</v>
      </c>
      <c r="AJ13" s="94" t="s">
        <v>306</v>
      </c>
      <c r="AK13" s="94" t="s">
        <v>755</v>
      </c>
      <c r="AL13" s="94" t="s">
        <v>672</v>
      </c>
      <c r="AM13" s="94" t="s">
        <v>134</v>
      </c>
      <c r="AN13" s="94" t="s">
        <v>315</v>
      </c>
      <c r="AO13" s="94" t="s">
        <v>406</v>
      </c>
      <c r="AP13" s="94" t="s">
        <v>1</v>
      </c>
      <c r="AQ13" s="94" t="s">
        <v>170</v>
      </c>
      <c r="AR13" s="94" t="s">
        <v>139</v>
      </c>
      <c r="AS13" s="94" t="s">
        <v>27</v>
      </c>
      <c r="AT13" s="94" t="s">
        <v>555</v>
      </c>
      <c r="AU13" s="94" t="s">
        <v>264</v>
      </c>
      <c r="AV13" s="94" t="s">
        <v>229</v>
      </c>
      <c r="AW13" s="94" t="s">
        <v>336</v>
      </c>
      <c r="AX13" s="94" t="s">
        <v>451</v>
      </c>
      <c r="AY13" s="94" t="s">
        <v>414</v>
      </c>
      <c r="AZ13" s="139" t="s">
        <v>671</v>
      </c>
      <c r="BA13" s="94" t="s">
        <v>74</v>
      </c>
      <c r="BB13" s="94" t="s">
        <v>236</v>
      </c>
      <c r="BC13" s="94" t="s">
        <v>738</v>
      </c>
      <c r="BD13" s="94" t="s">
        <v>739</v>
      </c>
      <c r="BE13" s="139" t="s">
        <v>342</v>
      </c>
      <c r="BF13" s="139" t="s">
        <v>559</v>
      </c>
      <c r="BG13" s="139" t="s">
        <v>256</v>
      </c>
      <c r="BH13" s="139" t="s">
        <v>212</v>
      </c>
      <c r="BI13" s="139" t="s">
        <v>682</v>
      </c>
      <c r="BJ13" s="139" t="s">
        <v>165</v>
      </c>
      <c r="BK13" s="94" t="s">
        <v>535</v>
      </c>
      <c r="BL13" s="94" t="s">
        <v>40</v>
      </c>
      <c r="BM13" s="94" t="s">
        <v>757</v>
      </c>
      <c r="BN13" s="94" t="s">
        <v>758</v>
      </c>
      <c r="BO13" s="94" t="s">
        <v>756</v>
      </c>
      <c r="BP13" s="94" t="s">
        <v>468</v>
      </c>
      <c r="BQ13" s="94" t="s">
        <v>47</v>
      </c>
      <c r="BR13" s="94" t="s">
        <v>193</v>
      </c>
      <c r="BS13" s="94" t="s">
        <v>683</v>
      </c>
      <c r="BT13" s="94" t="s">
        <v>312</v>
      </c>
      <c r="BU13" s="94" t="s">
        <v>441</v>
      </c>
      <c r="BV13" s="94" t="s">
        <v>5</v>
      </c>
      <c r="BW13" s="94" t="s">
        <v>218</v>
      </c>
      <c r="BX13" s="94" t="s">
        <v>321</v>
      </c>
      <c r="BY13" s="94" t="s">
        <v>697</v>
      </c>
      <c r="BZ13" s="94" t="s">
        <v>444</v>
      </c>
      <c r="CA13" s="94" t="s">
        <v>472</v>
      </c>
      <c r="CB13" s="94" t="s">
        <v>512</v>
      </c>
      <c r="CC13" s="94" t="s">
        <v>339</v>
      </c>
      <c r="CD13" s="94" t="s">
        <v>476</v>
      </c>
      <c r="CE13" s="94" t="s">
        <v>698</v>
      </c>
      <c r="CF13" s="94" t="s">
        <v>550</v>
      </c>
      <c r="CG13" s="94" t="s">
        <v>82</v>
      </c>
      <c r="CH13" s="94" t="s">
        <v>435</v>
      </c>
      <c r="CI13" s="94" t="s">
        <v>373</v>
      </c>
      <c r="CJ13" s="94" t="s">
        <v>587</v>
      </c>
      <c r="CK13" s="94" t="s">
        <v>247</v>
      </c>
      <c r="CL13" s="94"/>
      <c r="CM13" s="94"/>
      <c r="CN13" s="94" t="s">
        <v>203</v>
      </c>
      <c r="CO13" s="94" t="s">
        <v>273</v>
      </c>
      <c r="CP13" s="94"/>
      <c r="CQ13" s="94"/>
      <c r="CR13" s="94"/>
      <c r="CS13" s="94" t="s">
        <v>4</v>
      </c>
      <c r="CT13" s="94" t="s">
        <v>58</v>
      </c>
      <c r="CU13" s="94" t="s">
        <v>259</v>
      </c>
      <c r="CV13" s="94" t="s">
        <v>485</v>
      </c>
      <c r="CW13" s="94" t="s">
        <v>159</v>
      </c>
      <c r="CX13" s="94" t="s">
        <v>673</v>
      </c>
      <c r="CY13" s="94" t="s">
        <v>114</v>
      </c>
      <c r="CZ13" s="94" t="s">
        <v>588</v>
      </c>
      <c r="DA13" s="94" t="s">
        <v>314</v>
      </c>
      <c r="DB13" s="94" t="s">
        <v>588</v>
      </c>
      <c r="DC13" s="94" t="s">
        <v>314</v>
      </c>
      <c r="DD13" s="94" t="s">
        <v>588</v>
      </c>
      <c r="DE13" s="94" t="s">
        <v>114</v>
      </c>
      <c r="DF13" s="94" t="s">
        <v>426</v>
      </c>
      <c r="DG13" s="94" t="s">
        <v>376</v>
      </c>
      <c r="DH13" s="94" t="s">
        <v>591</v>
      </c>
      <c r="DI13" s="94" t="s">
        <v>597</v>
      </c>
      <c r="DJ13" s="94" t="s">
        <v>598</v>
      </c>
      <c r="DK13" s="94" t="s">
        <v>599</v>
      </c>
      <c r="DL13" s="94" t="s">
        <v>600</v>
      </c>
      <c r="DM13" s="94" t="s">
        <v>601</v>
      </c>
    </row>
    <row r="14" spans="1:117" ht="14.25" thickTop="1" thickBot="1" x14ac:dyDescent="0.25">
      <c r="A14" s="69" t="s">
        <v>117</v>
      </c>
      <c r="B14" s="35" t="s">
        <v>265</v>
      </c>
      <c r="C14" s="35" t="s">
        <v>265</v>
      </c>
      <c r="D14" s="35" t="s">
        <v>265</v>
      </c>
      <c r="E14" s="35" t="s">
        <v>265</v>
      </c>
      <c r="F14" s="35" t="s">
        <v>265</v>
      </c>
      <c r="G14" s="35" t="s">
        <v>265</v>
      </c>
      <c r="H14" s="35" t="s">
        <v>265</v>
      </c>
      <c r="I14" s="35" t="s">
        <v>265</v>
      </c>
      <c r="J14" s="35" t="s">
        <v>265</v>
      </c>
      <c r="K14" s="35" t="s">
        <v>265</v>
      </c>
      <c r="L14" s="35" t="s">
        <v>265</v>
      </c>
      <c r="M14" s="35" t="s">
        <v>265</v>
      </c>
      <c r="N14" s="35" t="s">
        <v>265</v>
      </c>
      <c r="O14" s="35" t="s">
        <v>265</v>
      </c>
      <c r="P14" s="35" t="s">
        <v>265</v>
      </c>
      <c r="Q14" s="35" t="s">
        <v>265</v>
      </c>
      <c r="R14" s="35" t="s">
        <v>265</v>
      </c>
      <c r="S14" s="35" t="s">
        <v>265</v>
      </c>
      <c r="T14" s="35" t="s">
        <v>265</v>
      </c>
      <c r="U14" s="35" t="s">
        <v>265</v>
      </c>
      <c r="V14" s="35" t="s">
        <v>265</v>
      </c>
      <c r="W14" s="35" t="s">
        <v>265</v>
      </c>
      <c r="X14" s="35" t="s">
        <v>265</v>
      </c>
      <c r="Y14" s="35" t="s">
        <v>265</v>
      </c>
      <c r="Z14" s="35" t="s">
        <v>265</v>
      </c>
      <c r="AA14" s="35" t="s">
        <v>265</v>
      </c>
      <c r="AB14" s="35" t="s">
        <v>265</v>
      </c>
      <c r="AC14" s="35" t="s">
        <v>265</v>
      </c>
      <c r="AD14" s="35" t="s">
        <v>456</v>
      </c>
      <c r="AE14" s="35" t="s">
        <v>456</v>
      </c>
      <c r="AF14" s="35" t="s">
        <v>456</v>
      </c>
      <c r="AG14" s="35" t="s">
        <v>456</v>
      </c>
      <c r="AH14" s="35" t="s">
        <v>456</v>
      </c>
      <c r="AI14" s="35" t="s">
        <v>456</v>
      </c>
      <c r="AJ14" s="35" t="s">
        <v>265</v>
      </c>
      <c r="AK14" s="35" t="s">
        <v>265</v>
      </c>
      <c r="AL14" s="35" t="s">
        <v>456</v>
      </c>
      <c r="AM14" s="35" t="s">
        <v>265</v>
      </c>
      <c r="AN14" s="35" t="s">
        <v>265</v>
      </c>
      <c r="AO14" s="35" t="s">
        <v>265</v>
      </c>
      <c r="AP14" s="35" t="s">
        <v>456</v>
      </c>
      <c r="AQ14" s="35" t="s">
        <v>456</v>
      </c>
      <c r="AR14" s="35" t="s">
        <v>456</v>
      </c>
      <c r="AS14" s="35" t="s">
        <v>556</v>
      </c>
      <c r="AT14" s="35" t="s">
        <v>456</v>
      </c>
      <c r="AU14" s="35" t="s">
        <v>556</v>
      </c>
      <c r="AV14" s="35" t="s">
        <v>456</v>
      </c>
      <c r="AW14" s="35" t="s">
        <v>456</v>
      </c>
      <c r="AX14" s="35" t="s">
        <v>456</v>
      </c>
      <c r="AY14" s="35" t="s">
        <v>456</v>
      </c>
      <c r="AZ14" s="35" t="s">
        <v>265</v>
      </c>
      <c r="BA14" s="35" t="s">
        <v>456</v>
      </c>
      <c r="BB14" s="35" t="s">
        <v>456</v>
      </c>
      <c r="BC14" s="35" t="s">
        <v>456</v>
      </c>
      <c r="BD14" s="35" t="s">
        <v>456</v>
      </c>
      <c r="BE14" s="237" t="s">
        <v>456</v>
      </c>
      <c r="BF14" s="237" t="s">
        <v>456</v>
      </c>
      <c r="BG14" s="237" t="s">
        <v>456</v>
      </c>
      <c r="BH14" s="237" t="s">
        <v>456</v>
      </c>
      <c r="BI14" s="237" t="s">
        <v>456</v>
      </c>
      <c r="BJ14" s="237" t="s">
        <v>456</v>
      </c>
      <c r="BK14" s="35" t="s">
        <v>456</v>
      </c>
      <c r="BL14" s="35" t="s">
        <v>456</v>
      </c>
      <c r="BM14" s="35" t="s">
        <v>456</v>
      </c>
      <c r="BN14" s="35" t="s">
        <v>456</v>
      </c>
      <c r="BO14" s="35" t="s">
        <v>456</v>
      </c>
      <c r="BP14" s="35" t="s">
        <v>456</v>
      </c>
      <c r="BQ14" s="35" t="s">
        <v>456</v>
      </c>
      <c r="BR14" s="35" t="s">
        <v>456</v>
      </c>
      <c r="BS14" s="35" t="s">
        <v>456</v>
      </c>
      <c r="BT14" s="35" t="s">
        <v>456</v>
      </c>
      <c r="BU14" s="35" t="s">
        <v>456</v>
      </c>
      <c r="BV14" s="35" t="s">
        <v>456</v>
      </c>
      <c r="BW14" s="35" t="s">
        <v>456</v>
      </c>
      <c r="BX14" s="35" t="s">
        <v>456</v>
      </c>
      <c r="BY14" s="35" t="s">
        <v>456</v>
      </c>
      <c r="BZ14" s="35" t="s">
        <v>456</v>
      </c>
      <c r="CA14" s="35" t="s">
        <v>456</v>
      </c>
      <c r="CB14" s="35" t="s">
        <v>456</v>
      </c>
      <c r="CC14" s="35" t="s">
        <v>456</v>
      </c>
      <c r="CD14" s="35" t="s">
        <v>456</v>
      </c>
      <c r="CE14" s="35" t="s">
        <v>456</v>
      </c>
      <c r="CF14" s="35" t="s">
        <v>456</v>
      </c>
      <c r="CG14" s="35" t="s">
        <v>456</v>
      </c>
      <c r="CH14" s="35" t="s">
        <v>456</v>
      </c>
      <c r="CI14" s="35" t="s">
        <v>456</v>
      </c>
      <c r="CJ14" s="35" t="s">
        <v>456</v>
      </c>
      <c r="CK14" s="35" t="s">
        <v>456</v>
      </c>
      <c r="CL14" s="35" t="s">
        <v>456</v>
      </c>
      <c r="CM14" s="35" t="s">
        <v>456</v>
      </c>
      <c r="CN14" s="35" t="s">
        <v>456</v>
      </c>
      <c r="CO14" s="35" t="s">
        <v>456</v>
      </c>
      <c r="CP14" s="35" t="s">
        <v>456</v>
      </c>
      <c r="CQ14" s="35" t="s">
        <v>456</v>
      </c>
      <c r="CR14" s="35" t="s">
        <v>456</v>
      </c>
      <c r="CS14" s="35" t="s">
        <v>456</v>
      </c>
      <c r="CT14" s="35" t="s">
        <v>456</v>
      </c>
      <c r="CU14" s="35" t="s">
        <v>456</v>
      </c>
      <c r="CV14" s="35" t="s">
        <v>456</v>
      </c>
      <c r="CW14" s="35" t="s">
        <v>456</v>
      </c>
      <c r="CX14" s="35" t="s">
        <v>456</v>
      </c>
      <c r="CY14" s="35" t="s">
        <v>456</v>
      </c>
      <c r="CZ14" s="35" t="s">
        <v>456</v>
      </c>
      <c r="DA14" s="35" t="s">
        <v>456</v>
      </c>
      <c r="DB14" s="35" t="s">
        <v>456</v>
      </c>
      <c r="DC14" s="35" t="s">
        <v>456</v>
      </c>
      <c r="DD14" s="35" t="s">
        <v>456</v>
      </c>
      <c r="DE14" s="35" t="s">
        <v>456</v>
      </c>
      <c r="DF14" s="35" t="s">
        <v>456</v>
      </c>
      <c r="DG14" s="35" t="s">
        <v>456</v>
      </c>
      <c r="DH14" s="35" t="s">
        <v>456</v>
      </c>
      <c r="DI14" s="35" t="s">
        <v>456</v>
      </c>
      <c r="DJ14" s="35" t="s">
        <v>456</v>
      </c>
      <c r="DK14" s="35" t="s">
        <v>456</v>
      </c>
      <c r="DL14" s="35" t="s">
        <v>456</v>
      </c>
      <c r="DM14" s="35" t="s">
        <v>456</v>
      </c>
    </row>
    <row r="15" spans="1:117" ht="14.25" thickTop="1" thickBot="1" x14ac:dyDescent="0.25">
      <c r="A15" s="14" t="s">
        <v>526</v>
      </c>
      <c r="B15" s="60" t="s">
        <v>654</v>
      </c>
      <c r="C15" s="60" t="s">
        <v>510</v>
      </c>
      <c r="D15" s="60" t="s">
        <v>302</v>
      </c>
      <c r="E15" s="82" t="s">
        <v>400</v>
      </c>
      <c r="F15" s="82" t="s">
        <v>168</v>
      </c>
      <c r="G15" s="56" t="s">
        <v>310</v>
      </c>
      <c r="H15" s="56" t="s">
        <v>87</v>
      </c>
      <c r="I15" s="56" t="s">
        <v>228</v>
      </c>
      <c r="J15" s="56" t="s">
        <v>144</v>
      </c>
      <c r="K15" s="56" t="s">
        <v>429</v>
      </c>
      <c r="L15" s="56" t="s">
        <v>182</v>
      </c>
      <c r="M15" s="56" t="s">
        <v>298</v>
      </c>
      <c r="N15" s="56" t="s">
        <v>571</v>
      </c>
      <c r="O15" s="56" t="s">
        <v>156</v>
      </c>
      <c r="P15" s="56" t="s">
        <v>299</v>
      </c>
      <c r="Q15" s="56" t="s">
        <v>164</v>
      </c>
      <c r="R15" s="56" t="s">
        <v>403</v>
      </c>
      <c r="S15" s="56" t="s">
        <v>367</v>
      </c>
      <c r="T15" s="56" t="s">
        <v>105</v>
      </c>
      <c r="U15" s="56" t="s">
        <v>520</v>
      </c>
      <c r="V15" s="56" t="s">
        <v>469</v>
      </c>
      <c r="W15" s="56" t="s">
        <v>432</v>
      </c>
      <c r="X15" s="56" t="s">
        <v>111</v>
      </c>
      <c r="Y15" s="56" t="s">
        <v>431</v>
      </c>
      <c r="Z15" s="56" t="s">
        <v>15</v>
      </c>
      <c r="AA15" s="56" t="s">
        <v>551</v>
      </c>
      <c r="AB15" s="56" t="s">
        <v>9</v>
      </c>
      <c r="AC15" s="56" t="s">
        <v>566</v>
      </c>
      <c r="AD15" s="56" t="s">
        <v>412</v>
      </c>
      <c r="AE15" s="56" t="s">
        <v>369</v>
      </c>
      <c r="AF15" s="56" t="s">
        <v>534</v>
      </c>
      <c r="AG15" s="56" t="s">
        <v>583</v>
      </c>
      <c r="AH15" s="56" t="s">
        <v>471</v>
      </c>
      <c r="AI15" s="56" t="s">
        <v>539</v>
      </c>
      <c r="AJ15" s="202" t="s">
        <v>565</v>
      </c>
      <c r="AK15" s="202" t="s">
        <v>354</v>
      </c>
      <c r="AL15" s="202" t="s">
        <v>522</v>
      </c>
      <c r="AM15" s="202" t="s">
        <v>133</v>
      </c>
      <c r="AN15" s="202" t="s">
        <v>232</v>
      </c>
      <c r="AO15" s="202" t="s">
        <v>56</v>
      </c>
      <c r="AP15" s="202" t="s">
        <v>162</v>
      </c>
      <c r="AQ15" s="202" t="s">
        <v>93</v>
      </c>
      <c r="AR15" s="202" t="s">
        <v>198</v>
      </c>
      <c r="AS15" s="202" t="s">
        <v>249</v>
      </c>
      <c r="AT15" s="202" t="s">
        <v>152</v>
      </c>
      <c r="AU15" s="202" t="s">
        <v>513</v>
      </c>
      <c r="AV15" s="202" t="s">
        <v>554</v>
      </c>
      <c r="AW15" s="202" t="s">
        <v>409</v>
      </c>
      <c r="AX15" s="202" t="s">
        <v>72</v>
      </c>
      <c r="AY15" s="202" t="s">
        <v>35</v>
      </c>
      <c r="AZ15" s="202" t="s">
        <v>670</v>
      </c>
      <c r="BA15" s="202" t="s">
        <v>320</v>
      </c>
      <c r="BB15" s="202" t="s">
        <v>509</v>
      </c>
      <c r="BC15" s="202" t="s">
        <v>186</v>
      </c>
      <c r="BD15" s="202" t="s">
        <v>517</v>
      </c>
      <c r="BE15" s="146" t="s">
        <v>291</v>
      </c>
      <c r="BF15" s="146" t="s">
        <v>353</v>
      </c>
      <c r="BG15" s="146" t="s">
        <v>366</v>
      </c>
      <c r="BH15" s="146" t="s">
        <v>678</v>
      </c>
      <c r="BI15" s="146" t="s">
        <v>679</v>
      </c>
      <c r="BJ15" s="146" t="s">
        <v>262</v>
      </c>
      <c r="BK15" s="202" t="s">
        <v>255</v>
      </c>
      <c r="BL15" s="202" t="s">
        <v>151</v>
      </c>
      <c r="BM15" s="202" t="s">
        <v>434</v>
      </c>
      <c r="BN15" s="202" t="s">
        <v>108</v>
      </c>
      <c r="BO15" s="202" t="s">
        <v>433</v>
      </c>
      <c r="BP15" s="202" t="s">
        <v>663</v>
      </c>
      <c r="BQ15" s="202" t="s">
        <v>21</v>
      </c>
      <c r="BR15" s="171" t="s">
        <v>563</v>
      </c>
      <c r="BS15" s="171" t="s">
        <v>358</v>
      </c>
      <c r="BT15" s="171" t="s">
        <v>319</v>
      </c>
      <c r="BU15" s="171" t="s">
        <v>207</v>
      </c>
      <c r="BV15" s="171" t="s">
        <v>558</v>
      </c>
      <c r="BW15" s="202" t="s">
        <v>150</v>
      </c>
      <c r="BX15" s="171" t="s">
        <v>242</v>
      </c>
      <c r="BY15" s="171" t="s">
        <v>504</v>
      </c>
      <c r="BZ15" s="171" t="s">
        <v>341</v>
      </c>
      <c r="CA15" s="171" t="s">
        <v>24</v>
      </c>
      <c r="CB15" s="171" t="s">
        <v>191</v>
      </c>
      <c r="CC15" s="171" t="s">
        <v>121</v>
      </c>
      <c r="CD15" s="171" t="s">
        <v>405</v>
      </c>
      <c r="CE15" s="171" t="s">
        <v>300</v>
      </c>
      <c r="CF15" s="171" t="s">
        <v>48</v>
      </c>
      <c r="CG15" s="171" t="s">
        <v>500</v>
      </c>
      <c r="CH15" s="171" t="s">
        <v>388</v>
      </c>
      <c r="CI15" s="171" t="s">
        <v>491</v>
      </c>
      <c r="CJ15" s="202" t="s">
        <v>483</v>
      </c>
      <c r="CK15" s="202" t="s">
        <v>531</v>
      </c>
      <c r="CL15" s="202" t="s">
        <v>201</v>
      </c>
      <c r="CM15" s="202" t="s">
        <v>325</v>
      </c>
      <c r="CN15" s="202" t="s">
        <v>269</v>
      </c>
      <c r="CO15" s="202" t="s">
        <v>413</v>
      </c>
      <c r="CP15" s="202" t="s">
        <v>169</v>
      </c>
      <c r="CQ15" s="202" t="s">
        <v>386</v>
      </c>
      <c r="CR15" s="202" t="s">
        <v>375</v>
      </c>
      <c r="CS15" s="202" t="s">
        <v>251</v>
      </c>
      <c r="CT15" s="202" t="s">
        <v>465</v>
      </c>
      <c r="CU15" s="202" t="s">
        <v>112</v>
      </c>
      <c r="CV15" s="202" t="s">
        <v>363</v>
      </c>
      <c r="CW15" s="202" t="s">
        <v>185</v>
      </c>
      <c r="CX15" s="202" t="s">
        <v>0</v>
      </c>
      <c r="CY15" s="202" t="s">
        <v>344</v>
      </c>
      <c r="CZ15" s="202" t="s">
        <v>395</v>
      </c>
      <c r="DA15" s="202" t="s">
        <v>499</v>
      </c>
      <c r="DB15" s="202" t="s">
        <v>523</v>
      </c>
      <c r="DC15" s="202" t="s">
        <v>540</v>
      </c>
      <c r="DD15" s="202" t="s">
        <v>553</v>
      </c>
      <c r="DE15" s="202" t="s">
        <v>436</v>
      </c>
      <c r="DF15" s="202" t="s">
        <v>421</v>
      </c>
      <c r="DG15" s="202" t="s">
        <v>96</v>
      </c>
      <c r="DH15" s="202" t="s">
        <v>590</v>
      </c>
      <c r="DI15" s="202" t="s">
        <v>592</v>
      </c>
      <c r="DJ15" s="202" t="s">
        <v>593</v>
      </c>
      <c r="DK15" s="202" t="s">
        <v>594</v>
      </c>
      <c r="DL15" s="202" t="s">
        <v>595</v>
      </c>
      <c r="DM15" s="202" t="s">
        <v>596</v>
      </c>
    </row>
    <row r="16" spans="1:117" ht="13.5" thickTop="1" x14ac:dyDescent="0.2"/>
  </sheetData>
  <autoFilter ref="A15:DM43" xr:uid="{00000000-0009-0000-0000-000000000000}"/>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Q50"/>
  <sheetViews>
    <sheetView zoomScale="90" zoomScaleNormal="90" workbookViewId="0">
      <selection activeCell="C8" sqref="C8"/>
    </sheetView>
  </sheetViews>
  <sheetFormatPr defaultColWidth="16.140625" defaultRowHeight="12.75" x14ac:dyDescent="0.2"/>
  <cols>
    <col min="1" max="1" width="26.28515625" customWidth="1"/>
    <col min="2" max="2" width="16.140625" customWidth="1"/>
    <col min="3" max="3" width="19.42578125" customWidth="1"/>
    <col min="4" max="4" width="8.85546875" customWidth="1"/>
    <col min="5" max="5" width="14" customWidth="1"/>
    <col min="6" max="6" width="15.28515625" customWidth="1"/>
    <col min="7" max="7" width="17.7109375" customWidth="1"/>
    <col min="8" max="8" width="15.85546875" customWidth="1"/>
    <col min="9" max="16" width="14.42578125" customWidth="1"/>
    <col min="17" max="18" width="20.28515625" customWidth="1"/>
    <col min="19" max="19" width="12.5703125" customWidth="1"/>
    <col min="20" max="21" width="14.7109375" customWidth="1"/>
    <col min="22" max="22" width="10.85546875" customWidth="1"/>
    <col min="23" max="23" width="12" customWidth="1"/>
    <col min="24" max="25" width="13.85546875" customWidth="1"/>
    <col min="26" max="27" width="15.85546875" customWidth="1"/>
    <col min="28" max="28" width="12.7109375" customWidth="1"/>
    <col min="29" max="29" width="14.28515625" customWidth="1"/>
    <col min="30" max="30" width="15.85546875" customWidth="1"/>
    <col min="31" max="32" width="17.85546875" customWidth="1"/>
    <col min="33" max="33" width="15.140625" customWidth="1"/>
    <col min="34" max="34" width="14.28515625" customWidth="1"/>
    <col min="35" max="35" width="13.5703125" customWidth="1"/>
    <col min="36" max="36" width="14.28515625" customWidth="1"/>
    <col min="37" max="37" width="12.5703125" customWidth="1"/>
    <col min="38" max="38" width="14.28515625" customWidth="1"/>
    <col min="39" max="39" width="13.42578125" customWidth="1"/>
    <col min="40" max="40" width="13.140625" customWidth="1"/>
    <col min="41" max="41" width="13" customWidth="1"/>
    <col min="42" max="42" width="15.7109375" customWidth="1"/>
    <col min="43" max="43" width="13.5703125" customWidth="1"/>
    <col min="44" max="44" width="16.5703125" customWidth="1"/>
    <col min="45" max="46" width="14.28515625" customWidth="1"/>
    <col min="47" max="47" width="17" customWidth="1"/>
    <col min="48" max="48" width="19.140625" customWidth="1"/>
    <col min="49" max="49" width="17.42578125" customWidth="1"/>
    <col min="50" max="50" width="14.28515625" customWidth="1"/>
    <col min="51" max="51" width="13.7109375" customWidth="1"/>
    <col min="52" max="52" width="16.85546875" customWidth="1"/>
    <col min="53" max="54" width="15.5703125" customWidth="1"/>
    <col min="55" max="55" width="19.5703125" customWidth="1"/>
    <col min="56" max="56" width="18.85546875" customWidth="1"/>
    <col min="57" max="58" width="14.42578125" customWidth="1"/>
    <col min="59" max="59" width="17.85546875" customWidth="1"/>
    <col min="60" max="61" width="19.42578125" customWidth="1"/>
    <col min="62" max="62" width="12.7109375" customWidth="1"/>
    <col min="63" max="63" width="18.28515625" customWidth="1"/>
    <col min="64" max="64" width="8.85546875" customWidth="1"/>
    <col min="65" max="65" width="13.85546875" customWidth="1"/>
    <col min="66" max="66" width="13.28515625" customWidth="1"/>
    <col min="67" max="67" width="14.42578125" customWidth="1"/>
    <col min="68" max="68" width="17.7109375" customWidth="1"/>
    <col min="69" max="69" width="18" customWidth="1"/>
    <col min="70" max="70" width="16" customWidth="1"/>
    <col min="71" max="71" width="15.7109375" customWidth="1"/>
    <col min="72" max="72" width="15" customWidth="1"/>
    <col min="73" max="73" width="16.5703125" customWidth="1"/>
    <col min="74" max="76" width="17.7109375" customWidth="1"/>
    <col min="77" max="77" width="20.140625" customWidth="1"/>
    <col min="78" max="78" width="19.42578125" customWidth="1"/>
    <col min="79" max="79" width="25.140625" customWidth="1"/>
    <col min="80" max="80" width="20.5703125" customWidth="1"/>
    <col min="81" max="81" width="22.28515625" customWidth="1"/>
    <col min="82" max="82" width="22.42578125" customWidth="1"/>
    <col min="83" max="83" width="16.5703125" customWidth="1"/>
    <col min="84" max="84" width="18.85546875" customWidth="1"/>
    <col min="85" max="85" width="18" customWidth="1"/>
    <col min="86" max="86" width="21.5703125" customWidth="1"/>
    <col min="87" max="87" width="24.5703125" customWidth="1"/>
    <col min="88" max="88" width="17.7109375" customWidth="1"/>
    <col min="89" max="89" width="19.140625" customWidth="1"/>
    <col min="90" max="90" width="12.28515625" customWidth="1"/>
    <col min="91" max="91" width="11.7109375" customWidth="1"/>
    <col min="92" max="92" width="10.140625" customWidth="1"/>
    <col min="93" max="95" width="14.140625" customWidth="1"/>
    <col min="96" max="99" width="13.7109375" customWidth="1"/>
    <col min="100" max="101" width="19.140625" customWidth="1"/>
    <col min="102" max="102" width="18.5703125" customWidth="1"/>
    <col min="103" max="105" width="20.140625" customWidth="1"/>
    <col min="106" max="107" width="21.7109375" customWidth="1"/>
    <col min="108" max="108" width="25.140625" customWidth="1"/>
    <col min="109" max="109" width="19" customWidth="1"/>
    <col min="110" max="110" width="16.140625" customWidth="1"/>
    <col min="111" max="111" width="17.140625" customWidth="1"/>
    <col min="112" max="112" width="23.7109375" customWidth="1"/>
    <col min="113" max="113" width="17.140625" customWidth="1"/>
    <col min="114" max="114" width="22.140625" customWidth="1"/>
    <col min="115" max="115" width="28.28515625" customWidth="1"/>
    <col min="116" max="116" width="25.140625" customWidth="1"/>
    <col min="117" max="117" width="21.5703125" customWidth="1"/>
    <col min="118" max="118" width="25.7109375" customWidth="1"/>
    <col min="119" max="120" width="20.140625" customWidth="1"/>
    <col min="121" max="122" width="25.5703125" customWidth="1"/>
    <col min="123" max="126" width="21.5703125" customWidth="1"/>
    <col min="127" max="127" width="25.140625" customWidth="1"/>
    <col min="128" max="134" width="21.5703125" customWidth="1"/>
    <col min="135" max="135" width="24.140625" customWidth="1"/>
    <col min="136" max="137" width="24.28515625" customWidth="1"/>
    <col min="138" max="138" width="20.140625" customWidth="1"/>
    <col min="139" max="139" width="19.7109375" customWidth="1"/>
    <col min="140" max="140" width="25.7109375" customWidth="1"/>
    <col min="141" max="141" width="30.28515625" customWidth="1"/>
    <col min="142" max="142" width="22.42578125" customWidth="1"/>
    <col min="143" max="143" width="18.42578125" customWidth="1"/>
    <col min="144" max="144" width="32.42578125" customWidth="1"/>
    <col min="145" max="145" width="26.140625" customWidth="1"/>
    <col min="146" max="146" width="25.140625" customWidth="1"/>
    <col min="147" max="147" width="24.28515625" customWidth="1"/>
    <col min="148" max="148" width="26.28515625" customWidth="1"/>
    <col min="149" max="149" width="20.5703125" customWidth="1"/>
    <col min="150" max="150" width="20" customWidth="1"/>
    <col min="151" max="151" width="32.42578125" customWidth="1"/>
    <col min="152" max="152" width="26.28515625" customWidth="1"/>
    <col min="153" max="153" width="29.7109375" customWidth="1"/>
    <col min="154" max="154" width="24" customWidth="1"/>
    <col min="155" max="155" width="23.85546875" customWidth="1"/>
    <col min="156" max="156" width="16.140625" customWidth="1"/>
    <col min="157" max="157" width="15.7109375" customWidth="1"/>
    <col min="158" max="158" width="18.5703125" customWidth="1"/>
    <col min="159" max="159" width="16.5703125" customWidth="1"/>
    <col min="160" max="160" width="14.7109375" customWidth="1"/>
    <col min="161" max="161" width="12.85546875" customWidth="1"/>
    <col min="162" max="162" width="14.28515625" customWidth="1"/>
    <col min="163" max="163" width="16.7109375" customWidth="1"/>
    <col min="164" max="164" width="21.140625" customWidth="1"/>
    <col min="165" max="165" width="18.42578125" customWidth="1"/>
    <col min="166" max="166" width="21.42578125" customWidth="1"/>
    <col min="167" max="167" width="16.7109375" customWidth="1"/>
    <col min="168" max="168" width="14.7109375" customWidth="1"/>
    <col min="169" max="170" width="19.85546875" customWidth="1"/>
    <col min="171" max="171" width="17.28515625" customWidth="1"/>
    <col min="172" max="172" width="21.7109375" customWidth="1"/>
    <col min="173" max="173" width="10.5703125" customWidth="1"/>
    <col min="174" max="175" width="16.140625" customWidth="1"/>
    <col min="176" max="176" width="11.42578125" customWidth="1"/>
    <col min="177" max="177" width="12" customWidth="1"/>
    <col min="178" max="178" width="19.140625" customWidth="1"/>
    <col min="179" max="179" width="11.5703125" customWidth="1"/>
    <col min="180" max="180" width="22.140625" customWidth="1"/>
    <col min="181" max="181" width="15.42578125" customWidth="1"/>
    <col min="182" max="182" width="15" customWidth="1"/>
    <col min="183" max="183" width="15.7109375" customWidth="1"/>
    <col min="184" max="184" width="19.42578125" customWidth="1"/>
    <col min="185" max="185" width="17.85546875" customWidth="1"/>
    <col min="186" max="186" width="18.85546875" customWidth="1"/>
    <col min="187" max="187" width="15" customWidth="1"/>
    <col min="188" max="190" width="16.140625" customWidth="1"/>
    <col min="191" max="191" width="17.85546875" customWidth="1"/>
    <col min="192" max="193" width="16.140625" customWidth="1"/>
    <col min="194" max="194" width="17.28515625" customWidth="1"/>
    <col min="195" max="195" width="17.5703125" customWidth="1"/>
    <col min="196" max="196" width="17.140625" customWidth="1"/>
    <col min="197" max="197" width="17.85546875" customWidth="1"/>
    <col min="198" max="198" width="17.7109375" customWidth="1"/>
    <col min="199" max="199" width="18" customWidth="1"/>
  </cols>
  <sheetData>
    <row r="1" spans="1:199" ht="13.5" thickBot="1" x14ac:dyDescent="0.25">
      <c r="A1" s="69" t="s">
        <v>460</v>
      </c>
      <c r="B1" s="60" t="s">
        <v>654</v>
      </c>
      <c r="C1" s="60" t="s">
        <v>510</v>
      </c>
      <c r="D1" s="82" t="s">
        <v>400</v>
      </c>
      <c r="E1" s="60" t="s">
        <v>302</v>
      </c>
      <c r="F1" s="132" t="s">
        <v>28</v>
      </c>
      <c r="G1" s="132" t="s">
        <v>67</v>
      </c>
      <c r="H1" s="82" t="s">
        <v>168</v>
      </c>
      <c r="I1" s="56" t="s">
        <v>310</v>
      </c>
      <c r="J1" s="56" t="s">
        <v>87</v>
      </c>
      <c r="K1" s="56" t="s">
        <v>228</v>
      </c>
      <c r="L1" s="56" t="s">
        <v>144</v>
      </c>
      <c r="M1" s="56" t="s">
        <v>429</v>
      </c>
      <c r="N1" s="56" t="s">
        <v>182</v>
      </c>
      <c r="O1" s="56" t="s">
        <v>298</v>
      </c>
      <c r="P1" s="56" t="s">
        <v>571</v>
      </c>
      <c r="Q1" s="56" t="s">
        <v>156</v>
      </c>
      <c r="R1" s="56" t="s">
        <v>299</v>
      </c>
      <c r="S1" s="56" t="s">
        <v>164</v>
      </c>
      <c r="T1" s="56" t="s">
        <v>403</v>
      </c>
      <c r="U1" s="56" t="s">
        <v>367</v>
      </c>
      <c r="V1" s="56" t="s">
        <v>105</v>
      </c>
      <c r="W1" s="56" t="s">
        <v>520</v>
      </c>
      <c r="X1" s="56" t="s">
        <v>469</v>
      </c>
      <c r="Y1" s="56" t="s">
        <v>432</v>
      </c>
      <c r="Z1" s="56" t="s">
        <v>75</v>
      </c>
      <c r="AA1" s="56" t="s">
        <v>666</v>
      </c>
      <c r="AB1" s="56" t="s">
        <v>111</v>
      </c>
      <c r="AC1" s="56" t="s">
        <v>289</v>
      </c>
      <c r="AD1" s="56" t="s">
        <v>308</v>
      </c>
      <c r="AE1" s="56" t="s">
        <v>411</v>
      </c>
      <c r="AF1" s="56" t="s">
        <v>425</v>
      </c>
      <c r="AG1" s="56" t="s">
        <v>431</v>
      </c>
      <c r="AH1" s="56" t="s">
        <v>696</v>
      </c>
      <c r="AI1" s="56" t="s">
        <v>15</v>
      </c>
      <c r="AJ1" s="56" t="s">
        <v>551</v>
      </c>
      <c r="AK1" s="56" t="s">
        <v>9</v>
      </c>
      <c r="AL1" s="56" t="s">
        <v>566</v>
      </c>
      <c r="AM1" s="56" t="s">
        <v>412</v>
      </c>
      <c r="AN1" s="56" t="s">
        <v>369</v>
      </c>
      <c r="AO1" s="56" t="s">
        <v>348</v>
      </c>
      <c r="AP1" s="56" t="s">
        <v>244</v>
      </c>
      <c r="AQ1" s="56" t="s">
        <v>488</v>
      </c>
      <c r="AR1" s="56" t="s">
        <v>397</v>
      </c>
      <c r="AS1" s="56" t="s">
        <v>440</v>
      </c>
      <c r="AT1" s="56" t="s">
        <v>445</v>
      </c>
      <c r="AU1" s="202" t="s">
        <v>119</v>
      </c>
      <c r="AV1" s="202" t="s">
        <v>580</v>
      </c>
      <c r="AW1" s="202" t="s">
        <v>64</v>
      </c>
      <c r="AX1" s="56" t="s">
        <v>471</v>
      </c>
      <c r="AY1" s="56" t="s">
        <v>539</v>
      </c>
      <c r="AZ1" s="202" t="s">
        <v>318</v>
      </c>
      <c r="BA1" s="202" t="s">
        <v>257</v>
      </c>
      <c r="BB1" s="202" t="s">
        <v>751</v>
      </c>
      <c r="BC1" s="202" t="s">
        <v>55</v>
      </c>
      <c r="BD1" s="56" t="s">
        <v>522</v>
      </c>
      <c r="BE1" s="202" t="s">
        <v>370</v>
      </c>
      <c r="BF1" s="202" t="s">
        <v>752</v>
      </c>
      <c r="BG1" s="202" t="s">
        <v>585</v>
      </c>
      <c r="BH1" s="298" t="s">
        <v>603</v>
      </c>
      <c r="BI1" s="298" t="s">
        <v>604</v>
      </c>
      <c r="BJ1" s="202" t="s">
        <v>565</v>
      </c>
      <c r="BK1" s="202" t="s">
        <v>354</v>
      </c>
      <c r="BL1" s="202" t="s">
        <v>93</v>
      </c>
      <c r="BM1" s="202" t="s">
        <v>198</v>
      </c>
      <c r="BN1" s="202" t="s">
        <v>249</v>
      </c>
      <c r="BO1" s="202" t="s">
        <v>152</v>
      </c>
      <c r="BP1" s="202" t="s">
        <v>547</v>
      </c>
      <c r="BQ1" s="202" t="s">
        <v>490</v>
      </c>
      <c r="BR1" s="202" t="s">
        <v>209</v>
      </c>
      <c r="BS1" s="202" t="s">
        <v>163</v>
      </c>
      <c r="BT1" s="202" t="s">
        <v>200</v>
      </c>
      <c r="BU1" s="202" t="s">
        <v>54</v>
      </c>
      <c r="BV1" s="202" t="s">
        <v>133</v>
      </c>
      <c r="BW1" s="202" t="s">
        <v>232</v>
      </c>
      <c r="BX1" s="202" t="s">
        <v>56</v>
      </c>
      <c r="BY1" s="202" t="s">
        <v>434</v>
      </c>
      <c r="BZ1" s="202" t="s">
        <v>108</v>
      </c>
      <c r="CA1" s="306" t="s">
        <v>657</v>
      </c>
      <c r="CB1" s="202" t="s">
        <v>659</v>
      </c>
      <c r="CC1" s="202" t="s">
        <v>661</v>
      </c>
      <c r="CD1" s="202" t="s">
        <v>648</v>
      </c>
      <c r="CE1" s="202" t="s">
        <v>649</v>
      </c>
      <c r="CF1" s="202" t="s">
        <v>650</v>
      </c>
      <c r="CG1" s="202" t="s">
        <v>327</v>
      </c>
      <c r="CH1" s="202" t="s">
        <v>356</v>
      </c>
      <c r="CI1" s="202" t="s">
        <v>513</v>
      </c>
      <c r="CJ1" s="202" t="s">
        <v>554</v>
      </c>
      <c r="CK1" s="202" t="s">
        <v>409</v>
      </c>
      <c r="CL1" s="202" t="s">
        <v>72</v>
      </c>
      <c r="CM1" s="202" t="s">
        <v>35</v>
      </c>
      <c r="CN1" s="202" t="s">
        <v>118</v>
      </c>
      <c r="CO1" s="202" t="s">
        <v>254</v>
      </c>
      <c r="CP1" s="202" t="s">
        <v>396</v>
      </c>
      <c r="CQ1" s="202" t="s">
        <v>279</v>
      </c>
      <c r="CR1" s="202" t="s">
        <v>66</v>
      </c>
      <c r="CS1" s="202" t="s">
        <v>568</v>
      </c>
      <c r="CT1" s="202" t="s">
        <v>712</v>
      </c>
      <c r="CU1" s="202" t="s">
        <v>371</v>
      </c>
      <c r="CV1" s="202" t="s">
        <v>497</v>
      </c>
      <c r="CW1" s="202" t="s">
        <v>699</v>
      </c>
      <c r="CX1" s="202" t="s">
        <v>320</v>
      </c>
      <c r="CY1" s="202" t="s">
        <v>509</v>
      </c>
      <c r="CZ1" s="202" t="s">
        <v>186</v>
      </c>
      <c r="DA1" s="202" t="s">
        <v>517</v>
      </c>
      <c r="DB1" s="146" t="s">
        <v>291</v>
      </c>
      <c r="DC1" s="146" t="s">
        <v>353</v>
      </c>
      <c r="DD1" s="146" t="s">
        <v>366</v>
      </c>
      <c r="DE1" s="171" t="s">
        <v>501</v>
      </c>
      <c r="DF1" s="202" t="s">
        <v>21</v>
      </c>
      <c r="DG1" s="171" t="s">
        <v>323</v>
      </c>
      <c r="DH1" s="171" t="s">
        <v>447</v>
      </c>
      <c r="DI1" s="171" t="s">
        <v>742</v>
      </c>
      <c r="DJ1" s="146" t="s">
        <v>678</v>
      </c>
      <c r="DK1" s="146" t="s">
        <v>679</v>
      </c>
      <c r="DL1" s="146" t="s">
        <v>262</v>
      </c>
      <c r="DM1" s="202" t="s">
        <v>255</v>
      </c>
      <c r="DN1" s="202" t="s">
        <v>541</v>
      </c>
      <c r="DO1" s="202" t="s">
        <v>395</v>
      </c>
      <c r="DP1" s="202" t="s">
        <v>499</v>
      </c>
      <c r="DQ1" s="2" t="s">
        <v>65</v>
      </c>
      <c r="DR1" s="2" t="s">
        <v>267</v>
      </c>
      <c r="DS1" s="2" t="s">
        <v>13</v>
      </c>
      <c r="DT1" s="2" t="s">
        <v>463</v>
      </c>
      <c r="DU1" s="2" t="s">
        <v>11</v>
      </c>
      <c r="DV1" s="2" t="s">
        <v>577</v>
      </c>
      <c r="DW1" s="2" t="s">
        <v>113</v>
      </c>
      <c r="DX1" s="2" t="s">
        <v>294</v>
      </c>
      <c r="DY1" s="2" t="s">
        <v>131</v>
      </c>
      <c r="DZ1" s="2" t="s">
        <v>450</v>
      </c>
      <c r="EA1" s="2" t="s">
        <v>437</v>
      </c>
      <c r="EB1" s="2" t="s">
        <v>14</v>
      </c>
      <c r="EC1" s="2" t="s">
        <v>172</v>
      </c>
      <c r="ED1" s="202" t="s">
        <v>670</v>
      </c>
      <c r="EE1" s="202" t="s">
        <v>250</v>
      </c>
      <c r="EF1" s="202" t="s">
        <v>663</v>
      </c>
      <c r="EG1" s="202" t="s">
        <v>711</v>
      </c>
      <c r="EH1" s="202" t="s">
        <v>704</v>
      </c>
      <c r="EI1" s="202" t="s">
        <v>0</v>
      </c>
      <c r="EJ1" s="202" t="s">
        <v>344</v>
      </c>
      <c r="EK1" s="171" t="s">
        <v>173</v>
      </c>
      <c r="EL1" s="171" t="s">
        <v>680</v>
      </c>
      <c r="EM1" s="171" t="s">
        <v>681</v>
      </c>
      <c r="EN1" s="171" t="s">
        <v>479</v>
      </c>
      <c r="EO1" s="171" t="s">
        <v>286</v>
      </c>
      <c r="EP1" s="171" t="s">
        <v>127</v>
      </c>
      <c r="EQ1" s="171" t="s">
        <v>552</v>
      </c>
      <c r="ER1" s="171" t="s">
        <v>194</v>
      </c>
      <c r="ES1" s="171" t="s">
        <v>19</v>
      </c>
      <c r="ET1" s="171" t="s">
        <v>408</v>
      </c>
      <c r="EU1" s="171" t="s">
        <v>563</v>
      </c>
      <c r="EV1" s="171" t="s">
        <v>358</v>
      </c>
      <c r="EW1" s="171" t="s">
        <v>319</v>
      </c>
      <c r="EX1" s="171" t="s">
        <v>207</v>
      </c>
      <c r="EY1" s="171" t="s">
        <v>558</v>
      </c>
      <c r="EZ1" s="202" t="s">
        <v>150</v>
      </c>
      <c r="FA1" s="171" t="s">
        <v>242</v>
      </c>
      <c r="FB1" s="171" t="s">
        <v>504</v>
      </c>
      <c r="FC1" s="171" t="s">
        <v>341</v>
      </c>
      <c r="FD1" s="171" t="s">
        <v>24</v>
      </c>
      <c r="FE1" s="171" t="s">
        <v>191</v>
      </c>
      <c r="FF1" s="171" t="s">
        <v>121</v>
      </c>
      <c r="FG1" s="171" t="s">
        <v>405</v>
      </c>
      <c r="FH1" s="171" t="s">
        <v>300</v>
      </c>
      <c r="FI1" s="171" t="s">
        <v>48</v>
      </c>
      <c r="FJ1" s="171" t="s">
        <v>500</v>
      </c>
      <c r="FK1" s="171" t="s">
        <v>388</v>
      </c>
      <c r="FL1" s="171" t="s">
        <v>491</v>
      </c>
      <c r="FM1" s="202" t="s">
        <v>567</v>
      </c>
      <c r="FN1" s="202" t="s">
        <v>126</v>
      </c>
      <c r="FO1" s="171" t="s">
        <v>528</v>
      </c>
      <c r="FP1" s="202" t="s">
        <v>483</v>
      </c>
      <c r="FQ1" s="202" t="s">
        <v>531</v>
      </c>
      <c r="FR1" s="202" t="s">
        <v>201</v>
      </c>
      <c r="FS1" s="202" t="s">
        <v>325</v>
      </c>
      <c r="FT1" s="202" t="s">
        <v>707</v>
      </c>
      <c r="FU1" s="202" t="s">
        <v>708</v>
      </c>
      <c r="FV1" s="202" t="s">
        <v>710</v>
      </c>
      <c r="FW1" s="202" t="s">
        <v>269</v>
      </c>
      <c r="FX1" s="202" t="s">
        <v>413</v>
      </c>
      <c r="FY1" s="202" t="s">
        <v>251</v>
      </c>
      <c r="FZ1" s="202" t="s">
        <v>465</v>
      </c>
      <c r="GA1" s="202" t="s">
        <v>51</v>
      </c>
      <c r="GB1" s="56" t="s">
        <v>283</v>
      </c>
      <c r="GC1" s="202" t="s">
        <v>542</v>
      </c>
      <c r="GD1" s="56" t="s">
        <v>576</v>
      </c>
      <c r="GE1" s="202" t="s">
        <v>112</v>
      </c>
      <c r="GF1" s="202" t="s">
        <v>363</v>
      </c>
      <c r="GG1" s="202" t="s">
        <v>185</v>
      </c>
      <c r="GH1" s="202" t="s">
        <v>345</v>
      </c>
      <c r="GI1" s="202" t="s">
        <v>180</v>
      </c>
      <c r="GJ1" s="202" t="s">
        <v>421</v>
      </c>
      <c r="GK1" s="202" t="s">
        <v>96</v>
      </c>
      <c r="GL1" s="202" t="s">
        <v>590</v>
      </c>
      <c r="GM1" s="202" t="s">
        <v>592</v>
      </c>
      <c r="GN1" s="202" t="s">
        <v>593</v>
      </c>
      <c r="GO1" s="202" t="s">
        <v>594</v>
      </c>
      <c r="GP1" s="202" t="s">
        <v>595</v>
      </c>
      <c r="GQ1" s="202" t="s">
        <v>596</v>
      </c>
    </row>
    <row r="2" spans="1:199" s="15" customFormat="1" ht="13.5" thickTop="1" x14ac:dyDescent="0.2">
      <c r="A2" s="69" t="s">
        <v>211</v>
      </c>
      <c r="B2" s="214">
        <v>20908700</v>
      </c>
      <c r="C2" s="181" t="s">
        <v>676</v>
      </c>
      <c r="D2" s="181" t="s">
        <v>487</v>
      </c>
      <c r="E2" s="181"/>
      <c r="F2" s="84" t="s">
        <v>249</v>
      </c>
      <c r="G2" s="84" t="s">
        <v>160</v>
      </c>
      <c r="H2" s="181"/>
      <c r="I2" s="204"/>
      <c r="J2" s="204"/>
      <c r="K2" s="181"/>
      <c r="L2" s="204"/>
      <c r="M2" s="204"/>
      <c r="N2" s="204"/>
      <c r="O2" s="204"/>
      <c r="P2" s="204"/>
      <c r="Q2" s="204" t="s">
        <v>442</v>
      </c>
      <c r="R2" s="181" t="s">
        <v>387</v>
      </c>
      <c r="S2" s="204" t="s">
        <v>419</v>
      </c>
      <c r="T2" s="31" t="s">
        <v>116</v>
      </c>
      <c r="U2" s="31"/>
      <c r="V2" s="31" t="s">
        <v>419</v>
      </c>
      <c r="W2" s="203">
        <v>15049</v>
      </c>
      <c r="X2" s="203">
        <v>15890</v>
      </c>
      <c r="Y2" s="203"/>
      <c r="Z2" s="203">
        <f>IF(AND(G2="V",OR(F2="XRD",F2="QPSA")),IF(AND(F2="XRD",OR(V2="S",V2="D",V2="W")),"NULL",IF(NOT(ISBLANK(X2)),X2,DATE(YEAR(W2)+IF(S2="M",4,-4),MONTH(W2),DAY(W2)))),IF(Q2="Y",Y2,IF(ISBLANK(X2),"NULL",X2)))</f>
        <v>15890</v>
      </c>
      <c r="AA2" s="203">
        <f>IF(Z2="null",DATE(YEAR(W2)+IF(S2="M",4,-4),MONTH(W2),DAY(W2)),Z2)</f>
        <v>15890</v>
      </c>
      <c r="AB2" s="203">
        <v>25430</v>
      </c>
      <c r="AC2" s="32">
        <f>DATE(YEAR(W2)+21,MONTH(W2),DAY(W2))</f>
        <v>22719</v>
      </c>
      <c r="AD2" s="32">
        <f>DATE(YEAR(AB2)+1,MONTH(AB2),DAY(AB2))</f>
        <v>25795</v>
      </c>
      <c r="AE2" s="32">
        <f t="shared" ref="AE2" si="0">MAX(AC2,AD2)</f>
        <v>25795</v>
      </c>
      <c r="AF2" s="32" t="e">
        <f ca="1">NRD(MIN(DATE(2008,12,31),AE2),0)</f>
        <v>#NAME?</v>
      </c>
      <c r="AG2" s="32">
        <v>26390</v>
      </c>
      <c r="AH2" s="32">
        <v>39813</v>
      </c>
      <c r="AI2" s="32">
        <v>39721</v>
      </c>
      <c r="AJ2" s="32"/>
      <c r="AK2" s="32"/>
      <c r="AL2" s="32"/>
      <c r="AM2" s="259" t="e">
        <f ca="1">MAX(NRD(W2,65),NRD(AF2,5))</f>
        <v>#NAME?</v>
      </c>
      <c r="AN2" s="304" t="e">
        <f ca="1">ATT(W2,AM2)</f>
        <v>#NAME?</v>
      </c>
      <c r="AO2" s="260" t="e">
        <f ca="1">SERVYCA(AF2,MIN(AI2,AH2),1000)</f>
        <v>#NAME?</v>
      </c>
      <c r="AP2" s="261">
        <v>33</v>
      </c>
      <c r="AQ2" s="261" t="e">
        <f ca="1">SERVYCA(AB2,MIN(AI2,AH2,DATE(2010,4,13)),1000)</f>
        <v>#NAME?</v>
      </c>
      <c r="AR2" s="234">
        <v>3596.18</v>
      </c>
      <c r="AS2" s="234">
        <f>AR2</f>
        <v>3596.18</v>
      </c>
      <c r="AT2" s="32">
        <f>DATE(YEAR(W2)+18,MONTH(W2),DAY(W2))</f>
        <v>21623</v>
      </c>
      <c r="AU2" s="112" t="e">
        <f ca="1">SERVYCA(AB2,MIN(AI2,DOPT),1000)</f>
        <v>#NAME?</v>
      </c>
      <c r="AV2" s="33" t="e">
        <f ca="1">IF(AU2&gt;=5,1,0)</f>
        <v>#NAME?</v>
      </c>
      <c r="AW2" s="44" t="e">
        <f ca="1">ROUND(AS2*AV2,2)</f>
        <v>#NAME?</v>
      </c>
      <c r="AX2" s="31" t="e">
        <f ca="1">anb(W2,DOPT)</f>
        <v>#NAME?</v>
      </c>
      <c r="AY2" s="31" t="e">
        <f ca="1">IF(Z2="NULL","NULL",IF(Z2&gt;DOPT,0,anb(Z2,DOPT)))</f>
        <v>#NAME?</v>
      </c>
      <c r="AZ2" s="172">
        <v>4789.7700000000004</v>
      </c>
      <c r="BA2" s="59" t="e">
        <f ca="1">MAX(AM2,NRD(DOPT,0))</f>
        <v>#NAME?</v>
      </c>
      <c r="BB2" s="59" t="e">
        <f ca="1">MAX(BA2,NRD(DOPT,0))</f>
        <v>#NAME?</v>
      </c>
      <c r="BC2" s="91" t="e">
        <f ca="1">IF(AM2&lt;DOPT,AX2,AN2)</f>
        <v>#NAME?</v>
      </c>
      <c r="BD2" s="203" t="e">
        <f ca="1">RBD(C2,DOPT,"P",W2,AI2,AJ2,"N",Q2)</f>
        <v>#NAME?</v>
      </c>
      <c r="BE2" s="59" t="e">
        <f ca="1">IF(AU2&gt;=10,NRD(W2,60),AM2)</f>
        <v>#NAME?</v>
      </c>
      <c r="BF2" s="59" t="e">
        <f ca="1">MAX(BE2,NRD(DOPT,0))</f>
        <v>#NAME?</v>
      </c>
      <c r="BG2" s="76" t="e">
        <f ca="1">IF(NRD(W2,60)&lt;DOPT,AX2,anb(W2,BE2))</f>
        <v>#NAME?</v>
      </c>
      <c r="BH2" s="299"/>
      <c r="BI2" s="299" t="str">
        <f>IF(BH2="Y",BE2,"NULL")</f>
        <v>NULL</v>
      </c>
      <c r="BJ2" s="59">
        <v>38473</v>
      </c>
      <c r="BK2" s="59">
        <v>39234</v>
      </c>
      <c r="BL2" s="44" t="e">
        <f ca="1">BL(DOPT,AB2,AI2,"N","Y","Y",C2,BC2,AW2)</f>
        <v>#NAME?</v>
      </c>
      <c r="BM2" s="86" t="e">
        <f ca="1">XRA2(BL2,MIN(AN2,BG2),AN2,DOPT,W2,IF(Z2="NULL",0,Z2),C2,D2,0,"")</f>
        <v>#NAME?</v>
      </c>
      <c r="BN2" s="59" t="e">
        <f ca="1">IF(OR(F2="DORNSF",F2="DOR"),BJ2,NRD(W2,BM2))</f>
        <v>#NAME?</v>
      </c>
      <c r="BO2" s="76" t="e">
        <f ca="1">IF(Z2="NULL","NULL",anb(Z2,BN2))</f>
        <v>#NAME?</v>
      </c>
      <c r="BP2" s="193" t="s">
        <v>511</v>
      </c>
      <c r="BQ2" s="193" t="s">
        <v>216</v>
      </c>
      <c r="BR2" s="31">
        <f t="shared" ref="BR2" si="1">0</f>
        <v>0</v>
      </c>
      <c r="BS2" s="33">
        <v>0.5</v>
      </c>
      <c r="BT2" s="31">
        <v>0</v>
      </c>
      <c r="BU2" s="31">
        <v>0</v>
      </c>
      <c r="BV2" s="130" t="s">
        <v>59</v>
      </c>
      <c r="BW2" s="130" t="s">
        <v>387</v>
      </c>
      <c r="BX2" s="130" t="s">
        <v>109</v>
      </c>
      <c r="BY2" s="86" t="e">
        <f ca="1">IF(AND(BV2="5",COMPM(BJ2,BK2)&lt;BX2),BV2,IF(AND(AJ2&gt;0,BV2="9"),2,"NULL"))</f>
        <v>#NAME?</v>
      </c>
      <c r="BZ2" s="86" t="e">
        <f ca="1">IF(AND(BV2="5",COMPM(BJ2,BK2)&lt;BX2),COMPM(BK2,DATE(YEAR(BJ2)+(BX2/12),MONTH(BJ2)-1,1)),"NULL")</f>
        <v>#NAME?</v>
      </c>
      <c r="CA2" s="307" t="str">
        <f>IF(AND(OR(V2="U",V2="M"),OR(CI2="9",CI2="0")),"9",IF(CI2="5","5","2"))</f>
        <v>9</v>
      </c>
      <c r="CB2" s="305">
        <f>IF(OR(CA2="9",CA2="0"),0.5,0)</f>
        <v>0.5</v>
      </c>
      <c r="CC2" s="31" t="str">
        <f>IF(CA2="5",BX2-BZ2,"0")</f>
        <v>0</v>
      </c>
      <c r="CD2" s="86" t="s">
        <v>511</v>
      </c>
      <c r="CE2" s="31" t="str">
        <f>CC2</f>
        <v>0</v>
      </c>
      <c r="CF2" s="31" t="e">
        <f ca="1">IF(BZ2="NULL","0",BZ2)</f>
        <v>#NAME?</v>
      </c>
      <c r="CG2" s="31">
        <v>1</v>
      </c>
      <c r="CH2" s="86">
        <v>3</v>
      </c>
      <c r="CI2" s="31" t="str">
        <f>IF(OR(AND(OR(AND(F2="XRD",G2="V"),F2="RBD"),OR(V2="M",V2="U")),AND(F2="DOR",OR(CH2="3",CH2="1"),OR(BV2="9",BV2="0"))),BQ2,IF(OR(F2="QPSA",AND(OR(F2="ERD",F2="EURD",F2="NRD",F2="RETRO"),V2="M",IF(OR(F2="ERD",F2="EURD",F2="NRD",F2="RETRO"),FX2="A",1),NOT(ISBLANK(AJ2)),OR(ISBLANK(AK2),AK2&gt;AJ2)),AND(OR(F2="DOR",F2="DORNSF"),CG2="Y")),CA2,IF(AND(F2="DOR",BV2="5"),BV2,BP2)))</f>
        <v>9</v>
      </c>
      <c r="CJ2" s="33">
        <f>IF(OR(AND(OR(AND(F2="XRD",G2="V"),F2="RBD"),OR(V2="M",V2="U")),AND(F2="DOR",OR(CH2="1",CH2="3"),OR(BV2="9",BV2="0"))),BS2,IF(OR(F2="QPSA",AND(OR(F2="ERD",F2="EURD",F2="NRD",F2="RETRO"),V2="M",IF(OR(F2="ERD",F2="EURD",F2="NRD",F2="RETRO"),FX2="A",1),NOT(ISBLANK(AJ2)),OR(ISBLANK(AK2),AK2&gt;AJ2)),AND(OR(F2="DORNSF",F2="DOR"),CG2="Y")),CB2,IF(AND(F2="DOR",BV2="5"),BW2,BR2)))</f>
        <v>0.5</v>
      </c>
      <c r="CK2" s="31">
        <f>IF(OR(AND(OR(AND(F2="XRD",G2="V"),F2="RBD"),OR(V2="M",V2="U")),AND(F2="DOR",CH2="3",OR(BV2="9",BV2="0"))),BU2,IF(OR(F2="QPSA",AND(OR(F2="ERD",F2="EURD",F2="NRD",F2="RETRO"),V2="M",IF(OR(F2="ERD",F2="EURD",F2="NRD",F2="RETRO"),FX2="A",1),NOT(ISBLANK(AJ2)),OR(ISBLANK(AK2),AK2&gt;AJ2)),AND(OR(F2="DORNSF",F2="DOR"),CG2="Y")),CC2,IF(AND(F2="DOR",BV2="5"),IF(AJ2&gt;0,BZ2,BX2),BT2)))</f>
        <v>0</v>
      </c>
      <c r="CL2" s="31" t="e">
        <f ca="1">BM2</f>
        <v>#NAME?</v>
      </c>
      <c r="CM2" s="31">
        <v>999</v>
      </c>
      <c r="CN2" s="31" t="e">
        <f ca="1">IF(BN2&lt;AM2,COMPM(BN2,AM2),0)</f>
        <v>#NAME?</v>
      </c>
      <c r="CO2" s="320" t="e">
        <f ca="1">VLOOKUP(CN2,ERF_Table,2,FALSE)</f>
        <v>#NAME?</v>
      </c>
      <c r="CP2" s="76" t="e">
        <f ca="1">anb(W2,BN2)</f>
        <v>#NAME?</v>
      </c>
      <c r="CQ2" s="76" t="e">
        <f ca="1">IF(OR(Z2="NULL",ISBLANK(Z2)),"NULL",anb(Z2,BN2))</f>
        <v>#NAME?</v>
      </c>
      <c r="CR2" s="99" t="e">
        <f ca="1">IF(CI2="2",1,ROUND(BFCFAEQ("SLA",BR2,BT2,0,IF(OR(CI2="9",CI2="0"),"JSC","SLA"),CJ2,CK2,0,CP2,IF(CQ2="NULL",0,CQ2),S2,IF(AND(ISBLANK(T2),S2="M"),"F","M"),0.065,"GM71","GM71","MP","","","",""),4))</f>
        <v>#NAME?</v>
      </c>
      <c r="CS2" s="112" t="e">
        <f ca="1">COMPM(AM2,MAX(AM2,BN2))</f>
        <v>#NAME?</v>
      </c>
      <c r="CT2" s="99" t="e">
        <f ca="1">IF(AI2&gt;AM2,ROUND(LRFAEQ(0.065,S2,AN2,COMPM(AM2,AI2),BT2,"GM71","GM71","MP","Y",,,AN2),4),"NULL")</f>
        <v>#NAME?</v>
      </c>
      <c r="CU2" s="99" t="e">
        <f ca="1">IF(AI2&gt;AM2,ROUND(LRFAEQ(0.065,S2,AN2,CS2,BT2,"GM71","GM71","MP","Y",,,AN2)/CT2,4),ROUND(LRFAEQ(0.065,S2,AN2,CS2,BT2,"GM71","GM71","MP","N",,,AN2),4))</f>
        <v>#NAME?</v>
      </c>
      <c r="CV2" s="264" t="e">
        <f ca="1">ROUND(AW2*CO2*CR2*CU2,2)</f>
        <v>#NAME?</v>
      </c>
      <c r="CW2" s="264" t="e">
        <f ca="1">ROUND(AW2*CO2*CU2,2)</f>
        <v>#NAME?</v>
      </c>
      <c r="CX2" s="31" t="e">
        <f ca="1">IF(DATE(YEAR($W2)+65,MONTH($W2),DAY($W2))&lt;BN2,0,COMPM(BN2,DATE(YEAR($W2)+65,MONTH($W2),DAY($W2))))</f>
        <v>#NAME?</v>
      </c>
      <c r="CY2" s="114" t="e">
        <f ca="1">PBGCERF(CX2)</f>
        <v>#NAME?</v>
      </c>
      <c r="CZ2" s="31" t="e">
        <f ca="1">IF(DATE(YEAR($W2)+65,MONTH($W2),DAY($W2))&gt;=BN2,0,COMPM(DATE(YEAR($W2)+65,MONTH($W2),DAY($W2)),BN2))</f>
        <v>#NAME?</v>
      </c>
      <c r="DA2" s="114" t="e">
        <f ca="1">PBGCLRF(65+CZ2/12)</f>
        <v>#NAME?</v>
      </c>
      <c r="DB2" s="143" t="e">
        <f ca="1">ROUND(PBGCBFCF2("SLA",0,0,IF(OR(CI2="0",CI2="9"),"JSC","SLA"),CJ2,CK2,CP2,IF(CQ2="NULL",0,CQ2)),4)</f>
        <v>#NAME?</v>
      </c>
      <c r="DC2" s="7" t="e">
        <f t="shared" ref="DC2" ca="1" si="2">ROUND(PBGC_MAX*CY2*DA2*DB2,2)</f>
        <v>#NAME?</v>
      </c>
      <c r="DD2" s="7" t="e">
        <f ca="1">MIN(CV2,DC2)</f>
        <v>#NAME?</v>
      </c>
      <c r="DE2" s="99" t="e">
        <f ca="1">IF(OR(AJ2&gt;DOPT,AND(Z2&gt;DOPT,CG2="N")),0,QPSAPVF("MP","SLA",DOPT,R2,S2,IF(S2="M","F","M"),AX2,CP2,IF(AY2="NULL",AX2+IF(S2="M",-4,4),AY2),IF(BO2="NULL",CP2+IF(S2="M",-4,4),CQ2),CE2,CF2,0))</f>
        <v>#NAME?</v>
      </c>
      <c r="DF2" s="114" t="e">
        <f ca="1">ROUND(NPVF2("MP",IF(CI2="9","JSC","SLA"),"N",Annuity_Rates,S2,AX2,BM2,IF(BO2="NULL",0,BO2),CJ2,CK2,0,DOPT,DOPT,"P","","",R2),4)</f>
        <v>#NAME?</v>
      </c>
      <c r="DG2" s="99" t="e">
        <f ca="1">IF(AX2&gt;=BM2,0,ROUND(1-lx(IF(S2="M","2M13","2F13"),S2,BM2)/lx(IF(S2="M","2M13","2F13"),S2,AX2),4))</f>
        <v>#NAME?</v>
      </c>
      <c r="DH2" s="313">
        <f>IF(AND(G2="V",V2="S"),ROUND(DD2*DF2*12*DG2,0),0)</f>
        <v>0</v>
      </c>
      <c r="DI2" s="265">
        <f>IF(V2="S",ROUND(DH2/(DF2*12),2),0)</f>
        <v>0</v>
      </c>
      <c r="DJ2" s="265">
        <f>0</f>
        <v>0</v>
      </c>
      <c r="DK2" s="236">
        <f>PC6_4022C_AR</f>
        <v>0.17230000000000001</v>
      </c>
      <c r="DL2" s="7">
        <f>IF(V2="S",ROUND((DH2*DK2)/(DF2*12),2),0)</f>
        <v>0</v>
      </c>
      <c r="DM2" s="44" t="e">
        <f ca="1">DD2+DL2</f>
        <v>#NAME?</v>
      </c>
      <c r="DN2" s="44" t="e">
        <f ca="1">IF(OR(CI2="9",CI2="0"),ROUND(DM2*CJ2,2),0)</f>
        <v>#NAME?</v>
      </c>
      <c r="DO2" s="44" t="e">
        <f ca="1">IF(OR(AND(F2="XRD",G2="V"),CV2&lt;=DC2),"NULL","The benefits PBGC guarantees are limited by federal pension law to PBGC's maximum monthly amount that was in effect on the date of plan termination.  This amount is adjusted to reflect the participant's age and form of annuity.")</f>
        <v>#NAME?</v>
      </c>
      <c r="DP2" s="44" t="str">
        <f>IF(OR(AND(F2="XRD",G2="V"),DL2=0),"NULL","Under Section 4022(c) of ERISA, PBGC has allocated additional funds to non-guaranteed benefits based on PBGC's experience in recovering on claims against plan sponsors. PBGC has, therefore, increased your monthly benefit, as shown below.")</f>
        <v>NULL</v>
      </c>
      <c r="DQ2" s="151" t="e">
        <f ca="1">IF(OR(AND(F2="XRD",G2="V"),CH2="0",CH2="1",CH2="2",AND(NOT(ISBLANK(AJ2)),AJ2&lt;BN2,D2="1",DN2="NULL"),AND(V2="S",Q2="N"),D2&lt;&gt;"1"),"NULL",DM2/CR2)</f>
        <v>#NAME?</v>
      </c>
      <c r="DR2" s="151" t="e">
        <f ca="1">IF(OR(AND(F2="XRD",G2="V"),CH2="0",CH2="1",CH2="2",AND(NOT(ISBLANK(AJ2)),AJ2&lt;BN2,D2="1",DN2="NULL")),"NULL",IF(OR(D2="4",AND(NOT(ISBLANK(AJ2)),AJ2&lt;=BN2)),PBGCOFA(DOPT,Z2,0,0,"N",BN2,"MP","SLA",0,0,0,IF(D2="1",DN2,DM2),0,0,"VALUE",0,0,0,0,0,0,0),PBGCOFA(DOPT,W2,0,0,"N",BN2,"MP","SLA",0,IF(F2="DORNSF",CK2,BT2),0,DM2/CR2,0,0,"VALUE",0,0,0,0,0,0,0)))</f>
        <v>#NAME?</v>
      </c>
      <c r="DS2" s="151" t="e">
        <f ca="1">IF(OR(AND(F2="XRD",G2="V"),CH2="0",CH2="1",CH2="2",AND(NOT(ISBLANK(AJ2)),AJ2&lt;BN2,D2="1",DN2="NULL")),"NULL",IF(OR(D2="4",AND(NOT(ISBLANK(AJ2)),AJ2&lt;=BN2)),PBGCOFA(DOPT,Z2,0,0,"N",BN2,"MP","SLA",0,0,0,IF(D2="1",DN2,DM2),0,0,"SLA",0,0,0,0,0,0,0),PBGCOFA(DOPT,W2,0,0,"N",BN2,"MP","SLA",0,IF(F2="DORNSF",CK2,BT2),0,DM2/CR2,0,0,"SLA",0,0,0,0,0,0,0)))</f>
        <v>#NAME?</v>
      </c>
      <c r="DT2" s="169" t="e">
        <f ca="1">IF(OR(AND(F2="XRD",G2="V"),CH2="0",CH2="1",CH2="2",AND(NOT(ISBLANK(AJ2)),AJ2&lt;BN2,D2="1",DN2="NULL")),"NULL",IF(OR(D2="4",AND(NOT(ISBLANK(AJ2)),AJ2&lt;=BN2)),PBGCOFA(DOPT,Z2,0,0,"N",BN2,"MP","SLA",0,0,0,IF(D2="1",DN2,DM2),0,0,"5CC",0,0,0,0,0,0,0),PBGCOFA(DOPT,W2,0,0,"N",BN2,"MP","SLA",0,IF(F2="DORNSF",CK2,BT2),0,DS2,0,0,"5CC",0,0,0,0,0,0,0)))</f>
        <v>#NAME?</v>
      </c>
      <c r="DU2" s="169" t="e">
        <f ca="1">IF(OR(AND(F2="XRD",G2="V"),CH2="0",CH2="1",CH2="2",AND(NOT(ISBLANK(AJ2)),AJ2&lt;BN2,D2="1",DN2="NULL")),"NULL",IF(OR(D2="4",AND(NOT(ISBLANK(AJ2)),AJ2&lt;=BN2)),PBGCOFA(DOPT,Z2,0,0,"N",BN2,"MP","SLA",0,0,0,IF(D2="1",DN2,DM2),0,0,"10CC",0,0,0,0,0,0,0),PBGCOFA(DOPT,W2,0,0,"N",BN2,"MP","SLA",0,IF(F2="DORNSF",CK2,BT2),0,DS2,0,0,"10CC",0,0,0,0,0,0,0)))</f>
        <v>#NAME?</v>
      </c>
      <c r="DV2" s="169" t="e">
        <f ca="1">IF(OR(AND(F2="XRD",G2="V"),CH2="0",CH2="1",CH2="2",AND(NOT(ISBLANK(AJ2)),AJ2&lt;BN2,D2="1",DN2="NULL")),"NULL",IF(OR(D2="4",AND(NOT(ISBLANK(AJ2)),AJ2&lt;=BN2)),PBGCOFA(DOPT,Z2,0,0,"N",BN2,"MP","SLA",0,0,0,IF(D2="1",DN2,DM2),0,0,"15CC",0,0,0,0,0,0,0),PBGCOFA(DOPT,W2,0,0,"N",BN2,"MP","SLA",0,IF(F2="DORNSF",CK2,BT2),0,DS2,0,0,"15CC",0,0,0,0,0,0,0)))</f>
        <v>#NAME?</v>
      </c>
      <c r="DW2" s="169" t="str">
        <f>IF(OR(AND(F2="XRD",G2="V"),CH2="0",CH2="1",CH2="2"),"NULL",IF(AND(OR(BV2="9",BV2="0"),D2="1",OR(ISBLANK(AJ2),AJ2&gt;BN2)),PBGCOFA(DOPT,W2,IF(RIGHT(F2,5)="NMFSP",Z2,X2),Y2,Q2,BN2,"MP","JSC",BS2,BU2,0,DM2,0,DS2,"VALUE",0,0,0,0,0,0,0),"NULL"))</f>
        <v>NULL</v>
      </c>
      <c r="DX2" s="151" t="str">
        <f>IF(OR(AND(F2="XRD",G2="V"),CH2="0",CH2="1",CH2="2"),"NULL",IF(AND(OR(BV2="9",BV2="0"),D2="1",OR(ISBLANK(AJ2),AJ2&gt;BN2)),PBGCOFA(DOPT,W2,IF(RIGHT(F2,5)="NMFSP",Z2,X2),Y2,Q2,BN2,"MP","JSC",BS2,BU2,0,DM2,0,DS2,"JS50",0,0,0,0,0,0,0),"NULL"))</f>
        <v>NULL</v>
      </c>
      <c r="DY2" s="169" t="str">
        <f t="shared" ref="DY2" si="3">IF(DX2="NULL","NULL",ROUND(DX2*0.5,2))</f>
        <v>NULL</v>
      </c>
      <c r="DZ2" s="151" t="str">
        <f>IF(OR(AND(F2="XRD",G2="V"),CH2="0",CH2="1",CH2="2"),"NULL",IF(AND(OR(BV2="9",BV2="0"),D2="1",OR(ISBLANK(AJ2),AJ2&gt;BN2)),PBGCOFA(DOPT,W2,IF(RIGHT(F2,5)="NMFSP",Z2,X2),Y2,Q2,BN2,"MP","JSC",BS2,BU2,0,DM2,0,DS2,"JS75",0,0,0,0,0,0,0),"NULL"))</f>
        <v>NULL</v>
      </c>
      <c r="EA2" s="169" t="str">
        <f t="shared" ref="EA2" si="4">IF(DZ2="NULL","NULL",ROUND(DZ2*0.75,2))</f>
        <v>NULL</v>
      </c>
      <c r="EB2" s="169" t="str">
        <f>IF(OR(AND(F2="XRD",G2="V"),CH2="0",CH2="1",CH2="2"),"NULL",IF(AND(OR(BV2="9",BV2="0"),D2="1",OR(ISBLANK(AJ2),AJ2&gt;BN2)),PBGCOFA(DOPT,W2,IF(RIGHT(F2,5)="NMFSP",Z2,X2),Y2,Q2,BN2,"MP","JSC",BS2,BU2,0,DM2,0,DS2,"JS100",0,0,0,0,0,0,0),"NULL"))</f>
        <v>NULL</v>
      </c>
      <c r="EC2" s="169" t="str">
        <f>IF(OR(AND(F2="XRD",G2="V"),CH2="0",CH2="1",CH2="2"),"NULL",IF(AND(OR(BV2="9",BV2="0"),D2="1",OR(ISBLANK(AJ2),AJ2&gt;BN2),DS2&lt;&gt;"NULL"),PBGCOFA(DOPT,W2,IF(RIGHT(F2,5)="NMFSP",Z2,X2),Y2,Q2,BN2,"MP","JSC",BS2,BU2,0,DM2,0,DS2,"JSPOP",0,0,0,0,0,0,0),"NULL"))</f>
        <v>NULL</v>
      </c>
      <c r="ED2" s="44"/>
      <c r="EE2" s="44"/>
      <c r="EF2" s="264" t="str">
        <f>IF(AND(F2="DOR",G2="V",OR(AND(CH2="1",BV2="9"),AND(CH2="0",BV2="2"))),DM2,IF(OR(AND(F2="XRD",G2="V"),ISBLANK(CH2),CH2&lt;&gt;"3"),"NULL",IF(CG2="Y",IF(BY2="2",DS2,IF(BZ2=60,DT2,IF(BZ2=120,DU2,DV2))),IF(BV2="2",DS2,IF(BV2="0",EC2,IF(BW2=0.5,DX2,IF(BW2=0.75,DZ2,IF(BW2=1,EB2,IF(BX2=60,DT2,IF(BX2=120,DU2,DV2))))))))))</f>
        <v>NULL</v>
      </c>
      <c r="EG2" s="264" t="str">
        <f>IF(BV2="0",CW2,"NULL")</f>
        <v>NULL</v>
      </c>
      <c r="EH2" s="264" t="str">
        <f>IF(AND(F2="XRD",G2="V"),"NULL",IF(CG2="Y",IF(BY2=2,"Straight Life Annuity",TEXT(BZ2/12,"0")&amp;"-Year Certain-and-Continuous Annuity"),IF(BV2="2","Straight Life Annuity",IF(BV2="5",TEXT(BX2/12,"0")&amp;"-Year Certain-and-Continuous Annuity",IF(BV2="0","Joint-and-50% Survivor Popup Annuity","Joint-and-"&amp;TEXT(BW2*100,"00")&amp;"% Survivor Annuity")))))</f>
        <v>NULL</v>
      </c>
      <c r="EI2" s="44" t="str">
        <f>IF(OR(AND(F2="XRD",G2="V"),ISBLANK(ED2)),"NULL",IF(AND(IF(ISBLANK(EE2),ED2,EE2)&gt;IF(OR(NOT(ISBLANK(EE2)),EF2="NULL"),IF(DN2="NULL",DM2,DN2),EF2),IF(ISBLANK(EE2),ED2,EE2)-IF(OR(NOT(ISBLANK(EE2)),EF2="NULL"),IF(DN2="NULL",DM2,DN2),EF2)&gt;=5),"D",IF(AND(IF(ISBLANK(EE2),ED2,EE2)&gt;IF(OR(NOT(ISBLANK(EE2)),EF2="NULL"),IF(DN2="NULL",DM2,DN2),EF2),IF(ISBLANK(EE2),ED2,EE2)-IF(OR(NOT(ISBLANK(EE2)),EF2="NULL"),IF(DN2="NULL",DM2,DN2),EF2)&lt;5),"N",IF(IF(ISBLANK(EE2),ED2,EE2)=IF(OR(NOT(ISBLANK(EE2)),EF2="NULL"),IF(DN2="NULL",DM2,DN2),EF2),"M","I"))))</f>
        <v>NULL</v>
      </c>
      <c r="EJ2" s="44" t="str">
        <f>IF(OR(AND(F2="XRD",G2="V"),ISBLANK(ED2)),"NULL",IF(EI2="D","Your current monthly benefit of $"&amp;TEXT(IF(ISBLANK(EE2),ED2,EE2),"0.00")&amp;" will decrease to $"&amp;TEXT(IF(OR(NOT(ISBLANK(EE2)),EF2="NULL"),IF(DN2="NULL",DM2,DN2),EF2),"0.00")&amp;" because of the limitations placed on the monthly benefit payable at DOPT.  See the Benefit Calculation section for further details.",IF(EI2="N","Your current monthly benefit of $"&amp;TEXT(IF(ISBLANK(EE2),ED2,EE2),"0.00")&amp;" will not change. Although the amount of the PBGC monthly benefit shown above is slightly less than the amount you are currently receiving, we will not change the amount of your current monthly benefit",IF(EI2="I","Your current monthly benefit of $"&amp;TEXT(IF(ISBLANK(EE2),ED2,EE2),"0.00")&amp;" will increase to $"&amp;TEXT(IF(OR(NOT(ISBLANK(EE2)),EF2="NULL"),IF(DN2="NULL",DM2,DN2),EF2),"0.00")&amp;".","Your current monthly benefit of $"&amp;TEXT(IF(ISBLANK(EE2),ED2,EE2),"0.00")&amp;" will not change."))))</f>
        <v>NULL</v>
      </c>
      <c r="EK2" s="168" t="e">
        <f ca="1">ROUND(DD2*DF2*12,0)</f>
        <v>#NAME?</v>
      </c>
      <c r="EL2" s="168">
        <f>0</f>
        <v>0</v>
      </c>
      <c r="EM2" s="168">
        <f>0</f>
        <v>0</v>
      </c>
      <c r="EN2" s="168" t="e">
        <f t="shared" ref="EN2" ca="1" si="5">EK2+EL2</f>
        <v>#NAME?</v>
      </c>
      <c r="EO2" s="168" t="e">
        <f ca="1">ROUND(DL2*DF2*12,0)</f>
        <v>#NAME?</v>
      </c>
      <c r="EP2" s="168" t="e">
        <f t="shared" ref="EP2" ca="1" si="6">EK2+EO2</f>
        <v>#NAME?</v>
      </c>
      <c r="EQ2" s="168" t="e">
        <f t="shared" ref="EQ2" ca="1" si="7">IF(CI2="9",ROUND(DD2*CB2*DE2*12,0),0)</f>
        <v>#NAME?</v>
      </c>
      <c r="ER2" s="168" t="e">
        <f ca="1">EQ2+EM2</f>
        <v>#NAME?</v>
      </c>
      <c r="ES2" s="168">
        <f>0</f>
        <v>0</v>
      </c>
      <c r="ET2" s="168" t="e">
        <f ca="1">EQ2+ES2</f>
        <v>#NAME?</v>
      </c>
      <c r="EU2" s="20" t="e">
        <f ca="1">EK2+EQ2</f>
        <v>#NAME?</v>
      </c>
      <c r="EV2" s="20">
        <f>DH2</f>
        <v>0</v>
      </c>
      <c r="EW2" s="48" t="e">
        <f ca="1">EU2+EV2</f>
        <v>#NAME?</v>
      </c>
      <c r="EX2" s="48" t="e">
        <f ca="1">EO2+ES2</f>
        <v>#NAME?</v>
      </c>
      <c r="EY2" s="48" t="e">
        <f ca="1">EU2+EX2</f>
        <v>#NAME?</v>
      </c>
      <c r="EZ2" s="17">
        <f t="shared" ref="EZ2" si="8">Load_Percent</f>
        <v>1.11E-2</v>
      </c>
      <c r="FA2" s="20" t="e">
        <f t="shared" ref="FA2" ca="1" si="9">ROUND(EU2*EZ2,0)</f>
        <v>#NAME?</v>
      </c>
      <c r="FB2" s="20">
        <f>ROUND(EV2*EZ2,0)</f>
        <v>0</v>
      </c>
      <c r="FC2" s="48">
        <f>FB2</f>
        <v>0</v>
      </c>
      <c r="FD2" s="48" t="e">
        <f t="shared" ref="FD2" ca="1" si="10">FA2+FC2</f>
        <v>#NAME?</v>
      </c>
      <c r="FE2" s="48" t="e">
        <f ca="1">ROUND(EX2*EZ2,0)</f>
        <v>#NAME?</v>
      </c>
      <c r="FF2" s="48" t="e">
        <f ca="1">FA2+FE2</f>
        <v>#NAME?</v>
      </c>
      <c r="FG2" s="48" t="e">
        <f ca="1">EU2+FA2</f>
        <v>#NAME?</v>
      </c>
      <c r="FH2" s="48">
        <f>DH2+FB2</f>
        <v>0</v>
      </c>
      <c r="FI2" s="48">
        <f>EV2+FC2</f>
        <v>0</v>
      </c>
      <c r="FJ2" s="48" t="e">
        <f ca="1">FG2+FI2</f>
        <v>#NAME?</v>
      </c>
      <c r="FK2" s="48" t="e">
        <f t="shared" ref="FK2" ca="1" si="11">EX2+FE2</f>
        <v>#NAME?</v>
      </c>
      <c r="FL2" s="48" t="e">
        <f ca="1">FG2+FK2</f>
        <v>#NAME?</v>
      </c>
      <c r="FM2" s="99" t="e">
        <f ca="1">IF(CI2="2",1,ROUND(BFCFAEQ("SLA",BR2,BT2,0,IF(OR(CI2="9",CI2="0"),"JSC","SLA"),CJ2,CK2,0,CP2,CP2,S2,IF(S2="M","F","M"),0.065,"GM71","GM71","MP","","","",""),4))</f>
        <v>#NAME?</v>
      </c>
      <c r="FN2" s="114">
        <f>IF(OR(CI2="2",NOT(ISBLANK(X2))),1,ROUND(FM2/CR2,4))</f>
        <v>1</v>
      </c>
      <c r="FO2" s="44" t="e">
        <f ca="1">ROUND(DM2*FN2,2)</f>
        <v>#NAME?</v>
      </c>
      <c r="FP2" s="31" t="e">
        <f ca="1">ROUND(NPVF2("MP",IF(CI2="9","JSC","SLA"),"O",LS_Rates,S2,AX2,BM2,IF(ISBLANK(X2),BM2,IF(BO2="NULL",0,BO2)),CJ2,CK2,0,DOPT,DOPT,"P","",""),4)</f>
        <v>#NAME?</v>
      </c>
      <c r="FQ2" s="185" t="e">
        <f ca="1">ROUND(12*FP2*FO2,0)</f>
        <v>#NAME?</v>
      </c>
      <c r="FR2" s="248" t="str">
        <f>IF(CG2="Y",ROUND(NPVF2("MP","SLA","O",LS_Rates,IF(S2="M","F","M"),AY2,BO2,0,0,0,0,DOPT,DOPT,"P","",""),4),"NULL")</f>
        <v>NULL</v>
      </c>
      <c r="FS2" s="39" t="str">
        <f>IF(CG2="Y",ROUND(DN2*FR2*12,0),"NULL")</f>
        <v>NULL</v>
      </c>
      <c r="FT2" s="185"/>
      <c r="FU2" s="185">
        <v>733000</v>
      </c>
      <c r="FV2" s="185" t="e">
        <f ca="1">IF(FU2&gt;0,MAX(FQ2-FU2,0),"NULL")</f>
        <v>#NAME?</v>
      </c>
      <c r="FW2" s="31" t="e">
        <f ca="1">IF(FQ2&lt;=5000,"Y","N")</f>
        <v>#NAME?</v>
      </c>
      <c r="FX2" s="31" t="e">
        <f t="shared" ref="FX2" ca="1" si="12">IF(FQ2&gt;5000,"A","L")</f>
        <v>#NAME?</v>
      </c>
      <c r="FY2" s="185" t="e">
        <f ca="1">ROUND(EY2*AX2,0)</f>
        <v>#NAME?</v>
      </c>
      <c r="FZ2" s="185" t="e">
        <f ca="1">ROUND(EY2*BM2,0)</f>
        <v>#NAME?</v>
      </c>
      <c r="GA2" s="59" t="e">
        <f ca="1">MIN(MAX(NRD(TODAY(),0),BE2),BD2)</f>
        <v>#NAME?</v>
      </c>
      <c r="GB2" s="203">
        <v>73020</v>
      </c>
      <c r="GC2" s="59" t="e">
        <f ca="1">MIN(MAX(NRD(TODAY(),0),BA2),BD2)</f>
        <v>#NAME?</v>
      </c>
      <c r="GD2" s="203">
        <v>73020</v>
      </c>
      <c r="GE2" s="185" t="e">
        <f ca="1">IF(D2="2","SB",IF(BN2&lt;AM2,"ER","NR"))</f>
        <v>#NAME?</v>
      </c>
      <c r="GF2" s="44" t="str">
        <f>"Y"</f>
        <v>Y</v>
      </c>
      <c r="GG2" s="44" t="str">
        <f>IF(OR(G2="R",ISBLANK(BJ2)),"Y","N")</f>
        <v>N</v>
      </c>
      <c r="GH2" s="44" t="str">
        <f>IF(GF2="N","N",IF(OR(G2="R",ISBLANK(BJ2)),"Y","N"))</f>
        <v>N</v>
      </c>
      <c r="GI2" s="86">
        <v>0</v>
      </c>
      <c r="GJ2" s="3" t="s">
        <v>140</v>
      </c>
      <c r="GK2" s="3" t="s">
        <v>140</v>
      </c>
      <c r="GL2" s="3" t="s">
        <v>442</v>
      </c>
      <c r="GM2" s="3" t="s">
        <v>442</v>
      </c>
      <c r="GN2" s="3" t="s">
        <v>442</v>
      </c>
      <c r="GO2" s="3" t="s">
        <v>442</v>
      </c>
      <c r="GP2" s="3" t="s">
        <v>442</v>
      </c>
      <c r="GQ2" s="3" t="s">
        <v>442</v>
      </c>
    </row>
    <row r="3" spans="1:199" ht="13.5" thickBot="1" x14ac:dyDescent="0.25">
      <c r="A3" s="101"/>
      <c r="B3" s="157"/>
      <c r="C3" s="157"/>
      <c r="D3" s="157"/>
      <c r="E3" s="157"/>
      <c r="F3" s="8"/>
      <c r="G3" s="8"/>
      <c r="H3" s="157"/>
      <c r="I3" s="157"/>
      <c r="J3" s="157"/>
      <c r="K3" s="157"/>
      <c r="L3" s="157"/>
      <c r="M3" s="157"/>
      <c r="N3" s="157"/>
      <c r="O3" s="157"/>
      <c r="P3" s="157"/>
      <c r="Q3" s="157"/>
      <c r="R3" s="57"/>
      <c r="S3" s="57"/>
      <c r="T3" s="57"/>
      <c r="U3" s="43"/>
      <c r="V3" s="43"/>
      <c r="W3" s="43"/>
      <c r="X3" s="43"/>
      <c r="Y3" s="233"/>
      <c r="Z3" s="233"/>
      <c r="AA3" s="233"/>
      <c r="AB3" s="233"/>
      <c r="AC3" s="233"/>
      <c r="AD3" s="43"/>
      <c r="AE3" s="57"/>
      <c r="AF3" s="57"/>
      <c r="AG3" s="57"/>
      <c r="AH3" s="57"/>
      <c r="AI3" s="57"/>
      <c r="AJ3" s="57"/>
      <c r="AK3" s="4"/>
      <c r="AL3" s="4"/>
      <c r="AM3" s="57"/>
      <c r="AN3" s="119"/>
      <c r="AO3" s="57"/>
      <c r="AP3" s="57"/>
      <c r="AQ3" s="239"/>
      <c r="AR3" s="55"/>
      <c r="AS3" s="241"/>
      <c r="AT3" s="241"/>
      <c r="AU3" s="241"/>
      <c r="AV3" s="55"/>
      <c r="AW3" s="241"/>
      <c r="AX3" s="241"/>
      <c r="AY3" s="57"/>
      <c r="AZ3" s="145"/>
      <c r="BA3" s="57"/>
      <c r="BB3" s="57"/>
      <c r="BC3" s="57"/>
      <c r="BD3" s="239"/>
      <c r="BE3" s="239"/>
      <c r="BF3" s="239"/>
      <c r="BG3" s="239"/>
      <c r="BH3" s="300"/>
      <c r="BI3" s="300"/>
      <c r="BJ3" s="239"/>
      <c r="BK3" s="239"/>
      <c r="BL3" s="239"/>
      <c r="BM3" s="239"/>
      <c r="BN3" s="239"/>
      <c r="BO3" s="239"/>
      <c r="BP3" s="239"/>
      <c r="BQ3" s="239"/>
      <c r="BR3" s="239"/>
      <c r="BS3" s="239"/>
      <c r="BT3" s="239"/>
      <c r="BU3" s="239"/>
      <c r="BV3" s="239"/>
      <c r="BW3" s="239"/>
      <c r="BX3" s="239"/>
      <c r="BY3" s="239"/>
      <c r="BZ3" s="239"/>
      <c r="CA3" s="308"/>
      <c r="CB3" s="239"/>
      <c r="CC3" s="239"/>
      <c r="CD3" s="239"/>
      <c r="CE3" s="239"/>
      <c r="CF3" s="239"/>
      <c r="CG3" s="239"/>
      <c r="CH3" s="239"/>
      <c r="CI3" s="239"/>
      <c r="CJ3" s="239"/>
      <c r="CK3" s="239"/>
      <c r="CL3" s="239"/>
      <c r="CM3" s="239"/>
      <c r="CN3" s="239"/>
      <c r="CO3" s="239"/>
      <c r="CP3" s="239"/>
      <c r="CQ3" s="239"/>
      <c r="CR3" s="239"/>
      <c r="CS3" s="239"/>
      <c r="CT3" s="239"/>
      <c r="CU3" s="239"/>
      <c r="CV3" s="239"/>
      <c r="CW3" s="239"/>
      <c r="CX3" s="239"/>
      <c r="CY3" s="239"/>
      <c r="CZ3" s="239"/>
      <c r="DA3" s="239"/>
      <c r="DB3" s="239"/>
      <c r="DC3" s="239"/>
      <c r="DD3" s="239"/>
      <c r="DE3" s="239"/>
      <c r="DF3" s="239"/>
      <c r="DG3" s="239"/>
      <c r="DH3" s="239"/>
      <c r="DI3" s="239"/>
      <c r="DJ3" s="239"/>
      <c r="DK3" s="239"/>
      <c r="DL3" s="239"/>
      <c r="DM3" s="239"/>
      <c r="DN3" s="239"/>
      <c r="DO3" s="239"/>
      <c r="DP3" s="239"/>
      <c r="DQ3" s="239"/>
      <c r="DR3" s="239"/>
      <c r="DS3" s="239"/>
      <c r="DT3" s="239"/>
      <c r="DU3" s="239"/>
      <c r="DV3" s="239"/>
      <c r="DW3" s="239"/>
      <c r="DX3" s="239"/>
      <c r="DY3" s="239"/>
      <c r="DZ3" s="239"/>
      <c r="EA3" s="239"/>
      <c r="EB3" s="239"/>
      <c r="EC3" s="239"/>
      <c r="ED3" s="239"/>
      <c r="EE3" s="239"/>
      <c r="EF3" s="239"/>
      <c r="EG3" s="239"/>
      <c r="EH3" s="239"/>
      <c r="EI3" s="239"/>
      <c r="EJ3" s="239"/>
      <c r="EK3" s="239"/>
      <c r="EL3" s="239"/>
      <c r="EM3" s="239"/>
      <c r="EN3" s="239"/>
      <c r="EO3" s="239"/>
      <c r="EP3" s="239"/>
      <c r="EQ3" s="239"/>
      <c r="ER3" s="239"/>
      <c r="ES3" s="239"/>
      <c r="ET3" s="239"/>
      <c r="EU3" s="239"/>
      <c r="EV3" s="239"/>
      <c r="EW3" s="239"/>
      <c r="EX3" s="239"/>
      <c r="EY3" s="239"/>
      <c r="EZ3" s="239"/>
      <c r="FA3" s="239"/>
      <c r="FB3" s="239"/>
      <c r="FC3" s="239"/>
      <c r="FD3" s="239"/>
      <c r="FE3" s="239"/>
      <c r="FF3" s="239"/>
      <c r="FG3" s="239"/>
      <c r="FH3" s="239"/>
      <c r="FI3" s="239"/>
      <c r="FJ3" s="239"/>
      <c r="FK3" s="239"/>
      <c r="FL3" s="239"/>
      <c r="FM3" s="239"/>
      <c r="FN3" s="239"/>
      <c r="FO3" s="239"/>
      <c r="FP3" s="239"/>
      <c r="FQ3" s="239"/>
      <c r="FR3" s="239"/>
      <c r="FS3" s="239"/>
      <c r="FT3" s="239"/>
      <c r="FU3" s="239"/>
      <c r="FV3" s="239"/>
      <c r="FW3" s="239"/>
      <c r="FX3" s="239"/>
      <c r="FY3" s="239"/>
      <c r="FZ3" s="239"/>
      <c r="GA3" s="239"/>
      <c r="GB3" s="239"/>
      <c r="GC3" s="145"/>
      <c r="GD3" s="145"/>
      <c r="GE3" s="239"/>
      <c r="GF3" s="239"/>
      <c r="GG3" s="239"/>
      <c r="GH3" s="239"/>
      <c r="GI3" s="239"/>
      <c r="GJ3" s="239"/>
      <c r="GK3" s="239"/>
      <c r="GL3" s="239"/>
      <c r="GM3" s="239"/>
      <c r="GN3" s="239"/>
      <c r="GO3" s="239"/>
      <c r="GP3" s="239"/>
      <c r="GQ3" s="239"/>
    </row>
    <row r="4" spans="1:199" ht="13.5" thickTop="1" x14ac:dyDescent="0.2">
      <c r="A4" s="199"/>
      <c r="B4" s="214"/>
      <c r="D4" s="15"/>
      <c r="E4" s="15"/>
      <c r="F4" s="8"/>
      <c r="G4" s="8"/>
      <c r="H4" s="204"/>
      <c r="I4" s="204"/>
      <c r="J4" s="204"/>
      <c r="K4" s="204"/>
      <c r="L4" s="204"/>
      <c r="M4" s="204"/>
      <c r="N4" s="204"/>
      <c r="O4" s="204"/>
      <c r="P4" s="204"/>
      <c r="Q4" s="204"/>
      <c r="R4" s="31"/>
      <c r="S4" s="31"/>
      <c r="T4" s="31"/>
      <c r="U4" s="203"/>
      <c r="V4" s="203"/>
      <c r="W4" s="203"/>
      <c r="X4" s="203"/>
      <c r="Y4" s="32"/>
      <c r="Z4" s="32"/>
      <c r="AA4" s="32"/>
      <c r="AB4" s="32"/>
      <c r="AC4" s="32"/>
      <c r="AD4" s="203"/>
      <c r="AE4" s="31"/>
      <c r="AF4" s="31"/>
      <c r="AG4" s="31"/>
      <c r="AH4" s="31"/>
      <c r="AI4" s="31"/>
      <c r="AJ4" s="31"/>
      <c r="AK4" s="59"/>
      <c r="AL4" s="59"/>
      <c r="AM4" s="31"/>
      <c r="AN4" s="33"/>
      <c r="AO4" s="31"/>
      <c r="AP4" s="31"/>
      <c r="AQ4" s="44"/>
      <c r="AR4" s="99"/>
      <c r="AS4" s="48"/>
      <c r="AT4" s="48"/>
      <c r="AU4" s="48"/>
      <c r="AV4" s="99"/>
      <c r="AW4" s="48"/>
      <c r="AX4" s="48"/>
      <c r="AY4" s="31"/>
      <c r="AZ4" s="185"/>
      <c r="BA4" s="31"/>
      <c r="BB4" s="31"/>
      <c r="BC4" s="31"/>
      <c r="BD4" s="44"/>
      <c r="BE4" s="44"/>
      <c r="BF4" s="44"/>
      <c r="BG4" s="44"/>
      <c r="BH4" s="301"/>
      <c r="BI4" s="301"/>
      <c r="BJ4" s="44"/>
      <c r="BK4" s="44"/>
      <c r="BL4" s="44"/>
      <c r="BM4" s="44"/>
      <c r="BN4" s="44"/>
      <c r="BO4" s="44"/>
      <c r="BP4" s="44"/>
      <c r="BQ4" s="44"/>
      <c r="BR4" s="44"/>
      <c r="BS4" s="44"/>
      <c r="BT4" s="44"/>
      <c r="BU4" s="44"/>
      <c r="BV4" s="44"/>
      <c r="BW4" s="44"/>
      <c r="BX4" s="44"/>
      <c r="BY4" s="44"/>
      <c r="BZ4" s="44"/>
      <c r="CA4" s="309"/>
      <c r="CB4" s="161"/>
      <c r="CC4" s="161"/>
      <c r="CD4" s="161"/>
      <c r="CE4" s="161"/>
      <c r="CF4" s="161"/>
      <c r="CG4" s="44"/>
      <c r="CH4" s="86"/>
      <c r="CI4" s="44"/>
      <c r="CJ4" s="44"/>
      <c r="CK4" s="44"/>
      <c r="CL4" s="44"/>
      <c r="CM4" s="44"/>
      <c r="CN4" s="44"/>
      <c r="CO4" s="44"/>
      <c r="CP4" s="44"/>
      <c r="CQ4" s="44"/>
      <c r="CR4" s="44"/>
      <c r="CS4" s="44"/>
      <c r="CT4" s="44"/>
      <c r="CU4" s="44"/>
      <c r="CV4" s="44"/>
      <c r="CW4" s="161"/>
      <c r="CX4" s="44"/>
      <c r="CY4" s="44"/>
      <c r="CZ4" s="44"/>
      <c r="DA4" s="44"/>
      <c r="DB4" s="44"/>
      <c r="DC4" s="44"/>
      <c r="DD4" s="44"/>
      <c r="DE4" s="99"/>
      <c r="DF4" s="264"/>
      <c r="DG4" s="161"/>
      <c r="DH4" s="161"/>
      <c r="DI4" s="161"/>
      <c r="DJ4" s="234"/>
      <c r="DK4" s="161"/>
      <c r="DL4" s="44"/>
      <c r="DM4" s="44"/>
      <c r="DN4" s="44"/>
      <c r="DO4" s="44"/>
      <c r="DP4" s="44"/>
      <c r="DQ4" s="44"/>
      <c r="DR4" s="44"/>
      <c r="DS4" s="44"/>
      <c r="DT4" s="44"/>
      <c r="DU4" s="44"/>
      <c r="DV4" s="44"/>
      <c r="DW4" s="44"/>
      <c r="DX4" s="44"/>
      <c r="DY4" s="44"/>
      <c r="DZ4" s="44"/>
      <c r="EA4" s="44"/>
      <c r="EB4" s="44"/>
      <c r="EC4" s="44"/>
      <c r="ED4" s="44"/>
      <c r="EE4" s="44"/>
      <c r="EF4" s="264"/>
      <c r="EG4" s="264"/>
      <c r="EH4" s="44"/>
      <c r="EI4" s="44"/>
      <c r="EJ4" s="44"/>
      <c r="EK4" s="278"/>
      <c r="EL4" s="279"/>
      <c r="EM4" s="168"/>
      <c r="EN4" s="44"/>
      <c r="EO4" s="44"/>
      <c r="EP4" s="44"/>
      <c r="EQ4" s="275"/>
      <c r="ER4" s="275"/>
      <c r="ES4" s="275"/>
      <c r="ET4" s="275"/>
      <c r="EU4" s="44"/>
      <c r="EV4" s="44"/>
      <c r="EW4" s="44"/>
      <c r="EX4" s="44"/>
      <c r="EY4" s="44"/>
      <c r="EZ4" s="266"/>
      <c r="FA4" s="266"/>
      <c r="FB4" s="266"/>
      <c r="FC4" s="266"/>
      <c r="FD4" s="266"/>
      <c r="FE4" s="266"/>
      <c r="FF4" s="266"/>
      <c r="FG4" s="44"/>
      <c r="FH4" s="44"/>
      <c r="FI4" s="44"/>
      <c r="FJ4" s="44"/>
      <c r="FK4" s="44"/>
      <c r="FL4" s="44"/>
      <c r="FM4" s="99"/>
      <c r="FN4" s="44"/>
      <c r="FO4" s="44"/>
      <c r="FP4" s="44"/>
      <c r="FQ4" s="44"/>
      <c r="FR4" s="44"/>
      <c r="FS4" s="44"/>
      <c r="FT4" s="314"/>
      <c r="FU4" s="314"/>
      <c r="FV4" s="314"/>
      <c r="FW4" s="44"/>
      <c r="FX4" s="44"/>
      <c r="FY4" s="44"/>
      <c r="FZ4" s="44"/>
      <c r="GA4" s="44"/>
      <c r="GB4" s="44"/>
      <c r="GC4" s="185"/>
      <c r="GD4" s="185"/>
      <c r="GE4" s="44"/>
      <c r="GF4" s="44"/>
      <c r="GG4" s="44"/>
      <c r="GH4" s="44"/>
      <c r="GI4" s="44"/>
      <c r="GJ4" s="44"/>
      <c r="GK4" s="44"/>
      <c r="GL4" s="44"/>
      <c r="GM4" s="44"/>
      <c r="GN4" s="44"/>
      <c r="GO4" s="44"/>
      <c r="GP4" s="44"/>
      <c r="GQ4" s="44"/>
    </row>
    <row r="5" spans="1:199" x14ac:dyDescent="0.2">
      <c r="A5" s="199"/>
      <c r="B5" s="167"/>
      <c r="D5" s="15"/>
      <c r="E5" s="15"/>
      <c r="F5" s="8"/>
      <c r="G5" s="8"/>
      <c r="H5" s="15"/>
      <c r="I5" s="15"/>
      <c r="J5" s="15"/>
      <c r="K5" s="15"/>
      <c r="L5" s="15"/>
      <c r="M5" s="15"/>
      <c r="N5" s="15"/>
      <c r="O5" s="15"/>
      <c r="P5" s="15"/>
      <c r="Q5" s="15"/>
      <c r="R5" s="15"/>
      <c r="S5" s="54"/>
      <c r="T5" s="54"/>
      <c r="U5" s="54"/>
      <c r="V5" s="54"/>
      <c r="W5" s="54"/>
      <c r="X5" s="54"/>
      <c r="Y5" s="54"/>
      <c r="Z5" s="54"/>
      <c r="AA5" s="54"/>
      <c r="AB5" s="54"/>
      <c r="AC5" s="15"/>
      <c r="AD5" s="15"/>
      <c r="AE5" s="15"/>
      <c r="AF5" s="15"/>
      <c r="AG5" s="15"/>
      <c r="AH5" s="15"/>
      <c r="AI5" s="15"/>
      <c r="AJ5" s="15"/>
      <c r="AK5" s="15"/>
      <c r="AL5" s="15"/>
      <c r="AM5" s="54"/>
      <c r="AN5" s="54"/>
      <c r="AO5" s="15"/>
      <c r="AP5" s="15"/>
      <c r="AQ5" s="15"/>
      <c r="AR5" s="15"/>
      <c r="AS5" s="15"/>
      <c r="AT5" s="15"/>
      <c r="AU5" s="54"/>
      <c r="AV5" s="54"/>
      <c r="AW5" s="15"/>
      <c r="AX5" s="54"/>
      <c r="AY5" s="54"/>
      <c r="AZ5" s="161"/>
      <c r="BA5" s="21"/>
      <c r="BB5" s="21"/>
      <c r="BC5" s="21"/>
      <c r="BD5" s="54"/>
      <c r="BE5" s="21"/>
      <c r="BF5" s="21"/>
      <c r="BG5" s="21"/>
      <c r="BH5" s="302"/>
      <c r="BI5" s="302"/>
      <c r="BJ5" s="21"/>
      <c r="BK5" s="21"/>
      <c r="BL5" s="15"/>
      <c r="BM5" s="54"/>
      <c r="BN5" s="54"/>
      <c r="BO5" s="54"/>
      <c r="BP5" s="15"/>
      <c r="BQ5" s="15"/>
      <c r="BR5" s="54"/>
      <c r="BS5" s="54"/>
      <c r="BT5" s="54"/>
      <c r="BU5" s="54"/>
      <c r="BV5" s="15"/>
      <c r="BW5" s="15"/>
      <c r="BX5" s="15"/>
      <c r="BY5" s="15"/>
      <c r="BZ5" s="15"/>
      <c r="CA5" s="309"/>
      <c r="CB5" s="161"/>
      <c r="CC5" s="161"/>
      <c r="CD5" s="161"/>
      <c r="CE5" s="161"/>
      <c r="CF5" s="161"/>
      <c r="CG5" s="54"/>
      <c r="CH5" s="21"/>
      <c r="CI5" s="54"/>
      <c r="CJ5" s="54"/>
      <c r="CK5" s="54"/>
      <c r="CL5" s="54"/>
      <c r="CM5" s="54"/>
      <c r="CN5" s="54"/>
      <c r="CO5" s="54"/>
      <c r="CP5" s="54"/>
      <c r="CQ5" s="54"/>
      <c r="CR5" s="54"/>
      <c r="CS5" s="54"/>
      <c r="CT5" s="54"/>
      <c r="CU5" s="54"/>
      <c r="CV5" s="54"/>
      <c r="CW5" s="161"/>
      <c r="CX5" s="21"/>
      <c r="CY5" s="21"/>
      <c r="CZ5" s="21"/>
      <c r="DA5" s="21"/>
      <c r="DB5" s="161"/>
      <c r="DC5" s="161"/>
      <c r="DD5" s="161"/>
      <c r="DE5" s="99"/>
      <c r="DF5" s="264"/>
      <c r="DG5" s="161"/>
      <c r="DH5" s="161"/>
      <c r="DI5" s="161"/>
      <c r="DJ5" s="161"/>
      <c r="DK5" s="161"/>
      <c r="DL5" s="161"/>
      <c r="DM5" s="21"/>
      <c r="DN5" s="21"/>
      <c r="DO5" s="54"/>
      <c r="DP5" s="54"/>
      <c r="DQ5" s="247"/>
      <c r="DR5" s="247"/>
      <c r="DS5" s="282"/>
      <c r="DT5" s="247"/>
      <c r="DU5" s="247"/>
      <c r="DV5" s="247"/>
      <c r="DW5" s="247"/>
      <c r="DX5" s="247"/>
      <c r="DY5" s="247"/>
      <c r="DZ5" s="247"/>
      <c r="EA5" s="247"/>
      <c r="EB5" s="247"/>
      <c r="EC5" s="247"/>
      <c r="ED5" s="21"/>
      <c r="EE5" s="21"/>
      <c r="EF5" s="54"/>
      <c r="EG5" s="54"/>
      <c r="EH5" s="54"/>
      <c r="EI5" s="54"/>
      <c r="EJ5" s="54"/>
      <c r="EK5" s="15"/>
      <c r="EL5" s="161"/>
      <c r="EM5" s="275"/>
      <c r="EN5" s="15"/>
      <c r="EO5" s="15"/>
      <c r="EP5" s="15"/>
      <c r="EQ5" s="275"/>
      <c r="ER5" s="275"/>
      <c r="ES5" s="275"/>
      <c r="ET5" s="275"/>
      <c r="EU5" s="15"/>
      <c r="EV5" s="15"/>
      <c r="EW5" s="15"/>
      <c r="EX5" s="15"/>
      <c r="EY5" s="15"/>
      <c r="EZ5" s="267"/>
      <c r="FA5" s="268"/>
      <c r="FB5" s="268"/>
      <c r="FC5" s="268"/>
      <c r="FD5" s="268"/>
      <c r="FE5" s="268"/>
      <c r="FF5" s="268"/>
      <c r="FG5" s="15"/>
      <c r="FH5" s="15"/>
      <c r="FI5" s="15"/>
      <c r="FJ5" s="15"/>
      <c r="FK5" s="15"/>
      <c r="FL5" s="15"/>
      <c r="FM5" s="54"/>
      <c r="FN5" s="54"/>
      <c r="FO5" s="15"/>
      <c r="FP5" s="54"/>
      <c r="FQ5" s="54"/>
      <c r="FR5" s="54"/>
      <c r="FS5" s="54"/>
      <c r="FT5" s="315"/>
      <c r="FU5" s="315"/>
      <c r="FV5" s="315"/>
      <c r="FW5" s="54"/>
      <c r="FX5" s="54"/>
      <c r="FY5" s="54"/>
      <c r="FZ5" s="54"/>
      <c r="GA5" s="21"/>
      <c r="GB5" s="54"/>
      <c r="GC5" s="59"/>
      <c r="GD5" s="54"/>
      <c r="GE5" s="54"/>
      <c r="GF5" s="54"/>
      <c r="GG5" s="54"/>
      <c r="GH5" s="54"/>
      <c r="GI5" s="54"/>
      <c r="GJ5" s="54"/>
      <c r="GK5" s="54"/>
      <c r="GL5" s="15"/>
      <c r="GM5" s="15"/>
      <c r="GN5" s="15"/>
      <c r="GO5" s="15"/>
      <c r="GP5" s="15"/>
      <c r="GQ5" s="15"/>
    </row>
    <row r="6" spans="1:199" x14ac:dyDescent="0.2">
      <c r="A6" s="199"/>
      <c r="B6" s="130"/>
      <c r="D6" s="15"/>
      <c r="E6" s="15"/>
      <c r="F6" s="8"/>
      <c r="G6" s="8"/>
      <c r="H6" s="15"/>
      <c r="I6" s="15"/>
      <c r="J6" s="15"/>
      <c r="K6" s="15"/>
      <c r="L6" s="15"/>
      <c r="M6" s="15"/>
      <c r="N6" s="15"/>
      <c r="O6" s="15"/>
      <c r="P6" s="15"/>
      <c r="Q6" s="15"/>
      <c r="R6" s="15"/>
      <c r="S6" s="15"/>
      <c r="T6" s="15"/>
      <c r="U6" s="15"/>
      <c r="V6" s="15"/>
      <c r="W6" s="230"/>
      <c r="X6" s="230"/>
      <c r="Y6" s="15"/>
      <c r="Z6" s="15"/>
      <c r="AA6" s="15"/>
      <c r="AB6" s="15"/>
      <c r="AC6" s="230"/>
      <c r="AD6" s="230"/>
      <c r="AE6" s="230"/>
      <c r="AF6" s="230"/>
      <c r="AG6" s="230"/>
      <c r="AH6" s="230"/>
      <c r="AI6" s="15"/>
      <c r="AJ6" s="15"/>
      <c r="AK6" s="15"/>
      <c r="AL6" s="15"/>
      <c r="AM6" s="203"/>
      <c r="AN6" s="15"/>
      <c r="AO6" s="15"/>
      <c r="AP6" s="15"/>
      <c r="AQ6" s="15"/>
      <c r="AR6" s="15"/>
      <c r="AS6" s="15"/>
      <c r="AT6" s="15"/>
      <c r="AU6" s="15"/>
      <c r="AV6" s="15"/>
      <c r="AW6" s="15"/>
      <c r="AX6" s="15"/>
      <c r="AY6" s="15"/>
      <c r="AZ6" s="161"/>
      <c r="BA6" s="102"/>
      <c r="BB6" s="102"/>
      <c r="BC6" s="102"/>
      <c r="BD6" s="15"/>
      <c r="BE6" s="102"/>
      <c r="BF6" s="102"/>
      <c r="BG6" s="102"/>
      <c r="BH6" s="296"/>
      <c r="BI6" s="296"/>
      <c r="BJ6" s="102"/>
      <c r="BK6" s="102"/>
      <c r="BL6" s="15"/>
      <c r="BM6" s="15"/>
      <c r="BN6" s="15"/>
      <c r="BO6" s="15"/>
      <c r="BP6" s="15"/>
      <c r="BQ6" s="15"/>
      <c r="BR6" s="15"/>
      <c r="BS6" s="15"/>
      <c r="BT6" s="15"/>
      <c r="BU6" s="15"/>
      <c r="BV6" s="15"/>
      <c r="BW6" s="15"/>
      <c r="BX6" s="15"/>
      <c r="BY6" s="15"/>
      <c r="BZ6" s="15"/>
      <c r="CA6" s="310"/>
      <c r="CC6" s="161"/>
      <c r="CD6" s="161"/>
      <c r="CE6" s="161"/>
      <c r="CF6" s="161"/>
      <c r="CG6" s="15"/>
      <c r="CH6" s="102"/>
      <c r="CI6" s="15"/>
      <c r="CJ6" s="15"/>
      <c r="CK6" s="15"/>
      <c r="CL6" s="15"/>
      <c r="CM6" s="15"/>
      <c r="CN6" s="15"/>
      <c r="CO6" s="10"/>
      <c r="CP6" s="10"/>
      <c r="CQ6" s="10"/>
      <c r="CR6" s="99"/>
      <c r="CS6" s="10"/>
      <c r="CT6" s="10"/>
      <c r="CU6" s="10"/>
      <c r="CV6" s="10"/>
      <c r="CW6" s="161"/>
      <c r="CX6" s="263"/>
      <c r="CY6" s="263"/>
      <c r="CZ6" s="102"/>
      <c r="DA6" s="102"/>
      <c r="DB6" s="161"/>
      <c r="DC6" s="161"/>
      <c r="DD6" s="161"/>
      <c r="DE6" s="99"/>
      <c r="DF6" s="264"/>
      <c r="DG6" s="161"/>
      <c r="DH6" s="161"/>
      <c r="DI6" s="161"/>
      <c r="DJ6" s="265"/>
      <c r="DK6" s="161"/>
      <c r="DL6" s="7"/>
      <c r="DM6" s="102"/>
      <c r="DN6" s="102"/>
      <c r="DO6" s="15"/>
      <c r="DP6" s="15"/>
      <c r="DQ6" s="228"/>
      <c r="DR6" s="228"/>
      <c r="DS6" s="228"/>
      <c r="DT6" s="228"/>
      <c r="DU6" s="228"/>
      <c r="DV6" s="228"/>
      <c r="DW6" s="228"/>
      <c r="DX6" s="228"/>
      <c r="DY6" s="228"/>
      <c r="DZ6" s="228"/>
      <c r="EA6" s="228"/>
      <c r="EB6" s="228"/>
      <c r="EC6" s="228"/>
      <c r="ED6" s="102"/>
      <c r="EE6" s="102"/>
      <c r="EF6" s="15"/>
      <c r="EG6" s="15"/>
      <c r="EH6" s="15"/>
      <c r="EI6" s="15"/>
      <c r="EJ6" s="15"/>
      <c r="EK6" s="15"/>
      <c r="EL6" s="280"/>
      <c r="EM6" s="275"/>
      <c r="EN6" s="15"/>
      <c r="EO6" s="15"/>
      <c r="EP6" s="15"/>
      <c r="EQ6" s="281"/>
      <c r="ER6" s="275"/>
      <c r="ES6" s="275"/>
      <c r="ET6" s="275"/>
      <c r="EU6" s="15"/>
      <c r="EV6" s="15"/>
      <c r="EW6" s="15"/>
      <c r="EX6" s="15"/>
      <c r="EY6" s="15"/>
      <c r="EZ6" s="269"/>
      <c r="FA6" s="268"/>
      <c r="FB6" s="268"/>
      <c r="FC6" s="268"/>
      <c r="FD6" s="268"/>
      <c r="FE6" s="268"/>
      <c r="FF6" s="268"/>
      <c r="FG6" s="15"/>
      <c r="FH6" s="15"/>
      <c r="FI6" s="15"/>
      <c r="FJ6" s="15"/>
      <c r="FK6" s="15"/>
      <c r="FL6" s="15"/>
      <c r="FM6" s="10"/>
      <c r="FN6" s="10"/>
      <c r="FO6" s="15"/>
      <c r="FP6" s="10"/>
      <c r="FQ6" s="10"/>
      <c r="FR6" s="15"/>
      <c r="FS6" s="15"/>
      <c r="FT6" s="316"/>
      <c r="FU6" s="316"/>
      <c r="FV6" s="316"/>
      <c r="FW6" s="15"/>
      <c r="FX6" s="15"/>
      <c r="FY6" s="15"/>
      <c r="FZ6" s="15"/>
      <c r="GA6" s="102"/>
      <c r="GB6" s="15"/>
      <c r="GC6" s="102"/>
      <c r="GD6" s="15"/>
      <c r="GE6" s="15"/>
      <c r="GF6" s="15"/>
      <c r="GG6" s="15"/>
      <c r="GH6" s="15"/>
      <c r="GI6" s="15"/>
      <c r="GJ6" s="15"/>
      <c r="GK6" s="15"/>
      <c r="GL6" s="54"/>
      <c r="GM6" s="54"/>
      <c r="GN6" s="54"/>
      <c r="GO6" s="54"/>
      <c r="GP6" s="54"/>
      <c r="GQ6" s="54"/>
    </row>
    <row r="7" spans="1:199" x14ac:dyDescent="0.2">
      <c r="A7" s="199"/>
      <c r="B7" s="218"/>
      <c r="D7" s="15"/>
      <c r="E7" s="15"/>
      <c r="F7" s="8"/>
      <c r="G7" s="8"/>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61"/>
      <c r="BA7" s="102"/>
      <c r="BB7" s="102"/>
      <c r="BC7" s="102"/>
      <c r="BD7" s="15"/>
      <c r="BE7" s="102"/>
      <c r="BF7" s="102"/>
      <c r="BG7" s="102"/>
      <c r="BH7" s="296"/>
      <c r="BI7" s="296"/>
      <c r="BJ7" s="102"/>
      <c r="BK7" s="102"/>
      <c r="BL7" s="15"/>
      <c r="BM7" s="15"/>
      <c r="BN7" s="15"/>
      <c r="BO7" s="15"/>
      <c r="BP7" s="15"/>
      <c r="BQ7" s="15"/>
      <c r="BR7" s="15"/>
      <c r="BS7" s="15"/>
      <c r="BT7" s="15"/>
      <c r="BU7" s="15"/>
      <c r="BV7" s="15"/>
      <c r="BW7" s="15"/>
      <c r="BX7" s="15"/>
      <c r="BY7" s="15"/>
      <c r="BZ7" s="15"/>
      <c r="CA7" s="309"/>
      <c r="CB7" s="161"/>
      <c r="CC7" s="161"/>
      <c r="CD7" s="161"/>
      <c r="CE7" s="161"/>
      <c r="CF7" s="161"/>
      <c r="CG7" s="15"/>
      <c r="CH7" s="102"/>
      <c r="CI7" s="15"/>
      <c r="CJ7" s="15"/>
      <c r="CK7" s="15"/>
      <c r="CL7" s="15"/>
      <c r="CM7" s="15"/>
      <c r="CN7" s="15"/>
      <c r="CO7" s="10"/>
      <c r="CP7" s="10"/>
      <c r="CQ7" s="10"/>
      <c r="CR7" s="10"/>
      <c r="CS7" s="10"/>
      <c r="CT7" s="10"/>
      <c r="CU7" s="10"/>
      <c r="CV7" s="10"/>
      <c r="CW7" s="161"/>
      <c r="CX7" s="102"/>
      <c r="CY7" s="102"/>
      <c r="CZ7" s="102"/>
      <c r="DA7" s="102"/>
      <c r="DB7" s="161"/>
      <c r="DC7" s="161"/>
      <c r="DD7" s="161"/>
      <c r="DE7" s="99"/>
      <c r="DF7" s="264"/>
      <c r="DG7" s="161"/>
      <c r="DH7" s="161"/>
      <c r="DI7" s="161"/>
      <c r="DJ7" s="161"/>
      <c r="DK7" s="161"/>
      <c r="DL7" s="161"/>
      <c r="DM7" s="102"/>
      <c r="DN7" s="102"/>
      <c r="DO7" s="15"/>
      <c r="DP7" s="15"/>
      <c r="DQ7" s="228"/>
      <c r="DR7" s="228"/>
      <c r="DS7" s="228"/>
      <c r="DT7" s="228"/>
      <c r="DU7" s="228"/>
      <c r="DV7" s="228"/>
      <c r="DW7" s="228"/>
      <c r="DX7" s="228"/>
      <c r="DY7" s="228"/>
      <c r="DZ7" s="228"/>
      <c r="EA7" s="228"/>
      <c r="EB7" s="228"/>
      <c r="EC7" s="228"/>
      <c r="ED7" s="102"/>
      <c r="EE7" s="102"/>
      <c r="EF7" s="15"/>
      <c r="EG7" s="15"/>
      <c r="EH7" s="15"/>
      <c r="EI7" s="15"/>
      <c r="EJ7" s="15"/>
      <c r="EL7" s="168"/>
      <c r="EM7" s="275"/>
      <c r="EN7" s="15"/>
      <c r="EO7" s="15"/>
      <c r="EP7" s="15"/>
      <c r="EQ7" s="275"/>
      <c r="ER7" s="275"/>
      <c r="ES7" s="275"/>
      <c r="ET7" s="275"/>
      <c r="EU7" s="15"/>
      <c r="EV7" s="15"/>
      <c r="EW7" s="15"/>
      <c r="EX7" s="15"/>
      <c r="EY7" s="15"/>
      <c r="EZ7" s="269"/>
      <c r="FA7" s="268"/>
      <c r="FB7" s="268"/>
      <c r="FC7" s="268"/>
      <c r="FD7" s="268"/>
      <c r="FE7" s="268"/>
      <c r="FF7" s="268"/>
      <c r="FG7" s="15"/>
      <c r="FH7" s="15"/>
      <c r="FI7" s="15"/>
      <c r="FJ7" s="15"/>
      <c r="FK7" s="15"/>
      <c r="FL7" s="15"/>
      <c r="FM7" s="15"/>
      <c r="FN7" s="15"/>
      <c r="FO7" s="15"/>
      <c r="FP7" s="10"/>
      <c r="FQ7" s="10"/>
      <c r="FR7" s="15"/>
      <c r="FS7" s="15"/>
      <c r="FT7" s="316"/>
      <c r="FU7" s="316"/>
      <c r="FV7" s="316"/>
      <c r="FW7" s="15"/>
      <c r="FX7" s="15"/>
      <c r="FY7" s="15"/>
      <c r="FZ7" s="15"/>
      <c r="GA7" s="102"/>
      <c r="GB7" s="15"/>
      <c r="GC7" s="102"/>
      <c r="GD7" s="15"/>
      <c r="GE7" s="15"/>
      <c r="GF7" s="15"/>
      <c r="GG7" s="15"/>
      <c r="GH7" s="15"/>
      <c r="GI7" s="15"/>
      <c r="GJ7" s="15"/>
      <c r="GK7" s="15"/>
      <c r="GL7" s="15"/>
      <c r="GM7" s="15"/>
      <c r="GN7" s="15"/>
      <c r="GO7" s="15"/>
      <c r="GP7" s="15"/>
      <c r="GQ7" s="15"/>
    </row>
    <row r="8" spans="1:199" x14ac:dyDescent="0.2">
      <c r="A8" s="199"/>
      <c r="B8" s="15"/>
      <c r="D8" s="15"/>
      <c r="E8" s="15"/>
      <c r="F8" s="8"/>
      <c r="G8" s="8"/>
      <c r="H8" s="15"/>
      <c r="I8" s="15"/>
      <c r="J8" s="15"/>
      <c r="K8" s="15"/>
      <c r="L8" s="15"/>
      <c r="M8" s="15"/>
      <c r="N8" s="15"/>
      <c r="O8" s="15"/>
      <c r="P8" s="15"/>
      <c r="Q8" s="15"/>
      <c r="R8" s="15"/>
      <c r="S8" s="54"/>
      <c r="T8" s="54"/>
      <c r="U8" s="54"/>
      <c r="V8" s="54"/>
      <c r="W8" s="54"/>
      <c r="X8" s="54"/>
      <c r="Y8" s="54"/>
      <c r="Z8" s="54"/>
      <c r="AA8" s="54"/>
      <c r="AB8" s="54"/>
      <c r="AC8" s="15"/>
      <c r="AD8" s="15"/>
      <c r="AE8" s="15"/>
      <c r="AF8" s="15"/>
      <c r="AG8" s="15"/>
      <c r="AH8" s="15"/>
      <c r="AI8" s="15"/>
      <c r="AJ8" s="15"/>
      <c r="AK8" s="15"/>
      <c r="AL8" s="15"/>
      <c r="AM8" s="54"/>
      <c r="AN8" s="54"/>
      <c r="AO8" s="15"/>
      <c r="AP8" s="15"/>
      <c r="AQ8" s="15"/>
      <c r="AR8" s="15"/>
      <c r="AS8" s="15"/>
      <c r="AT8" s="15"/>
      <c r="AU8" s="54"/>
      <c r="AV8" s="54"/>
      <c r="AW8" s="15"/>
      <c r="AX8" s="54"/>
      <c r="AY8" s="54"/>
      <c r="AZ8" s="102"/>
      <c r="BA8" s="21"/>
      <c r="BB8" s="21"/>
      <c r="BC8" s="21"/>
      <c r="BD8" s="54"/>
      <c r="BE8" s="21"/>
      <c r="BF8" s="21"/>
      <c r="BG8" s="21"/>
      <c r="BH8" s="302"/>
      <c r="BI8" s="302"/>
      <c r="BJ8" s="21"/>
      <c r="BK8" s="21"/>
      <c r="BL8" s="15"/>
      <c r="BM8" s="54"/>
      <c r="BN8" s="54"/>
      <c r="BO8" s="54"/>
      <c r="BP8" s="15"/>
      <c r="BQ8" s="15"/>
      <c r="BR8" s="54"/>
      <c r="BS8" s="54"/>
      <c r="BT8" s="54"/>
      <c r="BU8" s="54"/>
      <c r="BV8" s="15"/>
      <c r="BW8" s="15"/>
      <c r="BX8" s="15"/>
      <c r="BY8" s="15"/>
      <c r="BZ8" s="15"/>
      <c r="CA8" s="309"/>
      <c r="CB8" s="161"/>
      <c r="CC8" s="161"/>
      <c r="CD8" s="161"/>
      <c r="CE8" s="161"/>
      <c r="CF8" s="161"/>
      <c r="CG8" s="54"/>
      <c r="CH8" s="21"/>
      <c r="CI8" s="54"/>
      <c r="CJ8" s="54"/>
      <c r="CK8" s="54"/>
      <c r="CL8" s="54"/>
      <c r="CM8" s="54"/>
      <c r="CN8" s="54"/>
      <c r="CO8" s="137"/>
      <c r="CP8" s="137"/>
      <c r="CQ8" s="137"/>
      <c r="CR8" s="137"/>
      <c r="CS8" s="137"/>
      <c r="CT8" s="137"/>
      <c r="CU8" s="137"/>
      <c r="CV8" s="137"/>
      <c r="CW8" s="161"/>
      <c r="CX8" s="21"/>
      <c r="CY8" s="21"/>
      <c r="CZ8" s="21"/>
      <c r="DA8" s="21"/>
      <c r="DB8" s="102"/>
      <c r="DC8" s="102"/>
      <c r="DD8" s="102"/>
      <c r="DE8" s="161"/>
      <c r="DF8" s="137"/>
      <c r="DG8" s="161"/>
      <c r="DH8" s="161"/>
      <c r="DI8" s="161"/>
      <c r="DJ8" s="161"/>
      <c r="DK8" s="161"/>
      <c r="DL8" s="102"/>
      <c r="DM8" s="21"/>
      <c r="DN8" s="21"/>
      <c r="DO8" s="54"/>
      <c r="DP8" s="54"/>
      <c r="DQ8" s="247"/>
      <c r="DR8" s="247"/>
      <c r="DS8" s="247"/>
      <c r="DT8" s="247"/>
      <c r="DU8" s="247"/>
      <c r="DV8" s="247"/>
      <c r="DW8" s="247"/>
      <c r="DX8" s="247"/>
      <c r="DY8" s="247"/>
      <c r="DZ8" s="247"/>
      <c r="EA8" s="247"/>
      <c r="EB8" s="247"/>
      <c r="EC8" s="247"/>
      <c r="ED8" s="21"/>
      <c r="EE8" s="21"/>
      <c r="EF8" s="54"/>
      <c r="EG8" s="54"/>
      <c r="EH8" s="54"/>
      <c r="EI8" s="54"/>
      <c r="EJ8" s="54"/>
      <c r="EK8" s="15"/>
      <c r="EL8" s="161"/>
      <c r="EM8" s="275"/>
      <c r="EN8" s="15"/>
      <c r="EO8" s="15"/>
      <c r="EP8" s="15"/>
      <c r="EQ8" s="275"/>
      <c r="ER8" s="275"/>
      <c r="ES8" s="275"/>
      <c r="ET8" s="275"/>
      <c r="EU8" s="15"/>
      <c r="EV8" s="15"/>
      <c r="EW8" s="15"/>
      <c r="EX8" s="15"/>
      <c r="EY8" s="15"/>
      <c r="EZ8" s="270"/>
      <c r="FA8" s="268"/>
      <c r="FB8" s="268"/>
      <c r="FC8" s="268"/>
      <c r="FD8" s="268"/>
      <c r="FE8" s="268"/>
      <c r="FF8" s="268"/>
      <c r="FG8" s="15"/>
      <c r="FH8" s="15"/>
      <c r="FI8" s="15"/>
      <c r="FJ8" s="15"/>
      <c r="FK8" s="15"/>
      <c r="FL8" s="15"/>
      <c r="FM8" s="54"/>
      <c r="FN8" s="54"/>
      <c r="FO8" s="15"/>
      <c r="FP8" s="137"/>
      <c r="FQ8" s="137"/>
      <c r="FR8" s="54"/>
      <c r="FS8" s="54"/>
      <c r="FT8" s="317"/>
      <c r="FU8" s="317"/>
      <c r="FV8" s="317"/>
      <c r="FW8" s="54"/>
      <c r="FX8" s="54"/>
      <c r="FY8" s="54"/>
      <c r="FZ8" s="54"/>
      <c r="GA8" s="21"/>
      <c r="GB8" s="54"/>
      <c r="GC8" s="21"/>
      <c r="GD8" s="54"/>
      <c r="GE8" s="54"/>
      <c r="GF8" s="54"/>
      <c r="GG8" s="54"/>
      <c r="GH8" s="54"/>
      <c r="GI8" s="54"/>
      <c r="GJ8" s="54"/>
      <c r="GK8" s="54"/>
      <c r="GL8" s="15"/>
      <c r="GM8" s="15"/>
      <c r="GN8" s="15"/>
      <c r="GO8" s="15"/>
      <c r="GP8" s="15"/>
      <c r="GQ8" s="15"/>
    </row>
    <row r="9" spans="1:199" ht="13.5" thickBot="1" x14ac:dyDescent="0.25">
      <c r="A9" s="199"/>
      <c r="B9" s="15"/>
      <c r="D9" s="15"/>
      <c r="E9" s="15"/>
      <c r="F9" s="8"/>
      <c r="G9" s="8"/>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296"/>
      <c r="BI9" s="296"/>
      <c r="BJ9" s="15"/>
      <c r="BK9" s="15"/>
      <c r="BL9" s="15"/>
      <c r="BM9" s="15"/>
      <c r="BN9" s="15"/>
      <c r="BO9" s="15"/>
      <c r="BP9" s="15"/>
      <c r="BQ9" s="15"/>
      <c r="BR9" s="15"/>
      <c r="BS9" s="15"/>
      <c r="BT9" s="15"/>
      <c r="BU9" s="15"/>
      <c r="BV9" s="15"/>
      <c r="BW9" s="15"/>
      <c r="BX9" s="15"/>
      <c r="BY9" s="15"/>
      <c r="BZ9" s="15"/>
      <c r="CA9" s="309"/>
      <c r="CB9" s="161"/>
      <c r="CC9" s="161"/>
      <c r="CD9" s="161"/>
      <c r="CE9" s="161"/>
      <c r="CF9" s="161"/>
      <c r="CG9" s="15"/>
      <c r="CH9" s="15"/>
      <c r="CI9" s="15"/>
      <c r="CJ9" s="15"/>
      <c r="CK9" s="15"/>
      <c r="CL9" s="15"/>
      <c r="CM9" s="15"/>
      <c r="CN9" s="15"/>
      <c r="CO9" s="15"/>
      <c r="CP9" s="15"/>
      <c r="CQ9" s="15"/>
      <c r="CR9" s="15"/>
      <c r="CS9" s="15"/>
      <c r="CT9" s="15"/>
      <c r="CU9" s="15"/>
      <c r="CV9" s="15"/>
      <c r="CW9" s="161"/>
      <c r="CX9" s="15"/>
      <c r="CY9" s="15"/>
      <c r="CZ9" s="15"/>
      <c r="DA9" s="15"/>
      <c r="DB9" s="15"/>
      <c r="DC9" s="15"/>
      <c r="DD9" s="15"/>
      <c r="DE9" s="161"/>
      <c r="DF9" s="15"/>
      <c r="DG9" s="161"/>
      <c r="DH9" s="161"/>
      <c r="DI9" s="161"/>
      <c r="DJ9" s="161"/>
      <c r="DK9" s="161"/>
      <c r="DL9" s="15"/>
      <c r="DM9" s="15"/>
      <c r="DN9" s="15"/>
      <c r="DO9" s="15"/>
      <c r="DP9" s="15"/>
      <c r="DQ9" s="8"/>
      <c r="DR9" s="8"/>
      <c r="DS9" s="8"/>
      <c r="DT9" s="8"/>
      <c r="DU9" s="8"/>
      <c r="DV9" s="8"/>
      <c r="DW9" s="8"/>
      <c r="DX9" s="8"/>
      <c r="DY9" s="8"/>
      <c r="DZ9" s="8"/>
      <c r="EA9" s="8"/>
      <c r="EB9" s="8"/>
      <c r="EC9" s="8"/>
      <c r="ED9" s="15"/>
      <c r="EE9" s="15"/>
      <c r="EF9" s="15"/>
      <c r="EG9" s="15"/>
      <c r="EH9" s="15"/>
      <c r="EI9" s="15"/>
      <c r="EJ9" s="15"/>
      <c r="EK9" s="15"/>
      <c r="EL9" s="161"/>
      <c r="EM9" s="275"/>
      <c r="EN9" s="15"/>
      <c r="EO9" s="15"/>
      <c r="EP9" s="15"/>
      <c r="EQ9" s="275"/>
      <c r="ER9" s="275"/>
      <c r="ES9" s="275"/>
      <c r="ET9" s="275"/>
      <c r="EU9" s="15"/>
      <c r="EV9" s="15"/>
      <c r="EW9" s="15"/>
      <c r="EX9" s="15"/>
      <c r="EY9" s="15"/>
      <c r="EZ9" s="268"/>
      <c r="FA9" s="268"/>
      <c r="FB9" s="268"/>
      <c r="FC9" s="268"/>
      <c r="FD9" s="268"/>
      <c r="FE9" s="268"/>
      <c r="FF9" s="268"/>
      <c r="FG9" s="15"/>
      <c r="FH9" s="15"/>
      <c r="FI9" s="15"/>
      <c r="FJ9" s="15"/>
      <c r="FK9" s="15"/>
      <c r="FL9" s="15"/>
      <c r="FM9" s="15"/>
      <c r="FN9" s="15"/>
      <c r="FO9" s="15"/>
      <c r="FP9" s="15"/>
      <c r="FQ9" s="15"/>
      <c r="FR9" s="15"/>
      <c r="FS9" s="15"/>
      <c r="FT9" s="318"/>
      <c r="FU9" s="318"/>
      <c r="FV9" s="318"/>
      <c r="FW9" s="15"/>
      <c r="FX9" s="15"/>
      <c r="FY9" s="15"/>
      <c r="FZ9" s="15"/>
      <c r="GA9" s="15"/>
      <c r="GB9" s="15"/>
      <c r="GC9" s="15"/>
      <c r="GD9" s="15"/>
      <c r="GE9" s="15"/>
      <c r="GF9" s="15"/>
      <c r="GG9" s="15"/>
      <c r="GH9" s="15"/>
      <c r="GI9" s="15"/>
      <c r="GJ9" s="15"/>
      <c r="GK9" s="15"/>
      <c r="GL9" s="54"/>
      <c r="GM9" s="54"/>
      <c r="GN9" s="54"/>
      <c r="GO9" s="54"/>
      <c r="GP9" s="54"/>
      <c r="GQ9" s="54"/>
    </row>
    <row r="10" spans="1:199" ht="14.25" thickTop="1" thickBot="1" x14ac:dyDescent="0.25">
      <c r="A10" s="199" t="s">
        <v>76</v>
      </c>
      <c r="B10" s="35" t="s">
        <v>265</v>
      </c>
      <c r="C10" s="35" t="s">
        <v>265</v>
      </c>
      <c r="D10" s="35" t="s">
        <v>265</v>
      </c>
      <c r="E10" s="35" t="s">
        <v>265</v>
      </c>
      <c r="F10" s="72" t="s">
        <v>442</v>
      </c>
      <c r="G10" s="72" t="s">
        <v>556</v>
      </c>
      <c r="H10" s="35" t="s">
        <v>265</v>
      </c>
      <c r="I10" s="35" t="s">
        <v>265</v>
      </c>
      <c r="J10" s="35" t="s">
        <v>265</v>
      </c>
      <c r="K10" s="35" t="s">
        <v>265</v>
      </c>
      <c r="L10" s="35" t="s">
        <v>265</v>
      </c>
      <c r="M10" s="35" t="s">
        <v>265</v>
      </c>
      <c r="N10" s="35" t="s">
        <v>265</v>
      </c>
      <c r="O10" s="35" t="s">
        <v>265</v>
      </c>
      <c r="P10" s="35" t="s">
        <v>265</v>
      </c>
      <c r="Q10" s="35" t="s">
        <v>265</v>
      </c>
      <c r="R10" s="35" t="s">
        <v>265</v>
      </c>
      <c r="S10" s="35" t="s">
        <v>265</v>
      </c>
      <c r="T10" s="35" t="s">
        <v>265</v>
      </c>
      <c r="U10" s="35" t="s">
        <v>265</v>
      </c>
      <c r="V10" s="35" t="s">
        <v>265</v>
      </c>
      <c r="W10" s="35" t="s">
        <v>265</v>
      </c>
      <c r="X10" s="35" t="s">
        <v>265</v>
      </c>
      <c r="Y10" s="35" t="s">
        <v>265</v>
      </c>
      <c r="Z10" s="35" t="s">
        <v>456</v>
      </c>
      <c r="AA10" s="35" t="s">
        <v>556</v>
      </c>
      <c r="AB10" s="35" t="s">
        <v>265</v>
      </c>
      <c r="AC10" s="35" t="s">
        <v>456</v>
      </c>
      <c r="AD10" s="35" t="s">
        <v>456</v>
      </c>
      <c r="AE10" s="35" t="s">
        <v>456</v>
      </c>
      <c r="AF10" s="35" t="s">
        <v>456</v>
      </c>
      <c r="AG10" s="35" t="s">
        <v>265</v>
      </c>
      <c r="AH10" s="35" t="s">
        <v>456</v>
      </c>
      <c r="AI10" s="35" t="s">
        <v>265</v>
      </c>
      <c r="AJ10" s="35" t="s">
        <v>265</v>
      </c>
      <c r="AK10" s="35" t="s">
        <v>265</v>
      </c>
      <c r="AL10" s="35" t="s">
        <v>265</v>
      </c>
      <c r="AM10" s="35" t="s">
        <v>456</v>
      </c>
      <c r="AN10" s="35" t="s">
        <v>456</v>
      </c>
      <c r="AO10" s="35" t="s">
        <v>456</v>
      </c>
      <c r="AP10" s="35" t="s">
        <v>265</v>
      </c>
      <c r="AQ10" s="35" t="s">
        <v>456</v>
      </c>
      <c r="AR10" s="35" t="s">
        <v>265</v>
      </c>
      <c r="AS10" s="35" t="s">
        <v>456</v>
      </c>
      <c r="AT10" s="35" t="s">
        <v>456</v>
      </c>
      <c r="AU10" s="35" t="s">
        <v>456</v>
      </c>
      <c r="AV10" s="35" t="s">
        <v>456</v>
      </c>
      <c r="AW10" s="35" t="s">
        <v>456</v>
      </c>
      <c r="AX10" s="35" t="s">
        <v>456</v>
      </c>
      <c r="AY10" s="35" t="s">
        <v>456</v>
      </c>
      <c r="AZ10" s="237" t="s">
        <v>456</v>
      </c>
      <c r="BA10" s="35" t="s">
        <v>456</v>
      </c>
      <c r="BB10" s="35" t="s">
        <v>456</v>
      </c>
      <c r="BC10" s="35" t="s">
        <v>456</v>
      </c>
      <c r="BD10" s="35" t="s">
        <v>456</v>
      </c>
      <c r="BE10" s="35" t="s">
        <v>456</v>
      </c>
      <c r="BF10" s="35" t="s">
        <v>456</v>
      </c>
      <c r="BG10" s="35" t="s">
        <v>456</v>
      </c>
      <c r="BH10" s="297" t="s">
        <v>265</v>
      </c>
      <c r="BI10" s="297" t="s">
        <v>456</v>
      </c>
      <c r="BJ10" s="35" t="s">
        <v>265</v>
      </c>
      <c r="BK10" s="35" t="s">
        <v>265</v>
      </c>
      <c r="BL10" s="35" t="s">
        <v>456</v>
      </c>
      <c r="BM10" s="35" t="s">
        <v>456</v>
      </c>
      <c r="BN10" s="35" t="s">
        <v>556</v>
      </c>
      <c r="BO10" s="35" t="s">
        <v>456</v>
      </c>
      <c r="BP10" s="35" t="s">
        <v>456</v>
      </c>
      <c r="BQ10" s="35" t="s">
        <v>456</v>
      </c>
      <c r="BR10" s="35" t="s">
        <v>456</v>
      </c>
      <c r="BS10" s="35" t="s">
        <v>456</v>
      </c>
      <c r="BT10" s="35" t="s">
        <v>456</v>
      </c>
      <c r="BU10" s="35" t="s">
        <v>456</v>
      </c>
      <c r="BV10" s="35" t="s">
        <v>265</v>
      </c>
      <c r="BW10" s="35" t="s">
        <v>265</v>
      </c>
      <c r="BX10" s="35" t="s">
        <v>265</v>
      </c>
      <c r="BY10" s="35" t="s">
        <v>456</v>
      </c>
      <c r="BZ10" s="35" t="s">
        <v>456</v>
      </c>
      <c r="CA10" s="311" t="s">
        <v>456</v>
      </c>
      <c r="CB10" s="35" t="s">
        <v>456</v>
      </c>
      <c r="CC10" s="35" t="s">
        <v>456</v>
      </c>
      <c r="CD10" s="35" t="s">
        <v>456</v>
      </c>
      <c r="CE10" s="35" t="s">
        <v>456</v>
      </c>
      <c r="CF10" s="35" t="s">
        <v>456</v>
      </c>
      <c r="CG10" s="35" t="s">
        <v>265</v>
      </c>
      <c r="CH10" s="35" t="s">
        <v>265</v>
      </c>
      <c r="CI10" s="35" t="s">
        <v>556</v>
      </c>
      <c r="CJ10" s="35" t="s">
        <v>556</v>
      </c>
      <c r="CK10" s="35" t="s">
        <v>556</v>
      </c>
      <c r="CL10" s="35" t="s">
        <v>456</v>
      </c>
      <c r="CM10" s="35" t="s">
        <v>456</v>
      </c>
      <c r="CN10" s="35" t="s">
        <v>456</v>
      </c>
      <c r="CO10" s="35" t="s">
        <v>456</v>
      </c>
      <c r="CP10" s="35" t="s">
        <v>456</v>
      </c>
      <c r="CQ10" s="35" t="s">
        <v>456</v>
      </c>
      <c r="CR10" s="35" t="s">
        <v>456</v>
      </c>
      <c r="CS10" s="35" t="s">
        <v>456</v>
      </c>
      <c r="CT10" s="35" t="s">
        <v>456</v>
      </c>
      <c r="CU10" s="35" t="s">
        <v>456</v>
      </c>
      <c r="CV10" s="35" t="s">
        <v>456</v>
      </c>
      <c r="CW10" s="35" t="s">
        <v>456</v>
      </c>
      <c r="CX10" s="35" t="s">
        <v>456</v>
      </c>
      <c r="CY10" s="35" t="s">
        <v>456</v>
      </c>
      <c r="CZ10" s="35" t="s">
        <v>456</v>
      </c>
      <c r="DA10" s="35" t="s">
        <v>456</v>
      </c>
      <c r="DB10" s="237" t="s">
        <v>456</v>
      </c>
      <c r="DC10" s="237" t="s">
        <v>456</v>
      </c>
      <c r="DD10" s="237" t="s">
        <v>456</v>
      </c>
      <c r="DE10" s="35" t="s">
        <v>456</v>
      </c>
      <c r="DF10" s="35" t="s">
        <v>456</v>
      </c>
      <c r="DG10" s="35" t="s">
        <v>456</v>
      </c>
      <c r="DH10" s="35" t="s">
        <v>456</v>
      </c>
      <c r="DI10" s="35" t="s">
        <v>456</v>
      </c>
      <c r="DJ10" s="237" t="s">
        <v>456</v>
      </c>
      <c r="DK10" s="237" t="s">
        <v>456</v>
      </c>
      <c r="DL10" s="237" t="s">
        <v>456</v>
      </c>
      <c r="DM10" s="35" t="s">
        <v>456</v>
      </c>
      <c r="DN10" s="35" t="s">
        <v>456</v>
      </c>
      <c r="DO10" s="35" t="s">
        <v>456</v>
      </c>
      <c r="DP10" s="35" t="s">
        <v>456</v>
      </c>
      <c r="DQ10" s="72" t="s">
        <v>569</v>
      </c>
      <c r="DR10" s="72" t="s">
        <v>569</v>
      </c>
      <c r="DS10" s="72" t="s">
        <v>569</v>
      </c>
      <c r="DT10" s="72" t="s">
        <v>569</v>
      </c>
      <c r="DU10" s="72" t="s">
        <v>569</v>
      </c>
      <c r="DV10" s="72" t="s">
        <v>569</v>
      </c>
      <c r="DW10" s="72" t="s">
        <v>456</v>
      </c>
      <c r="DX10" s="72" t="s">
        <v>456</v>
      </c>
      <c r="DY10" s="72" t="s">
        <v>456</v>
      </c>
      <c r="DZ10" s="72" t="s">
        <v>456</v>
      </c>
      <c r="EA10" s="72" t="s">
        <v>456</v>
      </c>
      <c r="EB10" s="72" t="s">
        <v>456</v>
      </c>
      <c r="EC10" s="72" t="s">
        <v>456</v>
      </c>
      <c r="ED10" s="35" t="s">
        <v>265</v>
      </c>
      <c r="EE10" s="35" t="s">
        <v>265</v>
      </c>
      <c r="EF10" s="35" t="s">
        <v>442</v>
      </c>
      <c r="EG10" s="35" t="s">
        <v>456</v>
      </c>
      <c r="EH10" s="35" t="s">
        <v>442</v>
      </c>
      <c r="EI10" s="35" t="s">
        <v>442</v>
      </c>
      <c r="EJ10" s="35" t="s">
        <v>442</v>
      </c>
      <c r="EK10" s="35" t="s">
        <v>456</v>
      </c>
      <c r="EL10" s="35" t="s">
        <v>456</v>
      </c>
      <c r="EM10" s="35" t="s">
        <v>456</v>
      </c>
      <c r="EN10" s="35" t="s">
        <v>456</v>
      </c>
      <c r="EO10" s="35" t="s">
        <v>456</v>
      </c>
      <c r="EP10" s="35" t="s">
        <v>456</v>
      </c>
      <c r="EQ10" s="35" t="s">
        <v>456</v>
      </c>
      <c r="ER10" s="35" t="s">
        <v>456</v>
      </c>
      <c r="ES10" s="35" t="s">
        <v>456</v>
      </c>
      <c r="ET10" s="35" t="s">
        <v>456</v>
      </c>
      <c r="EU10" s="35" t="s">
        <v>456</v>
      </c>
      <c r="EV10" s="35" t="s">
        <v>456</v>
      </c>
      <c r="EW10" s="35" t="s">
        <v>456</v>
      </c>
      <c r="EX10" s="35" t="s">
        <v>456</v>
      </c>
      <c r="EY10" s="35" t="s">
        <v>456</v>
      </c>
      <c r="EZ10" s="35" t="s">
        <v>456</v>
      </c>
      <c r="FA10" s="35" t="s">
        <v>456</v>
      </c>
      <c r="FB10" s="35" t="s">
        <v>456</v>
      </c>
      <c r="FC10" s="35" t="s">
        <v>456</v>
      </c>
      <c r="FD10" s="35" t="s">
        <v>456</v>
      </c>
      <c r="FE10" s="35" t="s">
        <v>456</v>
      </c>
      <c r="FF10" s="35" t="s">
        <v>456</v>
      </c>
      <c r="FG10" s="35" t="s">
        <v>456</v>
      </c>
      <c r="FH10" s="35" t="s">
        <v>456</v>
      </c>
      <c r="FI10" s="35" t="s">
        <v>456</v>
      </c>
      <c r="FJ10" s="35" t="s">
        <v>456</v>
      </c>
      <c r="FK10" s="35" t="s">
        <v>456</v>
      </c>
      <c r="FL10" s="35" t="s">
        <v>456</v>
      </c>
      <c r="FM10" s="35" t="s">
        <v>456</v>
      </c>
      <c r="FN10" s="35" t="s">
        <v>456</v>
      </c>
      <c r="FO10" s="35" t="s">
        <v>456</v>
      </c>
      <c r="FP10" s="35" t="s">
        <v>456</v>
      </c>
      <c r="FQ10" s="35" t="s">
        <v>556</v>
      </c>
      <c r="FR10" s="35" t="s">
        <v>265</v>
      </c>
      <c r="FS10" s="35" t="s">
        <v>265</v>
      </c>
      <c r="FT10" s="35" t="s">
        <v>265</v>
      </c>
      <c r="FU10" s="35" t="s">
        <v>265</v>
      </c>
      <c r="FV10" s="35" t="s">
        <v>456</v>
      </c>
      <c r="FW10" s="35" t="s">
        <v>456</v>
      </c>
      <c r="FX10" s="35" t="s">
        <v>456</v>
      </c>
      <c r="FY10" s="35" t="s">
        <v>456</v>
      </c>
      <c r="FZ10" s="35" t="s">
        <v>456</v>
      </c>
      <c r="GA10" s="35" t="s">
        <v>456</v>
      </c>
      <c r="GB10" s="35" t="s">
        <v>456</v>
      </c>
      <c r="GC10" s="35" t="s">
        <v>456</v>
      </c>
      <c r="GD10" s="35" t="s">
        <v>456</v>
      </c>
      <c r="GE10" s="35" t="s">
        <v>456</v>
      </c>
      <c r="GF10" s="35" t="s">
        <v>456</v>
      </c>
      <c r="GG10" s="35" t="s">
        <v>456</v>
      </c>
      <c r="GH10" s="35" t="s">
        <v>456</v>
      </c>
      <c r="GI10" s="35" t="s">
        <v>456</v>
      </c>
      <c r="GJ10" s="35" t="s">
        <v>456</v>
      </c>
      <c r="GK10" s="35" t="s">
        <v>456</v>
      </c>
      <c r="GL10" s="35" t="s">
        <v>456</v>
      </c>
      <c r="GM10" s="35" t="s">
        <v>456</v>
      </c>
      <c r="GN10" s="35" t="s">
        <v>456</v>
      </c>
      <c r="GO10" s="35" t="s">
        <v>456</v>
      </c>
      <c r="GP10" s="35" t="s">
        <v>456</v>
      </c>
      <c r="GQ10" s="35" t="s">
        <v>456</v>
      </c>
    </row>
    <row r="11" spans="1:199" ht="14.25" thickTop="1" thickBot="1" x14ac:dyDescent="0.25">
      <c r="A11" s="199" t="s">
        <v>99</v>
      </c>
      <c r="B11" s="60" t="s">
        <v>654</v>
      </c>
      <c r="C11" s="60" t="s">
        <v>510</v>
      </c>
      <c r="D11" s="82" t="s">
        <v>400</v>
      </c>
      <c r="E11" s="60" t="s">
        <v>302</v>
      </c>
      <c r="F11" s="132" t="s">
        <v>28</v>
      </c>
      <c r="G11" s="132" t="s">
        <v>67</v>
      </c>
      <c r="H11" s="82" t="s">
        <v>168</v>
      </c>
      <c r="I11" s="56" t="s">
        <v>310</v>
      </c>
      <c r="J11" s="56" t="s">
        <v>87</v>
      </c>
      <c r="K11" s="56" t="s">
        <v>228</v>
      </c>
      <c r="L11" s="56" t="s">
        <v>144</v>
      </c>
      <c r="M11" s="56" t="s">
        <v>429</v>
      </c>
      <c r="N11" s="56" t="s">
        <v>182</v>
      </c>
      <c r="O11" s="56" t="s">
        <v>298</v>
      </c>
      <c r="P11" s="56" t="s">
        <v>571</v>
      </c>
      <c r="Q11" s="56" t="s">
        <v>156</v>
      </c>
      <c r="R11" s="56" t="s">
        <v>299</v>
      </c>
      <c r="S11" s="56" t="s">
        <v>164</v>
      </c>
      <c r="T11" s="56" t="s">
        <v>403</v>
      </c>
      <c r="U11" s="56" t="s">
        <v>367</v>
      </c>
      <c r="V11" s="56" t="s">
        <v>105</v>
      </c>
      <c r="W11" s="56" t="s">
        <v>520</v>
      </c>
      <c r="X11" s="56" t="s">
        <v>469</v>
      </c>
      <c r="Y11" s="56" t="s">
        <v>432</v>
      </c>
      <c r="Z11" s="56" t="s">
        <v>75</v>
      </c>
      <c r="AA11" s="56" t="s">
        <v>666</v>
      </c>
      <c r="AB11" s="56" t="s">
        <v>111</v>
      </c>
      <c r="AC11" s="56" t="s">
        <v>289</v>
      </c>
      <c r="AD11" s="56" t="s">
        <v>308</v>
      </c>
      <c r="AE11" s="56" t="s">
        <v>411</v>
      </c>
      <c r="AF11" s="56" t="s">
        <v>425</v>
      </c>
      <c r="AG11" s="56" t="s">
        <v>431</v>
      </c>
      <c r="AH11" s="56" t="s">
        <v>696</v>
      </c>
      <c r="AI11" s="56" t="s">
        <v>15</v>
      </c>
      <c r="AJ11" s="56" t="s">
        <v>551</v>
      </c>
      <c r="AK11" s="56" t="s">
        <v>9</v>
      </c>
      <c r="AL11" s="56" t="s">
        <v>566</v>
      </c>
      <c r="AM11" s="56" t="s">
        <v>412</v>
      </c>
      <c r="AN11" s="56" t="s">
        <v>369</v>
      </c>
      <c r="AO11" s="56" t="s">
        <v>348</v>
      </c>
      <c r="AP11" s="56" t="s">
        <v>244</v>
      </c>
      <c r="AQ11" s="56" t="s">
        <v>488</v>
      </c>
      <c r="AR11" s="56" t="s">
        <v>397</v>
      </c>
      <c r="AS11" s="56" t="s">
        <v>440</v>
      </c>
      <c r="AT11" s="56" t="s">
        <v>445</v>
      </c>
      <c r="AU11" s="202" t="s">
        <v>119</v>
      </c>
      <c r="AV11" s="202" t="s">
        <v>580</v>
      </c>
      <c r="AW11" s="202" t="s">
        <v>64</v>
      </c>
      <c r="AX11" s="56" t="s">
        <v>471</v>
      </c>
      <c r="AY11" s="56" t="s">
        <v>539</v>
      </c>
      <c r="AZ11" s="202" t="s">
        <v>318</v>
      </c>
      <c r="BA11" s="202" t="s">
        <v>257</v>
      </c>
      <c r="BB11" s="202" t="s">
        <v>751</v>
      </c>
      <c r="BC11" s="202" t="s">
        <v>55</v>
      </c>
      <c r="BD11" s="56" t="s">
        <v>522</v>
      </c>
      <c r="BE11" s="202" t="s">
        <v>370</v>
      </c>
      <c r="BF11" s="202" t="s">
        <v>752</v>
      </c>
      <c r="BG11" s="202" t="s">
        <v>585</v>
      </c>
      <c r="BH11" s="298" t="s">
        <v>603</v>
      </c>
      <c r="BI11" s="298" t="s">
        <v>604</v>
      </c>
      <c r="BJ11" s="202" t="s">
        <v>565</v>
      </c>
      <c r="BK11" s="202" t="s">
        <v>354</v>
      </c>
      <c r="BL11" s="202" t="s">
        <v>93</v>
      </c>
      <c r="BM11" s="202" t="s">
        <v>198</v>
      </c>
      <c r="BN11" s="202" t="s">
        <v>249</v>
      </c>
      <c r="BO11" s="202" t="s">
        <v>152</v>
      </c>
      <c r="BP11" s="202" t="s">
        <v>547</v>
      </c>
      <c r="BQ11" s="202" t="s">
        <v>490</v>
      </c>
      <c r="BR11" s="202" t="s">
        <v>209</v>
      </c>
      <c r="BS11" s="202" t="s">
        <v>163</v>
      </c>
      <c r="BT11" s="202" t="s">
        <v>200</v>
      </c>
      <c r="BU11" s="202" t="s">
        <v>54</v>
      </c>
      <c r="BV11" s="202" t="s">
        <v>133</v>
      </c>
      <c r="BW11" s="202" t="s">
        <v>232</v>
      </c>
      <c r="BX11" s="202" t="s">
        <v>56</v>
      </c>
      <c r="BY11" s="202" t="s">
        <v>434</v>
      </c>
      <c r="BZ11" s="202" t="s">
        <v>108</v>
      </c>
      <c r="CA11" s="306" t="s">
        <v>657</v>
      </c>
      <c r="CB11" s="202" t="s">
        <v>659</v>
      </c>
      <c r="CC11" s="202" t="s">
        <v>661</v>
      </c>
      <c r="CD11" s="202" t="s">
        <v>648</v>
      </c>
      <c r="CE11" s="202" t="s">
        <v>649</v>
      </c>
      <c r="CF11" s="202" t="s">
        <v>650</v>
      </c>
      <c r="CG11" s="202" t="s">
        <v>327</v>
      </c>
      <c r="CH11" s="202" t="s">
        <v>356</v>
      </c>
      <c r="CI11" s="202" t="s">
        <v>513</v>
      </c>
      <c r="CJ11" s="202" t="s">
        <v>554</v>
      </c>
      <c r="CK11" s="202" t="s">
        <v>409</v>
      </c>
      <c r="CL11" s="202" t="s">
        <v>72</v>
      </c>
      <c r="CM11" s="202" t="s">
        <v>35</v>
      </c>
      <c r="CN11" s="202" t="s">
        <v>118</v>
      </c>
      <c r="CO11" s="202" t="s">
        <v>254</v>
      </c>
      <c r="CP11" s="202" t="s">
        <v>396</v>
      </c>
      <c r="CQ11" s="202" t="s">
        <v>279</v>
      </c>
      <c r="CR11" s="202" t="s">
        <v>66</v>
      </c>
      <c r="CS11" s="202" t="s">
        <v>568</v>
      </c>
      <c r="CT11" s="202" t="s">
        <v>712</v>
      </c>
      <c r="CU11" s="202" t="s">
        <v>371</v>
      </c>
      <c r="CV11" s="202" t="s">
        <v>497</v>
      </c>
      <c r="CW11" s="202" t="s">
        <v>699</v>
      </c>
      <c r="CX11" s="202" t="s">
        <v>320</v>
      </c>
      <c r="CY11" s="202" t="s">
        <v>509</v>
      </c>
      <c r="CZ11" s="202" t="s">
        <v>186</v>
      </c>
      <c r="DA11" s="202" t="s">
        <v>517</v>
      </c>
      <c r="DB11" s="146" t="s">
        <v>291</v>
      </c>
      <c r="DC11" s="146" t="s">
        <v>353</v>
      </c>
      <c r="DD11" s="146" t="s">
        <v>366</v>
      </c>
      <c r="DE11" s="171" t="s">
        <v>501</v>
      </c>
      <c r="DF11" s="202" t="s">
        <v>21</v>
      </c>
      <c r="DG11" s="171" t="s">
        <v>323</v>
      </c>
      <c r="DH11" s="171" t="s">
        <v>447</v>
      </c>
      <c r="DI11" s="171" t="s">
        <v>742</v>
      </c>
      <c r="DJ11" s="146" t="s">
        <v>678</v>
      </c>
      <c r="DK11" s="146" t="s">
        <v>679</v>
      </c>
      <c r="DL11" s="146" t="s">
        <v>262</v>
      </c>
      <c r="DM11" s="202" t="s">
        <v>255</v>
      </c>
      <c r="DN11" s="202" t="s">
        <v>541</v>
      </c>
      <c r="DO11" s="202" t="s">
        <v>395</v>
      </c>
      <c r="DP11" s="202" t="s">
        <v>499</v>
      </c>
      <c r="DQ11" s="2" t="s">
        <v>65</v>
      </c>
      <c r="DR11" s="2" t="s">
        <v>267</v>
      </c>
      <c r="DS11" s="2" t="s">
        <v>13</v>
      </c>
      <c r="DT11" s="2" t="s">
        <v>463</v>
      </c>
      <c r="DU11" s="2" t="s">
        <v>11</v>
      </c>
      <c r="DV11" s="2" t="s">
        <v>577</v>
      </c>
      <c r="DW11" s="2" t="s">
        <v>113</v>
      </c>
      <c r="DX11" s="2" t="s">
        <v>294</v>
      </c>
      <c r="DY11" s="2" t="s">
        <v>131</v>
      </c>
      <c r="DZ11" s="2" t="s">
        <v>450</v>
      </c>
      <c r="EA11" s="2" t="s">
        <v>437</v>
      </c>
      <c r="EB11" s="2" t="s">
        <v>14</v>
      </c>
      <c r="EC11" s="2" t="s">
        <v>172</v>
      </c>
      <c r="ED11" s="202" t="s">
        <v>670</v>
      </c>
      <c r="EE11" s="202" t="s">
        <v>250</v>
      </c>
      <c r="EF11" s="202" t="s">
        <v>663</v>
      </c>
      <c r="EG11" s="202" t="s">
        <v>711</v>
      </c>
      <c r="EH11" s="202" t="s">
        <v>704</v>
      </c>
      <c r="EI11" s="202" t="s">
        <v>0</v>
      </c>
      <c r="EJ11" s="202" t="s">
        <v>344</v>
      </c>
      <c r="EK11" s="171" t="s">
        <v>173</v>
      </c>
      <c r="EL11" s="171" t="s">
        <v>680</v>
      </c>
      <c r="EM11" s="171" t="s">
        <v>681</v>
      </c>
      <c r="EN11" s="171" t="s">
        <v>479</v>
      </c>
      <c r="EO11" s="171" t="s">
        <v>286</v>
      </c>
      <c r="EP11" s="171" t="s">
        <v>127</v>
      </c>
      <c r="EQ11" s="171" t="s">
        <v>552</v>
      </c>
      <c r="ER11" s="171" t="s">
        <v>194</v>
      </c>
      <c r="ES11" s="171" t="s">
        <v>19</v>
      </c>
      <c r="ET11" s="171" t="s">
        <v>408</v>
      </c>
      <c r="EU11" s="171" t="s">
        <v>563</v>
      </c>
      <c r="EV11" s="171" t="s">
        <v>358</v>
      </c>
      <c r="EW11" s="171" t="s">
        <v>319</v>
      </c>
      <c r="EX11" s="171" t="s">
        <v>207</v>
      </c>
      <c r="EY11" s="171" t="s">
        <v>558</v>
      </c>
      <c r="EZ11" s="202" t="s">
        <v>150</v>
      </c>
      <c r="FA11" s="171" t="s">
        <v>242</v>
      </c>
      <c r="FB11" s="171" t="s">
        <v>504</v>
      </c>
      <c r="FC11" s="171" t="s">
        <v>341</v>
      </c>
      <c r="FD11" s="171" t="s">
        <v>24</v>
      </c>
      <c r="FE11" s="171" t="s">
        <v>191</v>
      </c>
      <c r="FF11" s="171" t="s">
        <v>121</v>
      </c>
      <c r="FG11" s="171" t="s">
        <v>405</v>
      </c>
      <c r="FH11" s="171" t="s">
        <v>300</v>
      </c>
      <c r="FI11" s="171" t="s">
        <v>48</v>
      </c>
      <c r="FJ11" s="171" t="s">
        <v>500</v>
      </c>
      <c r="FK11" s="171" t="s">
        <v>388</v>
      </c>
      <c r="FL11" s="171" t="s">
        <v>491</v>
      </c>
      <c r="FM11" s="202" t="s">
        <v>567</v>
      </c>
      <c r="FN11" s="202" t="s">
        <v>126</v>
      </c>
      <c r="FO11" s="171" t="s">
        <v>528</v>
      </c>
      <c r="FP11" s="202" t="s">
        <v>483</v>
      </c>
      <c r="FQ11" s="202" t="s">
        <v>531</v>
      </c>
      <c r="FR11" s="202" t="s">
        <v>201</v>
      </c>
      <c r="FS11" s="202" t="s">
        <v>325</v>
      </c>
      <c r="FT11" s="202" t="s">
        <v>707</v>
      </c>
      <c r="FU11" s="202" t="s">
        <v>708</v>
      </c>
      <c r="FV11" s="202" t="s">
        <v>710</v>
      </c>
      <c r="FW11" s="202" t="s">
        <v>269</v>
      </c>
      <c r="FX11" s="202" t="s">
        <v>413</v>
      </c>
      <c r="FY11" s="202" t="s">
        <v>251</v>
      </c>
      <c r="FZ11" s="202" t="s">
        <v>465</v>
      </c>
      <c r="GA11" s="202" t="s">
        <v>51</v>
      </c>
      <c r="GB11" s="56" t="s">
        <v>283</v>
      </c>
      <c r="GC11" s="202" t="s">
        <v>542</v>
      </c>
      <c r="GD11" s="56" t="s">
        <v>576</v>
      </c>
      <c r="GE11" s="202" t="s">
        <v>112</v>
      </c>
      <c r="GF11" s="202" t="s">
        <v>363</v>
      </c>
      <c r="GG11" s="202" t="s">
        <v>185</v>
      </c>
      <c r="GH11" s="202" t="s">
        <v>345</v>
      </c>
      <c r="GI11" s="202" t="s">
        <v>180</v>
      </c>
      <c r="GJ11" s="202" t="s">
        <v>421</v>
      </c>
      <c r="GK11" s="202" t="s">
        <v>96</v>
      </c>
      <c r="GL11" s="202" t="s">
        <v>590</v>
      </c>
      <c r="GM11" s="202" t="s">
        <v>592</v>
      </c>
      <c r="GN11" s="202" t="s">
        <v>593</v>
      </c>
      <c r="GO11" s="202" t="s">
        <v>594</v>
      </c>
      <c r="GP11" s="202" t="s">
        <v>595</v>
      </c>
      <c r="GQ11" s="202" t="s">
        <v>596</v>
      </c>
    </row>
    <row r="12" spans="1:199" ht="14.25" thickTop="1" thickBot="1" x14ac:dyDescent="0.25">
      <c r="A12" s="199" t="s">
        <v>655</v>
      </c>
      <c r="B12" s="35" t="s">
        <v>265</v>
      </c>
      <c r="C12" s="35" t="s">
        <v>265</v>
      </c>
      <c r="D12" s="35" t="s">
        <v>265</v>
      </c>
      <c r="E12" s="35" t="s">
        <v>265</v>
      </c>
      <c r="F12" s="72" t="s">
        <v>442</v>
      </c>
      <c r="G12" s="72" t="s">
        <v>442</v>
      </c>
      <c r="H12" s="35" t="s">
        <v>265</v>
      </c>
      <c r="I12" s="35" t="s">
        <v>265</v>
      </c>
      <c r="J12" s="35" t="s">
        <v>265</v>
      </c>
      <c r="K12" s="35" t="s">
        <v>265</v>
      </c>
      <c r="L12" s="35" t="s">
        <v>265</v>
      </c>
      <c r="M12" s="35" t="s">
        <v>265</v>
      </c>
      <c r="N12" s="35" t="s">
        <v>265</v>
      </c>
      <c r="O12" s="35" t="s">
        <v>265</v>
      </c>
      <c r="P12" s="35" t="s">
        <v>265</v>
      </c>
      <c r="Q12" s="35" t="s">
        <v>265</v>
      </c>
      <c r="R12" s="35" t="s">
        <v>265</v>
      </c>
      <c r="S12" s="35" t="s">
        <v>265</v>
      </c>
      <c r="T12" s="35" t="s">
        <v>265</v>
      </c>
      <c r="U12" s="35" t="s">
        <v>265</v>
      </c>
      <c r="V12" s="35" t="s">
        <v>442</v>
      </c>
      <c r="W12" s="35" t="s">
        <v>265</v>
      </c>
      <c r="X12" s="35" t="s">
        <v>265</v>
      </c>
      <c r="Y12" s="35" t="s">
        <v>265</v>
      </c>
      <c r="Z12" s="35" t="s">
        <v>442</v>
      </c>
      <c r="AA12" s="35" t="s">
        <v>556</v>
      </c>
      <c r="AB12" s="35" t="s">
        <v>265</v>
      </c>
      <c r="AC12" s="35" t="s">
        <v>265</v>
      </c>
      <c r="AD12" s="35" t="s">
        <v>265</v>
      </c>
      <c r="AE12" s="35" t="s">
        <v>265</v>
      </c>
      <c r="AF12" s="35" t="s">
        <v>265</v>
      </c>
      <c r="AG12" s="35" t="s">
        <v>265</v>
      </c>
      <c r="AH12" s="35" t="s">
        <v>265</v>
      </c>
      <c r="AI12" s="35" t="s">
        <v>265</v>
      </c>
      <c r="AJ12" s="35" t="s">
        <v>265</v>
      </c>
      <c r="AK12" s="35" t="s">
        <v>265</v>
      </c>
      <c r="AL12" s="35" t="s">
        <v>265</v>
      </c>
      <c r="AM12" s="35" t="s">
        <v>456</v>
      </c>
      <c r="AN12" s="35" t="s">
        <v>456</v>
      </c>
      <c r="AO12" s="35" t="s">
        <v>265</v>
      </c>
      <c r="AP12" s="35" t="s">
        <v>265</v>
      </c>
      <c r="AQ12" s="35" t="s">
        <v>265</v>
      </c>
      <c r="AR12" s="35" t="s">
        <v>265</v>
      </c>
      <c r="AS12" s="35" t="s">
        <v>265</v>
      </c>
      <c r="AT12" s="35" t="s">
        <v>265</v>
      </c>
      <c r="AU12" s="35" t="s">
        <v>265</v>
      </c>
      <c r="AV12" s="35" t="s">
        <v>265</v>
      </c>
      <c r="AW12" s="35" t="s">
        <v>265</v>
      </c>
      <c r="AX12" s="35" t="s">
        <v>265</v>
      </c>
      <c r="AY12" s="35" t="s">
        <v>442</v>
      </c>
      <c r="AZ12" s="237" t="s">
        <v>265</v>
      </c>
      <c r="BA12" s="35" t="s">
        <v>265</v>
      </c>
      <c r="BB12" s="35" t="s">
        <v>265</v>
      </c>
      <c r="BC12" s="35" t="s">
        <v>265</v>
      </c>
      <c r="BD12" s="35" t="s">
        <v>265</v>
      </c>
      <c r="BE12" s="35" t="s">
        <v>265</v>
      </c>
      <c r="BF12" s="35" t="s">
        <v>265</v>
      </c>
      <c r="BG12" s="35" t="s">
        <v>265</v>
      </c>
      <c r="BH12" s="297" t="s">
        <v>265</v>
      </c>
      <c r="BI12" s="297" t="s">
        <v>265</v>
      </c>
      <c r="BJ12" s="35" t="s">
        <v>265</v>
      </c>
      <c r="BK12" s="35" t="s">
        <v>265</v>
      </c>
      <c r="BL12" s="35" t="s">
        <v>265</v>
      </c>
      <c r="BM12" s="35" t="s">
        <v>265</v>
      </c>
      <c r="BN12" s="35" t="s">
        <v>265</v>
      </c>
      <c r="BO12" s="35" t="s">
        <v>442</v>
      </c>
      <c r="BP12" s="35" t="s">
        <v>265</v>
      </c>
      <c r="BQ12" s="35" t="s">
        <v>265</v>
      </c>
      <c r="BR12" s="35" t="s">
        <v>265</v>
      </c>
      <c r="BS12" s="35" t="s">
        <v>265</v>
      </c>
      <c r="BT12" s="35" t="s">
        <v>265</v>
      </c>
      <c r="BU12" s="35" t="s">
        <v>265</v>
      </c>
      <c r="BV12" s="35"/>
      <c r="BW12" s="35"/>
      <c r="BX12" s="35"/>
      <c r="BY12" s="35"/>
      <c r="BZ12" s="35"/>
      <c r="CA12" s="311"/>
      <c r="CB12" s="35"/>
      <c r="CC12" s="35"/>
      <c r="CD12" s="35"/>
      <c r="CE12" s="35"/>
      <c r="CF12" s="35"/>
      <c r="CG12" s="35" t="s">
        <v>265</v>
      </c>
      <c r="CH12" s="35" t="s">
        <v>265</v>
      </c>
      <c r="CI12" s="35" t="s">
        <v>265</v>
      </c>
      <c r="CJ12" s="35" t="s">
        <v>265</v>
      </c>
      <c r="CK12" s="35" t="s">
        <v>265</v>
      </c>
      <c r="CL12" s="35" t="s">
        <v>265</v>
      </c>
      <c r="CM12" s="35" t="s">
        <v>265</v>
      </c>
      <c r="CN12" s="35" t="s">
        <v>442</v>
      </c>
      <c r="CO12" s="35" t="s">
        <v>442</v>
      </c>
      <c r="CP12" s="35" t="s">
        <v>442</v>
      </c>
      <c r="CQ12" s="35" t="s">
        <v>442</v>
      </c>
      <c r="CR12" s="35" t="s">
        <v>442</v>
      </c>
      <c r="CS12" s="35" t="s">
        <v>442</v>
      </c>
      <c r="CT12" s="35" t="s">
        <v>442</v>
      </c>
      <c r="CU12" s="35" t="s">
        <v>442</v>
      </c>
      <c r="CV12" s="35" t="s">
        <v>442</v>
      </c>
      <c r="CW12" s="35" t="s">
        <v>442</v>
      </c>
      <c r="CX12" s="35" t="s">
        <v>442</v>
      </c>
      <c r="CY12" s="35" t="s">
        <v>442</v>
      </c>
      <c r="CZ12" s="35" t="s">
        <v>442</v>
      </c>
      <c r="DA12" s="35" t="s">
        <v>442</v>
      </c>
      <c r="DB12" s="35" t="s">
        <v>442</v>
      </c>
      <c r="DC12" s="35" t="s">
        <v>442</v>
      </c>
      <c r="DD12" s="237" t="s">
        <v>442</v>
      </c>
      <c r="DE12" s="35"/>
      <c r="DF12" s="35"/>
      <c r="DG12" s="35" t="s">
        <v>265</v>
      </c>
      <c r="DH12" s="35" t="s">
        <v>265</v>
      </c>
      <c r="DI12" s="35" t="s">
        <v>456</v>
      </c>
      <c r="DJ12" s="237" t="s">
        <v>442</v>
      </c>
      <c r="DK12" s="237" t="s">
        <v>265</v>
      </c>
      <c r="DL12" s="237" t="s">
        <v>442</v>
      </c>
      <c r="DM12" s="35" t="s">
        <v>442</v>
      </c>
      <c r="DN12" s="35" t="s">
        <v>456</v>
      </c>
      <c r="DO12" s="35"/>
      <c r="DP12" s="35"/>
      <c r="DQ12" s="72"/>
      <c r="DR12" s="72"/>
      <c r="DS12" s="72"/>
      <c r="DT12" s="72"/>
      <c r="DU12" s="72"/>
      <c r="DV12" s="72"/>
      <c r="DW12" s="72"/>
      <c r="DX12" s="72"/>
      <c r="DY12" s="72"/>
      <c r="DZ12" s="72"/>
      <c r="EA12" s="72"/>
      <c r="EB12" s="72"/>
      <c r="EC12" s="72"/>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c r="FB12" s="35"/>
      <c r="FC12" s="35"/>
      <c r="FD12" s="35"/>
      <c r="FE12" s="35"/>
      <c r="FF12" s="35"/>
      <c r="FG12" s="35"/>
      <c r="FH12" s="35"/>
      <c r="FI12" s="35"/>
      <c r="FJ12" s="35"/>
      <c r="FK12" s="35"/>
      <c r="FL12" s="35"/>
      <c r="FM12" s="35"/>
      <c r="FN12" s="35"/>
      <c r="FO12" s="35"/>
      <c r="FP12" s="35"/>
      <c r="FQ12" s="35"/>
      <c r="FR12" s="35" t="s">
        <v>456</v>
      </c>
      <c r="FS12" s="35" t="s">
        <v>456</v>
      </c>
      <c r="FT12" s="35"/>
      <c r="FU12" s="35"/>
      <c r="FV12" s="35"/>
      <c r="FW12" s="35"/>
      <c r="FX12" s="35"/>
      <c r="FY12" s="35"/>
      <c r="FZ12" s="35"/>
      <c r="GA12" s="35" t="s">
        <v>265</v>
      </c>
      <c r="GB12" s="35" t="s">
        <v>265</v>
      </c>
      <c r="GC12" s="35" t="s">
        <v>265</v>
      </c>
      <c r="GD12" s="35" t="s">
        <v>265</v>
      </c>
      <c r="GE12" s="35"/>
      <c r="GF12" s="35"/>
      <c r="GG12" s="35"/>
      <c r="GH12" s="35"/>
      <c r="GI12" s="35"/>
      <c r="GJ12" s="35"/>
      <c r="GK12" s="35"/>
      <c r="GL12" s="35"/>
      <c r="GM12" s="35"/>
      <c r="GN12" s="35"/>
      <c r="GO12" s="35"/>
      <c r="GP12" s="35"/>
      <c r="GQ12" s="35"/>
    </row>
    <row r="13" spans="1:199" ht="14.25" thickTop="1" thickBot="1" x14ac:dyDescent="0.25">
      <c r="A13" s="199" t="s">
        <v>656</v>
      </c>
      <c r="B13" s="60" t="s">
        <v>654</v>
      </c>
      <c r="C13" s="60" t="s">
        <v>510</v>
      </c>
      <c r="D13" s="82" t="s">
        <v>400</v>
      </c>
      <c r="E13" s="60" t="s">
        <v>302</v>
      </c>
      <c r="F13" s="132" t="s">
        <v>28</v>
      </c>
      <c r="G13" s="132" t="s">
        <v>67</v>
      </c>
      <c r="H13" s="82" t="s">
        <v>168</v>
      </c>
      <c r="I13" s="56" t="s">
        <v>310</v>
      </c>
      <c r="J13" s="56" t="s">
        <v>87</v>
      </c>
      <c r="K13" s="56" t="s">
        <v>228</v>
      </c>
      <c r="L13" s="56" t="s">
        <v>144</v>
      </c>
      <c r="M13" s="56" t="s">
        <v>429</v>
      </c>
      <c r="N13" s="56" t="s">
        <v>182</v>
      </c>
      <c r="O13" s="56" t="s">
        <v>298</v>
      </c>
      <c r="P13" s="56" t="s">
        <v>571</v>
      </c>
      <c r="Q13" s="56" t="s">
        <v>156</v>
      </c>
      <c r="R13" s="56" t="s">
        <v>299</v>
      </c>
      <c r="S13" s="56" t="s">
        <v>164</v>
      </c>
      <c r="T13" s="56" t="s">
        <v>403</v>
      </c>
      <c r="U13" s="56" t="s">
        <v>367</v>
      </c>
      <c r="V13" s="56" t="s">
        <v>105</v>
      </c>
      <c r="W13" s="56" t="s">
        <v>520</v>
      </c>
      <c r="X13" s="56" t="s">
        <v>469</v>
      </c>
      <c r="Y13" s="56" t="s">
        <v>432</v>
      </c>
      <c r="Z13" s="56" t="s">
        <v>75</v>
      </c>
      <c r="AA13" s="56" t="s">
        <v>666</v>
      </c>
      <c r="AB13" s="56" t="s">
        <v>111</v>
      </c>
      <c r="AC13" s="56" t="s">
        <v>289</v>
      </c>
      <c r="AD13" s="56" t="s">
        <v>308</v>
      </c>
      <c r="AE13" s="56" t="s">
        <v>411</v>
      </c>
      <c r="AF13" s="56" t="s">
        <v>425</v>
      </c>
      <c r="AG13" s="56" t="s">
        <v>431</v>
      </c>
      <c r="AH13" s="56" t="s">
        <v>696</v>
      </c>
      <c r="AI13" s="56" t="s">
        <v>15</v>
      </c>
      <c r="AJ13" s="56" t="s">
        <v>551</v>
      </c>
      <c r="AK13" s="56" t="s">
        <v>9</v>
      </c>
      <c r="AL13" s="56" t="s">
        <v>566</v>
      </c>
      <c r="AM13" s="56" t="s">
        <v>412</v>
      </c>
      <c r="AN13" s="56" t="s">
        <v>369</v>
      </c>
      <c r="AO13" s="56" t="s">
        <v>348</v>
      </c>
      <c r="AP13" s="56" t="s">
        <v>244</v>
      </c>
      <c r="AQ13" s="56" t="s">
        <v>488</v>
      </c>
      <c r="AR13" s="56" t="s">
        <v>397</v>
      </c>
      <c r="AS13" s="56" t="s">
        <v>440</v>
      </c>
      <c r="AT13" s="56" t="s">
        <v>445</v>
      </c>
      <c r="AU13" s="202" t="s">
        <v>119</v>
      </c>
      <c r="AV13" s="202" t="s">
        <v>580</v>
      </c>
      <c r="AW13" s="202" t="s">
        <v>64</v>
      </c>
      <c r="AX13" s="56" t="s">
        <v>471</v>
      </c>
      <c r="AY13" s="56" t="s">
        <v>539</v>
      </c>
      <c r="AZ13" s="202" t="s">
        <v>318</v>
      </c>
      <c r="BA13" s="202" t="s">
        <v>257</v>
      </c>
      <c r="BB13" s="202" t="s">
        <v>751</v>
      </c>
      <c r="BC13" s="202" t="s">
        <v>55</v>
      </c>
      <c r="BD13" s="56" t="s">
        <v>522</v>
      </c>
      <c r="BE13" s="202" t="s">
        <v>370</v>
      </c>
      <c r="BF13" s="202" t="s">
        <v>752</v>
      </c>
      <c r="BG13" s="202" t="s">
        <v>585</v>
      </c>
      <c r="BH13" s="298" t="s">
        <v>603</v>
      </c>
      <c r="BI13" s="298" t="s">
        <v>604</v>
      </c>
      <c r="BJ13" s="202" t="s">
        <v>565</v>
      </c>
      <c r="BK13" s="202" t="s">
        <v>354</v>
      </c>
      <c r="BL13" s="202" t="s">
        <v>93</v>
      </c>
      <c r="BM13" s="202" t="s">
        <v>198</v>
      </c>
      <c r="BN13" s="202" t="s">
        <v>249</v>
      </c>
      <c r="BO13" s="202" t="s">
        <v>152</v>
      </c>
      <c r="BP13" s="202" t="s">
        <v>547</v>
      </c>
      <c r="BQ13" s="202" t="s">
        <v>490</v>
      </c>
      <c r="BR13" s="202" t="s">
        <v>209</v>
      </c>
      <c r="BS13" s="202" t="s">
        <v>163</v>
      </c>
      <c r="BT13" s="202" t="s">
        <v>200</v>
      </c>
      <c r="BU13" s="202" t="s">
        <v>54</v>
      </c>
      <c r="BV13" s="202"/>
      <c r="BW13" s="202"/>
      <c r="BX13" s="202"/>
      <c r="BY13" s="202"/>
      <c r="BZ13" s="202"/>
      <c r="CA13" s="306"/>
      <c r="CB13" s="202"/>
      <c r="CC13" s="202"/>
      <c r="CD13" s="202"/>
      <c r="CE13" s="202"/>
      <c r="CF13" s="202"/>
      <c r="CG13" s="202" t="s">
        <v>327</v>
      </c>
      <c r="CH13" s="202" t="s">
        <v>356</v>
      </c>
      <c r="CI13" s="202" t="s">
        <v>657</v>
      </c>
      <c r="CJ13" s="202" t="s">
        <v>659</v>
      </c>
      <c r="CK13" s="202" t="s">
        <v>661</v>
      </c>
      <c r="CL13" s="202" t="s">
        <v>72</v>
      </c>
      <c r="CM13" s="202" t="s">
        <v>35</v>
      </c>
      <c r="CN13" s="202" t="s">
        <v>118</v>
      </c>
      <c r="CO13" s="202" t="s">
        <v>254</v>
      </c>
      <c r="CP13" s="202" t="s">
        <v>396</v>
      </c>
      <c r="CQ13" s="202" t="s">
        <v>279</v>
      </c>
      <c r="CR13" s="202" t="s">
        <v>66</v>
      </c>
      <c r="CS13" s="202" t="s">
        <v>568</v>
      </c>
      <c r="CT13" s="202" t="s">
        <v>712</v>
      </c>
      <c r="CU13" s="202" t="s">
        <v>371</v>
      </c>
      <c r="CV13" s="202" t="s">
        <v>497</v>
      </c>
      <c r="CW13" s="202" t="s">
        <v>699</v>
      </c>
      <c r="CX13" s="202" t="s">
        <v>320</v>
      </c>
      <c r="CY13" s="202" t="s">
        <v>509</v>
      </c>
      <c r="CZ13" s="202" t="s">
        <v>186</v>
      </c>
      <c r="DA13" s="202" t="s">
        <v>517</v>
      </c>
      <c r="DB13" s="146" t="s">
        <v>291</v>
      </c>
      <c r="DC13" s="146" t="s">
        <v>353</v>
      </c>
      <c r="DD13" s="146" t="s">
        <v>366</v>
      </c>
      <c r="DE13" s="171"/>
      <c r="DF13" s="202"/>
      <c r="DG13" s="171" t="s">
        <v>323</v>
      </c>
      <c r="DH13" s="171" t="s">
        <v>447</v>
      </c>
      <c r="DI13" s="171" t="s">
        <v>742</v>
      </c>
      <c r="DJ13" s="146" t="s">
        <v>678</v>
      </c>
      <c r="DK13" s="146" t="s">
        <v>679</v>
      </c>
      <c r="DL13" s="146" t="s">
        <v>262</v>
      </c>
      <c r="DM13" s="202" t="s">
        <v>255</v>
      </c>
      <c r="DN13" s="202" t="s">
        <v>714</v>
      </c>
      <c r="DO13" s="202"/>
      <c r="DP13" s="202"/>
      <c r="DQ13" s="2"/>
      <c r="DR13" s="2"/>
      <c r="DS13" s="2"/>
      <c r="DT13" s="2"/>
      <c r="DU13" s="2"/>
      <c r="DV13" s="2"/>
      <c r="DW13" s="2"/>
      <c r="DX13" s="2"/>
      <c r="DY13" s="2"/>
      <c r="DZ13" s="2"/>
      <c r="EA13" s="2"/>
      <c r="EB13" s="2"/>
      <c r="EC13" s="2"/>
      <c r="ED13" s="202"/>
      <c r="EE13" s="202"/>
      <c r="EF13" s="202"/>
      <c r="EG13" s="202"/>
      <c r="EH13" s="202"/>
      <c r="EI13" s="202"/>
      <c r="EJ13" s="202"/>
      <c r="EK13" s="171"/>
      <c r="EL13" s="171"/>
      <c r="EM13" s="171"/>
      <c r="EN13" s="171"/>
      <c r="EO13" s="171"/>
      <c r="EP13" s="171"/>
      <c r="EQ13" s="171"/>
      <c r="ER13" s="171"/>
      <c r="ES13" s="171"/>
      <c r="ET13" s="171"/>
      <c r="EU13" s="171"/>
      <c r="EV13" s="171"/>
      <c r="EW13" s="171"/>
      <c r="EX13" s="171"/>
      <c r="EY13" s="171"/>
      <c r="EZ13" s="202"/>
      <c r="FA13" s="171"/>
      <c r="FB13" s="171"/>
      <c r="FC13" s="171"/>
      <c r="FD13" s="171"/>
      <c r="FE13" s="171"/>
      <c r="FF13" s="171"/>
      <c r="FG13" s="171"/>
      <c r="FH13" s="171"/>
      <c r="FI13" s="171"/>
      <c r="FJ13" s="171"/>
      <c r="FK13" s="171"/>
      <c r="FL13" s="171"/>
      <c r="FM13" s="202"/>
      <c r="FN13" s="202"/>
      <c r="FO13" s="171"/>
      <c r="FP13" s="202"/>
      <c r="FQ13" s="202"/>
      <c r="FR13" s="202" t="s">
        <v>201</v>
      </c>
      <c r="FS13" s="202" t="s">
        <v>325</v>
      </c>
      <c r="FT13" s="202"/>
      <c r="FU13" s="202"/>
      <c r="FV13" s="202"/>
      <c r="FW13" s="202"/>
      <c r="FX13" s="202"/>
      <c r="FY13" s="202"/>
      <c r="FZ13" s="202"/>
      <c r="GA13" s="202" t="s">
        <v>51</v>
      </c>
      <c r="GB13" s="56" t="s">
        <v>283</v>
      </c>
      <c r="GC13" s="202" t="s">
        <v>542</v>
      </c>
      <c r="GD13" s="56" t="s">
        <v>576</v>
      </c>
      <c r="GE13" s="202"/>
      <c r="GF13" s="202"/>
      <c r="GG13" s="202"/>
      <c r="GH13" s="202"/>
      <c r="GI13" s="202"/>
      <c r="GJ13" s="202"/>
      <c r="GK13" s="202"/>
      <c r="GL13" s="202"/>
      <c r="GM13" s="202"/>
      <c r="GN13" s="202"/>
      <c r="GO13" s="202"/>
      <c r="GP13" s="202"/>
      <c r="GQ13" s="202"/>
    </row>
    <row r="14" spans="1:199" ht="14.25" thickTop="1" thickBot="1" x14ac:dyDescent="0.25">
      <c r="A14" s="199" t="s">
        <v>104</v>
      </c>
      <c r="B14" s="35" t="s">
        <v>265</v>
      </c>
      <c r="C14" s="35" t="s">
        <v>265</v>
      </c>
      <c r="D14" s="35" t="s">
        <v>265</v>
      </c>
      <c r="E14" s="35" t="s">
        <v>265</v>
      </c>
      <c r="F14" s="72" t="s">
        <v>442</v>
      </c>
      <c r="G14" s="72" t="s">
        <v>556</v>
      </c>
      <c r="H14" s="35" t="s">
        <v>265</v>
      </c>
      <c r="I14" s="35" t="s">
        <v>265</v>
      </c>
      <c r="J14" s="35" t="s">
        <v>265</v>
      </c>
      <c r="K14" s="35" t="s">
        <v>265</v>
      </c>
      <c r="L14" s="35" t="s">
        <v>265</v>
      </c>
      <c r="M14" s="35" t="s">
        <v>265</v>
      </c>
      <c r="N14" s="35" t="s">
        <v>265</v>
      </c>
      <c r="O14" s="35" t="s">
        <v>265</v>
      </c>
      <c r="P14" s="35" t="s">
        <v>265</v>
      </c>
      <c r="Q14" s="35" t="s">
        <v>265</v>
      </c>
      <c r="R14" s="35" t="s">
        <v>265</v>
      </c>
      <c r="S14" s="35" t="s">
        <v>265</v>
      </c>
      <c r="T14" s="35" t="s">
        <v>265</v>
      </c>
      <c r="U14" s="35" t="s">
        <v>265</v>
      </c>
      <c r="V14" s="35" t="s">
        <v>265</v>
      </c>
      <c r="W14" s="35" t="s">
        <v>265</v>
      </c>
      <c r="X14" s="35" t="s">
        <v>265</v>
      </c>
      <c r="Y14" s="35" t="s">
        <v>265</v>
      </c>
      <c r="Z14" s="35" t="s">
        <v>265</v>
      </c>
      <c r="AA14" s="35" t="s">
        <v>556</v>
      </c>
      <c r="AB14" s="35" t="s">
        <v>265</v>
      </c>
      <c r="AC14" s="35" t="s">
        <v>265</v>
      </c>
      <c r="AD14" s="35" t="s">
        <v>265</v>
      </c>
      <c r="AE14" s="35" t="s">
        <v>265</v>
      </c>
      <c r="AF14" s="35" t="s">
        <v>265</v>
      </c>
      <c r="AG14" s="35" t="s">
        <v>265</v>
      </c>
      <c r="AH14" s="35" t="s">
        <v>265</v>
      </c>
      <c r="AI14" s="35" t="s">
        <v>265</v>
      </c>
      <c r="AJ14" s="35" t="s">
        <v>265</v>
      </c>
      <c r="AK14" s="35" t="s">
        <v>265</v>
      </c>
      <c r="AL14" s="35" t="s">
        <v>265</v>
      </c>
      <c r="AM14" s="35" t="s">
        <v>442</v>
      </c>
      <c r="AN14" s="35" t="s">
        <v>442</v>
      </c>
      <c r="AO14" s="35" t="s">
        <v>265</v>
      </c>
      <c r="AP14" s="35" t="s">
        <v>265</v>
      </c>
      <c r="AQ14" s="35" t="s">
        <v>265</v>
      </c>
      <c r="AR14" s="35" t="s">
        <v>265</v>
      </c>
      <c r="AS14" s="35" t="s">
        <v>265</v>
      </c>
      <c r="AT14" s="35" t="s">
        <v>265</v>
      </c>
      <c r="AU14" s="35" t="s">
        <v>265</v>
      </c>
      <c r="AV14" s="35" t="s">
        <v>265</v>
      </c>
      <c r="AW14" s="35" t="s">
        <v>265</v>
      </c>
      <c r="AX14" s="35" t="s">
        <v>265</v>
      </c>
      <c r="AY14" s="35" t="s">
        <v>265</v>
      </c>
      <c r="AZ14" s="35" t="s">
        <v>265</v>
      </c>
      <c r="BA14" s="35" t="s">
        <v>265</v>
      </c>
      <c r="BB14" s="35" t="s">
        <v>265</v>
      </c>
      <c r="BC14" s="35" t="s">
        <v>265</v>
      </c>
      <c r="BD14" s="35" t="s">
        <v>265</v>
      </c>
      <c r="BE14" s="35" t="s">
        <v>265</v>
      </c>
      <c r="BF14" s="35" t="s">
        <v>265</v>
      </c>
      <c r="BG14" s="35" t="s">
        <v>265</v>
      </c>
      <c r="BH14" s="297" t="s">
        <v>265</v>
      </c>
      <c r="BI14" s="297" t="s">
        <v>265</v>
      </c>
      <c r="BJ14" s="35" t="s">
        <v>265</v>
      </c>
      <c r="BK14" s="35" t="s">
        <v>265</v>
      </c>
      <c r="BL14" s="35" t="s">
        <v>265</v>
      </c>
      <c r="BM14" s="35" t="s">
        <v>265</v>
      </c>
      <c r="BN14" s="35" t="s">
        <v>265</v>
      </c>
      <c r="BO14" s="35" t="s">
        <v>265</v>
      </c>
      <c r="BP14" s="35" t="s">
        <v>265</v>
      </c>
      <c r="BQ14" s="35" t="s">
        <v>265</v>
      </c>
      <c r="BR14" s="35" t="s">
        <v>265</v>
      </c>
      <c r="BS14" s="35" t="s">
        <v>265</v>
      </c>
      <c r="BT14" s="35" t="s">
        <v>265</v>
      </c>
      <c r="BU14" s="35" t="s">
        <v>265</v>
      </c>
      <c r="BV14" s="35" t="s">
        <v>265</v>
      </c>
      <c r="BW14" s="35" t="s">
        <v>265</v>
      </c>
      <c r="BX14" s="35" t="s">
        <v>265</v>
      </c>
      <c r="BY14" s="35" t="s">
        <v>265</v>
      </c>
      <c r="BZ14" s="35" t="s">
        <v>265</v>
      </c>
      <c r="CA14" s="311" t="s">
        <v>265</v>
      </c>
      <c r="CB14" s="35" t="s">
        <v>265</v>
      </c>
      <c r="CC14" s="35" t="s">
        <v>265</v>
      </c>
      <c r="CD14" s="35" t="s">
        <v>265</v>
      </c>
      <c r="CE14" s="35" t="s">
        <v>265</v>
      </c>
      <c r="CF14" s="35" t="s">
        <v>265</v>
      </c>
      <c r="CG14" s="35" t="s">
        <v>265</v>
      </c>
      <c r="CH14" s="35" t="s">
        <v>265</v>
      </c>
      <c r="CI14" s="35" t="s">
        <v>442</v>
      </c>
      <c r="CJ14" s="35" t="s">
        <v>442</v>
      </c>
      <c r="CK14" s="35" t="s">
        <v>442</v>
      </c>
      <c r="CL14" s="35" t="s">
        <v>265</v>
      </c>
      <c r="CM14" s="35" t="s">
        <v>265</v>
      </c>
      <c r="CN14" s="35" t="s">
        <v>442</v>
      </c>
      <c r="CO14" s="35" t="s">
        <v>442</v>
      </c>
      <c r="CP14" s="35" t="s">
        <v>265</v>
      </c>
      <c r="CQ14" s="35" t="s">
        <v>456</v>
      </c>
      <c r="CR14" s="35" t="s">
        <v>456</v>
      </c>
      <c r="CS14" s="35" t="s">
        <v>442</v>
      </c>
      <c r="CT14" s="35" t="s">
        <v>456</v>
      </c>
      <c r="CU14" s="35" t="s">
        <v>442</v>
      </c>
      <c r="CV14" s="35" t="s">
        <v>456</v>
      </c>
      <c r="CW14" s="35" t="s">
        <v>265</v>
      </c>
      <c r="CX14" s="35" t="s">
        <v>456</v>
      </c>
      <c r="CY14" s="35" t="s">
        <v>456</v>
      </c>
      <c r="CZ14" s="35" t="s">
        <v>442</v>
      </c>
      <c r="DA14" s="35" t="s">
        <v>442</v>
      </c>
      <c r="DB14" s="237" t="s">
        <v>456</v>
      </c>
      <c r="DC14" s="237" t="s">
        <v>456</v>
      </c>
      <c r="DD14" s="237" t="s">
        <v>456</v>
      </c>
      <c r="DF14" s="35" t="s">
        <v>265</v>
      </c>
      <c r="DG14" s="35" t="s">
        <v>265</v>
      </c>
      <c r="DH14" s="35" t="s">
        <v>265</v>
      </c>
      <c r="DI14" s="35" t="s">
        <v>456</v>
      </c>
      <c r="DJ14" s="237" t="s">
        <v>456</v>
      </c>
      <c r="DK14" s="237" t="s">
        <v>265</v>
      </c>
      <c r="DL14" s="237" t="s">
        <v>456</v>
      </c>
      <c r="DM14" s="35" t="s">
        <v>456</v>
      </c>
      <c r="DN14" s="35" t="s">
        <v>456</v>
      </c>
      <c r="DO14" s="35" t="s">
        <v>456</v>
      </c>
      <c r="DP14" s="35" t="s">
        <v>456</v>
      </c>
      <c r="DQ14" s="98"/>
      <c r="DR14" s="98"/>
      <c r="DS14" s="98"/>
      <c r="DT14" s="98"/>
      <c r="DU14" s="98"/>
      <c r="DV14" s="98"/>
      <c r="DW14" s="98"/>
      <c r="DX14" s="98"/>
      <c r="DY14" s="98"/>
      <c r="DZ14" s="98"/>
      <c r="EA14" s="98"/>
      <c r="EB14" s="98"/>
      <c r="EC14" s="98"/>
      <c r="EI14" s="15"/>
      <c r="EJ14" s="15"/>
      <c r="EM14" s="35" t="s">
        <v>265</v>
      </c>
      <c r="FQ14" s="15"/>
      <c r="FT14" s="15"/>
      <c r="FU14" s="15"/>
      <c r="FV14" s="15"/>
      <c r="FX14" s="35" t="s">
        <v>265</v>
      </c>
      <c r="GA14" s="35" t="s">
        <v>265</v>
      </c>
      <c r="GB14" s="35" t="s">
        <v>265</v>
      </c>
      <c r="GC14" s="35" t="s">
        <v>265</v>
      </c>
      <c r="GD14" s="35" t="s">
        <v>265</v>
      </c>
      <c r="GL14" s="54"/>
      <c r="GM14" s="54"/>
      <c r="GN14" s="54"/>
      <c r="GO14" s="54"/>
      <c r="GP14" s="54"/>
      <c r="GQ14" s="54"/>
    </row>
    <row r="15" spans="1:199" ht="14.25" thickTop="1" thickBot="1" x14ac:dyDescent="0.25">
      <c r="A15" s="199" t="s">
        <v>77</v>
      </c>
      <c r="B15" s="196" t="s">
        <v>654</v>
      </c>
      <c r="C15" s="196" t="s">
        <v>510</v>
      </c>
      <c r="D15" s="215" t="s">
        <v>400</v>
      </c>
      <c r="E15" s="196" t="s">
        <v>302</v>
      </c>
      <c r="F15" s="18" t="s">
        <v>28</v>
      </c>
      <c r="G15" s="132" t="s">
        <v>67</v>
      </c>
      <c r="H15" s="215" t="s">
        <v>168</v>
      </c>
      <c r="I15" s="194" t="s">
        <v>310</v>
      </c>
      <c r="J15" s="194" t="s">
        <v>87</v>
      </c>
      <c r="K15" s="194" t="s">
        <v>228</v>
      </c>
      <c r="L15" s="194" t="s">
        <v>144</v>
      </c>
      <c r="M15" s="194" t="s">
        <v>429</v>
      </c>
      <c r="N15" s="56" t="s">
        <v>182</v>
      </c>
      <c r="O15" s="56" t="s">
        <v>298</v>
      </c>
      <c r="P15" s="56" t="s">
        <v>571</v>
      </c>
      <c r="Q15" s="56" t="s">
        <v>156</v>
      </c>
      <c r="R15" s="56" t="s">
        <v>299</v>
      </c>
      <c r="S15" s="194" t="s">
        <v>164</v>
      </c>
      <c r="T15" s="194" t="s">
        <v>403</v>
      </c>
      <c r="U15" s="56" t="s">
        <v>367</v>
      </c>
      <c r="V15" s="194" t="s">
        <v>105</v>
      </c>
      <c r="W15" s="179" t="s">
        <v>520</v>
      </c>
      <c r="X15" s="179" t="s">
        <v>469</v>
      </c>
      <c r="Y15" s="179" t="s">
        <v>432</v>
      </c>
      <c r="Z15" s="179" t="s">
        <v>75</v>
      </c>
      <c r="AA15" s="56" t="s">
        <v>666</v>
      </c>
      <c r="AB15" s="194" t="s">
        <v>111</v>
      </c>
      <c r="AC15" s="194" t="s">
        <v>289</v>
      </c>
      <c r="AD15" s="194" t="s">
        <v>308</v>
      </c>
      <c r="AE15" s="194" t="s">
        <v>411</v>
      </c>
      <c r="AF15" s="194" t="s">
        <v>425</v>
      </c>
      <c r="AG15" s="194" t="s">
        <v>431</v>
      </c>
      <c r="AH15" s="56" t="s">
        <v>696</v>
      </c>
      <c r="AI15" s="194" t="s">
        <v>15</v>
      </c>
      <c r="AJ15" s="194" t="s">
        <v>551</v>
      </c>
      <c r="AK15" s="194" t="s">
        <v>9</v>
      </c>
      <c r="AL15" s="194" t="s">
        <v>566</v>
      </c>
      <c r="AM15" s="194" t="s">
        <v>270</v>
      </c>
      <c r="AN15" s="194" t="s">
        <v>383</v>
      </c>
      <c r="AO15" s="194" t="s">
        <v>348</v>
      </c>
      <c r="AP15" s="194" t="s">
        <v>244</v>
      </c>
      <c r="AQ15" s="194" t="s">
        <v>488</v>
      </c>
      <c r="AR15" s="194" t="s">
        <v>397</v>
      </c>
      <c r="AS15" s="194" t="s">
        <v>440</v>
      </c>
      <c r="AT15" s="194" t="s">
        <v>445</v>
      </c>
      <c r="AU15" s="224" t="s">
        <v>119</v>
      </c>
      <c r="AV15" s="224" t="s">
        <v>580</v>
      </c>
      <c r="AW15" s="224" t="s">
        <v>64</v>
      </c>
      <c r="AX15" s="194" t="s">
        <v>471</v>
      </c>
      <c r="AY15" s="194" t="s">
        <v>539</v>
      </c>
      <c r="AZ15" s="224" t="s">
        <v>318</v>
      </c>
      <c r="BA15" s="224" t="s">
        <v>257</v>
      </c>
      <c r="BB15" s="202" t="s">
        <v>751</v>
      </c>
      <c r="BC15" s="224" t="s">
        <v>55</v>
      </c>
      <c r="BD15" s="194" t="s">
        <v>522</v>
      </c>
      <c r="BE15" s="224" t="s">
        <v>370</v>
      </c>
      <c r="BF15" s="202" t="s">
        <v>752</v>
      </c>
      <c r="BG15" s="224" t="s">
        <v>585</v>
      </c>
      <c r="BH15" s="303" t="s">
        <v>603</v>
      </c>
      <c r="BI15" s="303" t="s">
        <v>604</v>
      </c>
      <c r="BJ15" s="224" t="s">
        <v>565</v>
      </c>
      <c r="BK15" s="202" t="s">
        <v>354</v>
      </c>
      <c r="BL15" s="224" t="s">
        <v>93</v>
      </c>
      <c r="BM15" s="224" t="s">
        <v>198</v>
      </c>
      <c r="BN15" s="224" t="s">
        <v>412</v>
      </c>
      <c r="BO15" s="224" t="s">
        <v>152</v>
      </c>
      <c r="BP15" s="202" t="s">
        <v>547</v>
      </c>
      <c r="BQ15" s="202" t="s">
        <v>490</v>
      </c>
      <c r="BR15" s="202" t="s">
        <v>209</v>
      </c>
      <c r="BS15" s="202" t="s">
        <v>163</v>
      </c>
      <c r="BT15" s="202" t="s">
        <v>200</v>
      </c>
      <c r="BU15" s="202" t="s">
        <v>54</v>
      </c>
      <c r="BV15" s="202" t="s">
        <v>133</v>
      </c>
      <c r="BW15" s="202" t="s">
        <v>232</v>
      </c>
      <c r="BX15" s="202" t="s">
        <v>56</v>
      </c>
      <c r="BY15" s="202" t="s">
        <v>434</v>
      </c>
      <c r="BZ15" s="202" t="s">
        <v>108</v>
      </c>
      <c r="CA15" s="306" t="s">
        <v>657</v>
      </c>
      <c r="CB15" s="202" t="s">
        <v>659</v>
      </c>
      <c r="CC15" s="202" t="s">
        <v>661</v>
      </c>
      <c r="CD15" s="202" t="s">
        <v>648</v>
      </c>
      <c r="CE15" s="202" t="s">
        <v>649</v>
      </c>
      <c r="CF15" s="202" t="s">
        <v>650</v>
      </c>
      <c r="CG15" s="202" t="s">
        <v>327</v>
      </c>
      <c r="CH15" s="202" t="s">
        <v>356</v>
      </c>
      <c r="CI15" s="202" t="s">
        <v>513</v>
      </c>
      <c r="CJ15" s="202" t="s">
        <v>554</v>
      </c>
      <c r="CK15" s="202" t="s">
        <v>409</v>
      </c>
      <c r="CL15" s="224" t="s">
        <v>72</v>
      </c>
      <c r="CM15" s="224" t="s">
        <v>35</v>
      </c>
      <c r="CN15" s="224" t="s">
        <v>122</v>
      </c>
      <c r="CO15" s="224" t="s">
        <v>137</v>
      </c>
      <c r="CP15" s="224" t="s">
        <v>369</v>
      </c>
      <c r="CQ15" s="224" t="s">
        <v>328</v>
      </c>
      <c r="CR15" s="224" t="s">
        <v>227</v>
      </c>
      <c r="CS15" s="224" t="s">
        <v>157</v>
      </c>
      <c r="CT15" s="202" t="s">
        <v>712</v>
      </c>
      <c r="CU15" s="224" t="s">
        <v>282</v>
      </c>
      <c r="CV15" s="30" t="s">
        <v>274</v>
      </c>
      <c r="CW15" s="202" t="s">
        <v>699</v>
      </c>
      <c r="CX15" s="224" t="s">
        <v>68</v>
      </c>
      <c r="CY15" s="224" t="s">
        <v>271</v>
      </c>
      <c r="CZ15" s="202" t="s">
        <v>296</v>
      </c>
      <c r="DA15" s="202" t="s">
        <v>316</v>
      </c>
      <c r="DB15" s="30" t="s">
        <v>36</v>
      </c>
      <c r="DC15" s="30" t="s">
        <v>507</v>
      </c>
      <c r="DD15" s="30" t="s">
        <v>570</v>
      </c>
      <c r="DF15" s="202" t="s">
        <v>21</v>
      </c>
      <c r="DG15" s="171" t="s">
        <v>323</v>
      </c>
      <c r="DH15" s="171" t="s">
        <v>447</v>
      </c>
      <c r="DI15" s="171" t="s">
        <v>742</v>
      </c>
      <c r="DJ15" s="30" t="s">
        <v>493</v>
      </c>
      <c r="DK15" s="30" t="s">
        <v>679</v>
      </c>
      <c r="DL15" s="30" t="s">
        <v>46</v>
      </c>
      <c r="DM15" s="30" t="s">
        <v>382</v>
      </c>
      <c r="DN15" s="30" t="s">
        <v>169</v>
      </c>
      <c r="DO15" s="202" t="s">
        <v>395</v>
      </c>
      <c r="DP15" s="202" t="s">
        <v>499</v>
      </c>
      <c r="DQ15" s="98"/>
      <c r="DR15" s="98"/>
      <c r="DS15" s="98"/>
      <c r="DT15" s="98"/>
      <c r="DU15" s="98"/>
      <c r="DV15" s="98"/>
      <c r="DW15" s="98"/>
      <c r="DX15" s="98"/>
      <c r="DY15" s="98"/>
      <c r="DZ15" s="98"/>
      <c r="EA15" s="98"/>
      <c r="EB15" s="98"/>
      <c r="EC15" s="98"/>
      <c r="EI15" s="15"/>
      <c r="EJ15" s="15"/>
      <c r="EM15" s="171" t="s">
        <v>681</v>
      </c>
      <c r="FQ15" s="15"/>
      <c r="FT15" s="15"/>
      <c r="FU15" s="15"/>
      <c r="FV15" s="15"/>
      <c r="FX15" s="202" t="s">
        <v>413</v>
      </c>
      <c r="GA15" s="224" t="s">
        <v>51</v>
      </c>
      <c r="GB15" s="194" t="s">
        <v>283</v>
      </c>
      <c r="GC15" s="224" t="s">
        <v>542</v>
      </c>
      <c r="GD15" s="194" t="s">
        <v>576</v>
      </c>
      <c r="GL15" s="15"/>
      <c r="GM15" s="15"/>
      <c r="GN15" s="15"/>
      <c r="GO15" s="15"/>
      <c r="GP15" s="15"/>
      <c r="GQ15" s="15"/>
    </row>
    <row r="16" spans="1:199" ht="14.25" thickTop="1" thickBot="1" x14ac:dyDescent="0.25">
      <c r="A16" s="199" t="s">
        <v>521</v>
      </c>
      <c r="B16" s="35" t="s">
        <v>265</v>
      </c>
      <c r="C16" s="35" t="s">
        <v>265</v>
      </c>
      <c r="D16" s="35" t="s">
        <v>265</v>
      </c>
      <c r="E16" s="35" t="s">
        <v>265</v>
      </c>
      <c r="F16" s="72" t="s">
        <v>442</v>
      </c>
      <c r="G16" s="72" t="s">
        <v>556</v>
      </c>
      <c r="H16" s="35" t="s">
        <v>265</v>
      </c>
      <c r="I16" s="35" t="s">
        <v>265</v>
      </c>
      <c r="J16" s="35" t="s">
        <v>265</v>
      </c>
      <c r="K16" s="35" t="s">
        <v>265</v>
      </c>
      <c r="L16" s="35" t="s">
        <v>265</v>
      </c>
      <c r="M16" s="35" t="s">
        <v>265</v>
      </c>
      <c r="N16" s="35" t="s">
        <v>265</v>
      </c>
      <c r="O16" s="35" t="s">
        <v>265</v>
      </c>
      <c r="P16" s="35" t="s">
        <v>265</v>
      </c>
      <c r="Q16" s="35" t="s">
        <v>265</v>
      </c>
      <c r="R16" s="35" t="s">
        <v>265</v>
      </c>
      <c r="S16" s="35" t="s">
        <v>265</v>
      </c>
      <c r="T16" s="35" t="s">
        <v>265</v>
      </c>
      <c r="U16" s="35" t="s">
        <v>265</v>
      </c>
      <c r="V16" s="35" t="s">
        <v>265</v>
      </c>
      <c r="W16" s="35" t="s">
        <v>265</v>
      </c>
      <c r="X16" s="35" t="s">
        <v>265</v>
      </c>
      <c r="Y16" s="35" t="s">
        <v>265</v>
      </c>
      <c r="Z16" s="35" t="s">
        <v>265</v>
      </c>
      <c r="AA16" s="35" t="s">
        <v>556</v>
      </c>
      <c r="AB16" s="35" t="s">
        <v>265</v>
      </c>
      <c r="AC16" s="35" t="s">
        <v>265</v>
      </c>
      <c r="AD16" s="35" t="s">
        <v>265</v>
      </c>
      <c r="AE16" s="35" t="s">
        <v>265</v>
      </c>
      <c r="AF16" s="35" t="s">
        <v>265</v>
      </c>
      <c r="AG16" s="35" t="s">
        <v>265</v>
      </c>
      <c r="AH16" s="35" t="s">
        <v>265</v>
      </c>
      <c r="AI16" s="35" t="s">
        <v>265</v>
      </c>
      <c r="AJ16" s="35" t="s">
        <v>265</v>
      </c>
      <c r="AK16" s="35" t="s">
        <v>265</v>
      </c>
      <c r="AL16" s="35" t="s">
        <v>265</v>
      </c>
      <c r="AM16" s="35" t="s">
        <v>456</v>
      </c>
      <c r="AN16" s="35" t="s">
        <v>456</v>
      </c>
      <c r="AO16" s="35" t="s">
        <v>265</v>
      </c>
      <c r="AP16" s="35" t="s">
        <v>265</v>
      </c>
      <c r="AQ16" s="35" t="s">
        <v>265</v>
      </c>
      <c r="AR16" s="35" t="s">
        <v>265</v>
      </c>
      <c r="AS16" s="35" t="s">
        <v>265</v>
      </c>
      <c r="AT16" s="35" t="s">
        <v>265</v>
      </c>
      <c r="AU16" s="35" t="s">
        <v>265</v>
      </c>
      <c r="AV16" s="35" t="s">
        <v>265</v>
      </c>
      <c r="AW16" s="35" t="s">
        <v>265</v>
      </c>
      <c r="AX16" s="35" t="s">
        <v>265</v>
      </c>
      <c r="AY16" s="35" t="s">
        <v>265</v>
      </c>
      <c r="AZ16" s="35" t="s">
        <v>265</v>
      </c>
      <c r="BA16" s="35" t="s">
        <v>265</v>
      </c>
      <c r="BB16" s="35" t="s">
        <v>265</v>
      </c>
      <c r="BC16" s="35" t="s">
        <v>265</v>
      </c>
      <c r="BD16" s="35" t="s">
        <v>265</v>
      </c>
      <c r="BE16" s="35" t="s">
        <v>265</v>
      </c>
      <c r="BF16" s="35" t="s">
        <v>265</v>
      </c>
      <c r="BG16" s="35" t="s">
        <v>265</v>
      </c>
      <c r="BH16" s="297" t="s">
        <v>265</v>
      </c>
      <c r="BI16" s="297" t="s">
        <v>265</v>
      </c>
      <c r="BJ16" s="35" t="s">
        <v>265</v>
      </c>
      <c r="BK16" s="35" t="s">
        <v>265</v>
      </c>
      <c r="BL16" s="35" t="s">
        <v>265</v>
      </c>
      <c r="BM16" s="35" t="s">
        <v>265</v>
      </c>
      <c r="BN16" s="35" t="s">
        <v>265</v>
      </c>
      <c r="BO16" s="35" t="s">
        <v>265</v>
      </c>
      <c r="BP16" s="35" t="s">
        <v>265</v>
      </c>
      <c r="BQ16" s="35" t="s">
        <v>265</v>
      </c>
      <c r="BR16" s="35" t="s">
        <v>265</v>
      </c>
      <c r="BS16" s="35" t="s">
        <v>265</v>
      </c>
      <c r="BT16" s="35" t="s">
        <v>265</v>
      </c>
      <c r="BU16" s="35" t="s">
        <v>265</v>
      </c>
      <c r="BV16" s="35" t="s">
        <v>265</v>
      </c>
      <c r="BW16" s="35" t="s">
        <v>265</v>
      </c>
      <c r="BX16" s="35" t="s">
        <v>265</v>
      </c>
      <c r="BY16" s="35" t="s">
        <v>265</v>
      </c>
      <c r="BZ16" s="35" t="s">
        <v>265</v>
      </c>
      <c r="CA16" s="311" t="s">
        <v>265</v>
      </c>
      <c r="CB16" s="35" t="s">
        <v>265</v>
      </c>
      <c r="CC16" s="35" t="s">
        <v>265</v>
      </c>
      <c r="CD16" s="35" t="s">
        <v>265</v>
      </c>
      <c r="CE16" s="35" t="s">
        <v>265</v>
      </c>
      <c r="CF16" s="35" t="s">
        <v>265</v>
      </c>
      <c r="CG16" s="35" t="s">
        <v>265</v>
      </c>
      <c r="CH16" s="35" t="s">
        <v>265</v>
      </c>
      <c r="CI16" s="35" t="s">
        <v>442</v>
      </c>
      <c r="CJ16" s="35" t="s">
        <v>442</v>
      </c>
      <c r="CK16" s="35" t="s">
        <v>442</v>
      </c>
      <c r="CL16" s="35" t="s">
        <v>265</v>
      </c>
      <c r="CM16" s="35" t="s">
        <v>265</v>
      </c>
      <c r="CN16" s="35" t="s">
        <v>442</v>
      </c>
      <c r="CO16" s="35" t="s">
        <v>442</v>
      </c>
      <c r="CP16" s="35" t="s">
        <v>456</v>
      </c>
      <c r="CQ16" s="35" t="s">
        <v>456</v>
      </c>
      <c r="CR16" s="35" t="s">
        <v>456</v>
      </c>
      <c r="CS16" s="35" t="s">
        <v>456</v>
      </c>
      <c r="CT16" s="35" t="s">
        <v>265</v>
      </c>
      <c r="CU16" s="35" t="s">
        <v>456</v>
      </c>
      <c r="CV16" s="35" t="s">
        <v>456</v>
      </c>
      <c r="CW16" s="35" t="s">
        <v>265</v>
      </c>
      <c r="CX16" s="35" t="s">
        <v>456</v>
      </c>
      <c r="CY16" s="35" t="s">
        <v>456</v>
      </c>
      <c r="CZ16" s="35" t="s">
        <v>456</v>
      </c>
      <c r="DA16" s="35" t="s">
        <v>456</v>
      </c>
      <c r="DB16" s="237" t="s">
        <v>456</v>
      </c>
      <c r="DC16" s="237" t="s">
        <v>456</v>
      </c>
      <c r="DD16" s="237" t="s">
        <v>456</v>
      </c>
      <c r="DE16" s="15"/>
      <c r="DF16" s="35" t="s">
        <v>265</v>
      </c>
      <c r="DG16" s="35" t="s">
        <v>265</v>
      </c>
      <c r="DH16" s="35" t="s">
        <v>265</v>
      </c>
      <c r="DI16" s="35" t="s">
        <v>456</v>
      </c>
      <c r="DJ16" s="237" t="s">
        <v>456</v>
      </c>
      <c r="DK16" s="237" t="s">
        <v>265</v>
      </c>
      <c r="DL16" s="237" t="s">
        <v>456</v>
      </c>
      <c r="DM16" s="35" t="s">
        <v>456</v>
      </c>
      <c r="DN16" s="35" t="s">
        <v>456</v>
      </c>
      <c r="DO16" s="35" t="s">
        <v>456</v>
      </c>
      <c r="DP16" s="35" t="s">
        <v>456</v>
      </c>
      <c r="DQ16" s="98"/>
      <c r="DR16" s="98"/>
      <c r="DS16" s="98"/>
      <c r="DT16" s="98"/>
      <c r="DU16" s="98"/>
      <c r="DV16" s="98"/>
      <c r="DW16" s="98"/>
      <c r="DX16" s="98"/>
      <c r="DY16" s="98"/>
      <c r="DZ16" s="98"/>
      <c r="EA16" s="98"/>
      <c r="EB16" s="98"/>
      <c r="EC16" s="98"/>
      <c r="EI16" s="15"/>
      <c r="EJ16" s="15"/>
      <c r="EK16" s="15"/>
      <c r="EL16" s="15"/>
      <c r="EM16" s="15"/>
      <c r="EN16" s="15"/>
      <c r="EO16" s="15"/>
      <c r="EP16" s="15"/>
      <c r="EQ16" s="15"/>
      <c r="ER16" s="15"/>
      <c r="ES16" s="15"/>
      <c r="ET16" s="15"/>
      <c r="EU16" s="15"/>
      <c r="EV16" s="15"/>
      <c r="EW16" s="15"/>
      <c r="EX16" s="15"/>
      <c r="EY16" s="15"/>
      <c r="EZ16" s="137"/>
      <c r="FA16" s="15"/>
      <c r="FB16" s="15"/>
      <c r="FC16" s="15"/>
      <c r="FD16" s="15"/>
      <c r="FE16" s="15"/>
      <c r="FF16" s="15"/>
      <c r="FG16" s="15"/>
      <c r="FH16" s="15"/>
      <c r="FI16" s="15"/>
      <c r="FJ16" s="15"/>
      <c r="FK16" s="15"/>
      <c r="FL16" s="15"/>
      <c r="FO16" s="15"/>
      <c r="FP16" s="137"/>
      <c r="FQ16" s="137"/>
      <c r="FR16" s="54"/>
      <c r="FS16" s="54"/>
      <c r="FT16" s="137"/>
      <c r="FU16" s="137"/>
      <c r="FV16" s="137"/>
      <c r="FW16" s="54"/>
      <c r="FX16" s="35" t="s">
        <v>265</v>
      </c>
      <c r="FY16" s="54"/>
      <c r="FZ16" s="54"/>
      <c r="GA16" s="35" t="s">
        <v>265</v>
      </c>
      <c r="GB16" s="35" t="s">
        <v>265</v>
      </c>
      <c r="GC16" s="35" t="s">
        <v>442</v>
      </c>
      <c r="GD16" s="35" t="s">
        <v>265</v>
      </c>
      <c r="GE16" s="54"/>
      <c r="GF16" s="54"/>
      <c r="GG16" s="54"/>
      <c r="GH16" s="54"/>
      <c r="GI16" s="54"/>
      <c r="GJ16" s="54"/>
      <c r="GK16" s="54"/>
    </row>
    <row r="17" spans="1:199" ht="14.25" thickTop="1" thickBot="1" x14ac:dyDescent="0.25">
      <c r="A17" s="199" t="s">
        <v>330</v>
      </c>
      <c r="B17" s="196" t="s">
        <v>654</v>
      </c>
      <c r="C17" s="196" t="s">
        <v>510</v>
      </c>
      <c r="D17" s="215" t="s">
        <v>400</v>
      </c>
      <c r="E17" s="196" t="s">
        <v>302</v>
      </c>
      <c r="F17" s="18" t="s">
        <v>28</v>
      </c>
      <c r="G17" s="132" t="s">
        <v>67</v>
      </c>
      <c r="H17" s="215" t="s">
        <v>168</v>
      </c>
      <c r="I17" s="194" t="s">
        <v>310</v>
      </c>
      <c r="J17" s="194" t="s">
        <v>87</v>
      </c>
      <c r="K17" s="194" t="s">
        <v>228</v>
      </c>
      <c r="L17" s="194" t="s">
        <v>144</v>
      </c>
      <c r="M17" s="194" t="s">
        <v>429</v>
      </c>
      <c r="N17" s="56" t="s">
        <v>182</v>
      </c>
      <c r="O17" s="56" t="s">
        <v>298</v>
      </c>
      <c r="P17" s="56" t="s">
        <v>571</v>
      </c>
      <c r="Q17" s="56" t="s">
        <v>156</v>
      </c>
      <c r="R17" s="56" t="s">
        <v>299</v>
      </c>
      <c r="S17" s="194" t="s">
        <v>164</v>
      </c>
      <c r="T17" s="194" t="s">
        <v>403</v>
      </c>
      <c r="U17" s="56" t="s">
        <v>367</v>
      </c>
      <c r="V17" s="194" t="s">
        <v>105</v>
      </c>
      <c r="W17" s="179" t="s">
        <v>520</v>
      </c>
      <c r="X17" s="179" t="s">
        <v>469</v>
      </c>
      <c r="Y17" s="179" t="s">
        <v>432</v>
      </c>
      <c r="Z17" s="179" t="s">
        <v>75</v>
      </c>
      <c r="AA17" s="56" t="s">
        <v>666</v>
      </c>
      <c r="AB17" s="194" t="s">
        <v>111</v>
      </c>
      <c r="AC17" s="194" t="s">
        <v>289</v>
      </c>
      <c r="AD17" s="194" t="s">
        <v>308</v>
      </c>
      <c r="AE17" s="194" t="s">
        <v>411</v>
      </c>
      <c r="AF17" s="194" t="s">
        <v>425</v>
      </c>
      <c r="AG17" s="194" t="s">
        <v>431</v>
      </c>
      <c r="AH17" s="56" t="s">
        <v>696</v>
      </c>
      <c r="AI17" s="194" t="s">
        <v>15</v>
      </c>
      <c r="AJ17" s="194" t="s">
        <v>551</v>
      </c>
      <c r="AK17" s="194" t="s">
        <v>9</v>
      </c>
      <c r="AL17" s="194" t="s">
        <v>566</v>
      </c>
      <c r="AM17" s="194" t="s">
        <v>412</v>
      </c>
      <c r="AN17" s="194" t="s">
        <v>369</v>
      </c>
      <c r="AO17" s="194" t="s">
        <v>348</v>
      </c>
      <c r="AP17" s="194" t="s">
        <v>244</v>
      </c>
      <c r="AQ17" s="194" t="s">
        <v>488</v>
      </c>
      <c r="AR17" s="194" t="s">
        <v>397</v>
      </c>
      <c r="AS17" s="194" t="s">
        <v>440</v>
      </c>
      <c r="AT17" s="194" t="s">
        <v>445</v>
      </c>
      <c r="AU17" s="224" t="s">
        <v>119</v>
      </c>
      <c r="AV17" s="224" t="s">
        <v>580</v>
      </c>
      <c r="AW17" s="224" t="s">
        <v>64</v>
      </c>
      <c r="AX17" s="194" t="s">
        <v>471</v>
      </c>
      <c r="AY17" s="194" t="s">
        <v>539</v>
      </c>
      <c r="AZ17" s="224" t="s">
        <v>318</v>
      </c>
      <c r="BA17" s="224" t="s">
        <v>257</v>
      </c>
      <c r="BB17" s="202" t="s">
        <v>751</v>
      </c>
      <c r="BC17" s="224" t="s">
        <v>55</v>
      </c>
      <c r="BD17" s="194" t="s">
        <v>522</v>
      </c>
      <c r="BE17" s="224" t="s">
        <v>370</v>
      </c>
      <c r="BF17" s="202" t="s">
        <v>752</v>
      </c>
      <c r="BG17" s="224" t="s">
        <v>585</v>
      </c>
      <c r="BH17" s="303" t="s">
        <v>603</v>
      </c>
      <c r="BI17" s="303" t="s">
        <v>604</v>
      </c>
      <c r="BJ17" s="224" t="s">
        <v>565</v>
      </c>
      <c r="BK17" s="202" t="s">
        <v>354</v>
      </c>
      <c r="BL17" s="224" t="s">
        <v>93</v>
      </c>
      <c r="BM17" s="224" t="s">
        <v>198</v>
      </c>
      <c r="BN17" s="224" t="s">
        <v>542</v>
      </c>
      <c r="BO17" s="224" t="s">
        <v>152</v>
      </c>
      <c r="BP17" s="202" t="s">
        <v>547</v>
      </c>
      <c r="BQ17" s="202" t="s">
        <v>490</v>
      </c>
      <c r="BR17" s="202" t="s">
        <v>209</v>
      </c>
      <c r="BS17" s="202" t="s">
        <v>163</v>
      </c>
      <c r="BT17" s="202" t="s">
        <v>200</v>
      </c>
      <c r="BU17" s="202" t="s">
        <v>54</v>
      </c>
      <c r="BV17" s="202" t="s">
        <v>133</v>
      </c>
      <c r="BW17" s="202" t="s">
        <v>232</v>
      </c>
      <c r="BX17" s="202" t="s">
        <v>56</v>
      </c>
      <c r="BY17" s="202" t="s">
        <v>434</v>
      </c>
      <c r="BZ17" s="202" t="s">
        <v>108</v>
      </c>
      <c r="CA17" s="306" t="s">
        <v>657</v>
      </c>
      <c r="CB17" s="202" t="s">
        <v>659</v>
      </c>
      <c r="CC17" s="202" t="s">
        <v>661</v>
      </c>
      <c r="CD17" s="202" t="s">
        <v>648</v>
      </c>
      <c r="CE17" s="202" t="s">
        <v>649</v>
      </c>
      <c r="CF17" s="202" t="s">
        <v>650</v>
      </c>
      <c r="CG17" s="202" t="s">
        <v>327</v>
      </c>
      <c r="CH17" s="202" t="s">
        <v>356</v>
      </c>
      <c r="CI17" s="202" t="s">
        <v>513</v>
      </c>
      <c r="CJ17" s="202" t="s">
        <v>554</v>
      </c>
      <c r="CK17" s="202" t="s">
        <v>409</v>
      </c>
      <c r="CL17" s="224" t="s">
        <v>72</v>
      </c>
      <c r="CM17" s="224" t="s">
        <v>35</v>
      </c>
      <c r="CN17" s="224" t="s">
        <v>110</v>
      </c>
      <c r="CO17" s="224" t="s">
        <v>122</v>
      </c>
      <c r="CP17" s="224" t="s">
        <v>392</v>
      </c>
      <c r="CQ17" s="224" t="s">
        <v>355</v>
      </c>
      <c r="CR17" s="224" t="s">
        <v>253</v>
      </c>
      <c r="CS17" s="224" t="s">
        <v>561</v>
      </c>
      <c r="CT17" s="202" t="s">
        <v>712</v>
      </c>
      <c r="CU17" s="224" t="s">
        <v>78</v>
      </c>
      <c r="CV17" s="30" t="s">
        <v>582</v>
      </c>
      <c r="CW17" s="202" t="s">
        <v>699</v>
      </c>
      <c r="CX17" s="224" t="s">
        <v>166</v>
      </c>
      <c r="CY17" s="224" t="s">
        <v>94</v>
      </c>
      <c r="CZ17" s="202" t="s">
        <v>506</v>
      </c>
      <c r="DA17" s="202" t="s">
        <v>205</v>
      </c>
      <c r="DB17" s="30" t="s">
        <v>284</v>
      </c>
      <c r="DC17" s="30" t="s">
        <v>332</v>
      </c>
      <c r="DD17" s="30" t="s">
        <v>361</v>
      </c>
      <c r="DE17" s="15"/>
      <c r="DF17" s="202" t="s">
        <v>21</v>
      </c>
      <c r="DG17" s="171" t="s">
        <v>323</v>
      </c>
      <c r="DH17" s="171" t="s">
        <v>447</v>
      </c>
      <c r="DI17" s="171" t="s">
        <v>742</v>
      </c>
      <c r="DJ17" s="30" t="s">
        <v>516</v>
      </c>
      <c r="DK17" s="30" t="s">
        <v>679</v>
      </c>
      <c r="DL17" s="30" t="s">
        <v>30</v>
      </c>
      <c r="DM17" s="30" t="s">
        <v>280</v>
      </c>
      <c r="DN17" s="30" t="s">
        <v>386</v>
      </c>
      <c r="DO17" s="202" t="s">
        <v>395</v>
      </c>
      <c r="DP17" s="202" t="s">
        <v>499</v>
      </c>
      <c r="DQ17" s="98"/>
      <c r="DR17" s="98"/>
      <c r="DS17" s="98"/>
      <c r="DT17" s="98"/>
      <c r="DU17" s="98"/>
      <c r="DV17" s="98"/>
      <c r="DW17" s="98"/>
      <c r="DX17" s="98"/>
      <c r="DY17" s="98"/>
      <c r="DZ17" s="98"/>
      <c r="EA17" s="98"/>
      <c r="EB17" s="98"/>
      <c r="EC17" s="98"/>
      <c r="EI17" s="15"/>
      <c r="EJ17" s="15"/>
      <c r="EK17" s="15"/>
      <c r="EL17" s="15"/>
      <c r="EM17" s="15"/>
      <c r="EN17" s="15"/>
      <c r="EO17" s="15"/>
      <c r="EP17" s="15"/>
      <c r="EQ17" s="15"/>
      <c r="ER17" s="15"/>
      <c r="ES17" s="15"/>
      <c r="ET17" s="15"/>
      <c r="EU17" s="15"/>
      <c r="EV17" s="15"/>
      <c r="EW17" s="15"/>
      <c r="EX17" s="15"/>
      <c r="EY17" s="15"/>
      <c r="EZ17" s="137"/>
      <c r="FA17" s="15"/>
      <c r="FB17" s="15"/>
      <c r="FC17" s="15"/>
      <c r="FD17" s="15"/>
      <c r="FE17" s="15"/>
      <c r="FF17" s="15"/>
      <c r="FG17" s="15"/>
      <c r="FH17" s="15"/>
      <c r="FI17" s="15"/>
      <c r="FJ17" s="15"/>
      <c r="FK17" s="15"/>
      <c r="FL17" s="15"/>
      <c r="FO17" s="15"/>
      <c r="FP17" s="137"/>
      <c r="FQ17" s="137"/>
      <c r="FR17" s="54"/>
      <c r="FS17" s="54"/>
      <c r="FT17" s="137"/>
      <c r="FU17" s="137"/>
      <c r="FV17" s="137"/>
      <c r="FW17" s="54"/>
      <c r="FX17" s="202" t="s">
        <v>413</v>
      </c>
      <c r="FY17" s="54"/>
      <c r="FZ17" s="54"/>
      <c r="GA17" s="224" t="s">
        <v>51</v>
      </c>
      <c r="GB17" s="194" t="s">
        <v>283</v>
      </c>
      <c r="GC17" s="224" t="s">
        <v>270</v>
      </c>
      <c r="GD17" s="194" t="s">
        <v>576</v>
      </c>
      <c r="GE17" s="54"/>
      <c r="GF17" s="54"/>
      <c r="GG17" s="54"/>
      <c r="GH17" s="54"/>
      <c r="GI17" s="54"/>
      <c r="GJ17" s="54"/>
      <c r="GK17" s="54"/>
    </row>
    <row r="18" spans="1:199" ht="14.25" thickTop="1" thickBot="1" x14ac:dyDescent="0.25">
      <c r="A18" s="199" t="s">
        <v>527</v>
      </c>
      <c r="B18" s="35" t="s">
        <v>265</v>
      </c>
      <c r="C18" s="35" t="s">
        <v>265</v>
      </c>
      <c r="D18" s="35" t="s">
        <v>265</v>
      </c>
      <c r="E18" s="35" t="s">
        <v>265</v>
      </c>
      <c r="F18" s="72" t="s">
        <v>442</v>
      </c>
      <c r="G18" s="72" t="s">
        <v>556</v>
      </c>
      <c r="H18" s="35" t="s">
        <v>265</v>
      </c>
      <c r="I18" s="35" t="s">
        <v>265</v>
      </c>
      <c r="J18" s="35" t="s">
        <v>265</v>
      </c>
      <c r="K18" s="35" t="s">
        <v>265</v>
      </c>
      <c r="L18" s="35" t="s">
        <v>265</v>
      </c>
      <c r="M18" s="35" t="s">
        <v>265</v>
      </c>
      <c r="N18" s="35" t="s">
        <v>265</v>
      </c>
      <c r="O18" s="35" t="s">
        <v>265</v>
      </c>
      <c r="P18" s="35" t="s">
        <v>265</v>
      </c>
      <c r="Q18" s="35" t="s">
        <v>265</v>
      </c>
      <c r="R18" s="35" t="s">
        <v>265</v>
      </c>
      <c r="S18" s="35" t="s">
        <v>265</v>
      </c>
      <c r="T18" s="35" t="s">
        <v>265</v>
      </c>
      <c r="U18" s="35" t="s">
        <v>265</v>
      </c>
      <c r="V18" s="35" t="s">
        <v>265</v>
      </c>
      <c r="W18" s="35" t="s">
        <v>265</v>
      </c>
      <c r="X18" s="35" t="s">
        <v>265</v>
      </c>
      <c r="Y18" s="35" t="s">
        <v>265</v>
      </c>
      <c r="Z18" s="35" t="s">
        <v>265</v>
      </c>
      <c r="AA18" s="35" t="s">
        <v>556</v>
      </c>
      <c r="AB18" s="35" t="s">
        <v>265</v>
      </c>
      <c r="AC18" s="35" t="s">
        <v>265</v>
      </c>
      <c r="AD18" s="35" t="s">
        <v>265</v>
      </c>
      <c r="AE18" s="35" t="s">
        <v>265</v>
      </c>
      <c r="AF18" s="35" t="s">
        <v>265</v>
      </c>
      <c r="AG18" s="35" t="s">
        <v>265</v>
      </c>
      <c r="AH18" s="35" t="s">
        <v>265</v>
      </c>
      <c r="AI18" s="35" t="s">
        <v>265</v>
      </c>
      <c r="AJ18" s="35" t="s">
        <v>265</v>
      </c>
      <c r="AK18" s="35" t="s">
        <v>265</v>
      </c>
      <c r="AL18" s="35" t="s">
        <v>265</v>
      </c>
      <c r="AM18" s="35" t="s">
        <v>456</v>
      </c>
      <c r="AN18" s="35" t="s">
        <v>456</v>
      </c>
      <c r="AO18" s="35" t="s">
        <v>265</v>
      </c>
      <c r="AP18" s="35" t="s">
        <v>265</v>
      </c>
      <c r="AQ18" s="35" t="s">
        <v>265</v>
      </c>
      <c r="AR18" s="35" t="s">
        <v>265</v>
      </c>
      <c r="AS18" s="35" t="s">
        <v>265</v>
      </c>
      <c r="AT18" s="35" t="s">
        <v>265</v>
      </c>
      <c r="AU18" s="35" t="s">
        <v>265</v>
      </c>
      <c r="AV18" s="35" t="s">
        <v>265</v>
      </c>
      <c r="AW18" s="35" t="s">
        <v>265</v>
      </c>
      <c r="AX18" s="35" t="s">
        <v>265</v>
      </c>
      <c r="AY18" s="35" t="s">
        <v>265</v>
      </c>
      <c r="AZ18" s="35" t="s">
        <v>265</v>
      </c>
      <c r="BA18" s="35" t="s">
        <v>265</v>
      </c>
      <c r="BB18" s="35" t="s">
        <v>265</v>
      </c>
      <c r="BC18" s="35" t="s">
        <v>265</v>
      </c>
      <c r="BD18" s="35" t="s">
        <v>265</v>
      </c>
      <c r="BE18" s="35" t="s">
        <v>265</v>
      </c>
      <c r="BF18" s="35" t="s">
        <v>265</v>
      </c>
      <c r="BG18" s="35" t="s">
        <v>265</v>
      </c>
      <c r="BH18" s="297" t="s">
        <v>265</v>
      </c>
      <c r="BI18" s="297" t="s">
        <v>265</v>
      </c>
      <c r="BJ18" s="35" t="s">
        <v>265</v>
      </c>
      <c r="BK18" s="35" t="s">
        <v>265</v>
      </c>
      <c r="BL18" s="35" t="s">
        <v>265</v>
      </c>
      <c r="BM18" s="35" t="s">
        <v>265</v>
      </c>
      <c r="BN18" s="35" t="s">
        <v>265</v>
      </c>
      <c r="BO18" s="35" t="s">
        <v>265</v>
      </c>
      <c r="BP18" s="35" t="s">
        <v>265</v>
      </c>
      <c r="BQ18" s="35" t="s">
        <v>265</v>
      </c>
      <c r="BR18" s="35" t="s">
        <v>265</v>
      </c>
      <c r="BS18" s="35" t="s">
        <v>265</v>
      </c>
      <c r="BT18" s="35" t="s">
        <v>265</v>
      </c>
      <c r="BU18" s="35" t="s">
        <v>265</v>
      </c>
      <c r="BV18" s="35" t="s">
        <v>265</v>
      </c>
      <c r="BW18" s="35" t="s">
        <v>265</v>
      </c>
      <c r="BX18" s="35" t="s">
        <v>265</v>
      </c>
      <c r="BY18" s="35" t="s">
        <v>265</v>
      </c>
      <c r="BZ18" s="35" t="s">
        <v>265</v>
      </c>
      <c r="CA18" s="311" t="s">
        <v>265</v>
      </c>
      <c r="CB18" s="35" t="s">
        <v>265</v>
      </c>
      <c r="CC18" s="35" t="s">
        <v>265</v>
      </c>
      <c r="CD18" s="35" t="s">
        <v>265</v>
      </c>
      <c r="CE18" s="35" t="s">
        <v>265</v>
      </c>
      <c r="CF18" s="35" t="s">
        <v>265</v>
      </c>
      <c r="CG18" s="35" t="s">
        <v>265</v>
      </c>
      <c r="CH18" s="35" t="s">
        <v>265</v>
      </c>
      <c r="CI18" s="35" t="s">
        <v>442</v>
      </c>
      <c r="CJ18" s="35" t="s">
        <v>442</v>
      </c>
      <c r="CK18" s="35" t="s">
        <v>442</v>
      </c>
      <c r="CL18" s="35" t="s">
        <v>265</v>
      </c>
      <c r="CM18" s="35" t="s">
        <v>265</v>
      </c>
      <c r="CN18" s="35" t="s">
        <v>456</v>
      </c>
      <c r="CO18" s="35" t="s">
        <v>456</v>
      </c>
      <c r="CP18" s="35" t="s">
        <v>456</v>
      </c>
      <c r="CQ18" s="35" t="s">
        <v>456</v>
      </c>
      <c r="CR18" s="35" t="s">
        <v>456</v>
      </c>
      <c r="CS18" s="35" t="s">
        <v>456</v>
      </c>
      <c r="CT18" s="35" t="s">
        <v>456</v>
      </c>
      <c r="CU18" s="35" t="s">
        <v>456</v>
      </c>
      <c r="CV18" s="35" t="s">
        <v>456</v>
      </c>
      <c r="CW18" s="35" t="s">
        <v>265</v>
      </c>
      <c r="CX18" s="35" t="s">
        <v>456</v>
      </c>
      <c r="CY18" s="35" t="s">
        <v>456</v>
      </c>
      <c r="CZ18" s="35" t="s">
        <v>456</v>
      </c>
      <c r="DA18" s="35" t="s">
        <v>456</v>
      </c>
      <c r="DB18" s="237" t="s">
        <v>456</v>
      </c>
      <c r="DC18" s="237" t="s">
        <v>456</v>
      </c>
      <c r="DD18" s="237" t="s">
        <v>456</v>
      </c>
      <c r="DE18" s="15"/>
      <c r="DF18" s="35" t="s">
        <v>265</v>
      </c>
      <c r="DG18" s="35" t="s">
        <v>265</v>
      </c>
      <c r="DH18" s="35" t="s">
        <v>265</v>
      </c>
      <c r="DI18" s="35" t="s">
        <v>456</v>
      </c>
      <c r="DJ18" s="237" t="s">
        <v>456</v>
      </c>
      <c r="DK18" s="237" t="s">
        <v>265</v>
      </c>
      <c r="DL18" s="237" t="s">
        <v>456</v>
      </c>
      <c r="DM18" s="35" t="s">
        <v>456</v>
      </c>
      <c r="DN18" s="35" t="s">
        <v>456</v>
      </c>
      <c r="DO18" s="35" t="s">
        <v>456</v>
      </c>
      <c r="DP18" s="35" t="s">
        <v>456</v>
      </c>
      <c r="DQ18" s="98"/>
      <c r="DR18" s="98"/>
      <c r="DS18" s="98"/>
      <c r="DT18" s="98"/>
      <c r="DU18" s="98"/>
      <c r="DV18" s="98"/>
      <c r="DW18" s="98"/>
      <c r="DX18" s="98"/>
      <c r="DY18" s="98"/>
      <c r="DZ18" s="98"/>
      <c r="EA18" s="98"/>
      <c r="EB18" s="98"/>
      <c r="EC18" s="98"/>
      <c r="EK18" s="15"/>
      <c r="EL18" s="15"/>
      <c r="EM18" s="35" t="s">
        <v>265</v>
      </c>
      <c r="EN18" s="15"/>
      <c r="EO18" s="15"/>
      <c r="EP18" s="15"/>
      <c r="EQ18" s="15"/>
      <c r="ER18" s="15"/>
      <c r="ES18" s="15"/>
      <c r="ET18" s="15"/>
      <c r="EU18" s="15"/>
      <c r="EV18" s="15"/>
      <c r="EW18" s="15"/>
      <c r="EX18" s="15"/>
      <c r="EY18" s="15"/>
      <c r="EZ18" s="137"/>
      <c r="FA18" s="15"/>
      <c r="FB18" s="15"/>
      <c r="FC18" s="15"/>
      <c r="FD18" s="15"/>
      <c r="FE18" s="15"/>
      <c r="FF18" s="15"/>
      <c r="FG18" s="15"/>
      <c r="FH18" s="15"/>
      <c r="FI18" s="15"/>
      <c r="FJ18" s="15"/>
      <c r="FK18" s="15"/>
      <c r="FL18" s="15"/>
      <c r="FO18" s="15"/>
      <c r="FP18" s="137"/>
      <c r="FQ18" s="137"/>
      <c r="FR18" s="54"/>
      <c r="FS18" s="54"/>
      <c r="FT18" s="137"/>
      <c r="FU18" s="137"/>
      <c r="FV18" s="137"/>
      <c r="FW18" s="54"/>
      <c r="FX18" s="35" t="s">
        <v>265</v>
      </c>
      <c r="FY18" s="54"/>
      <c r="FZ18" s="54"/>
      <c r="GA18" s="35" t="s">
        <v>442</v>
      </c>
      <c r="GB18" s="35" t="s">
        <v>265</v>
      </c>
      <c r="GC18" s="35" t="s">
        <v>265</v>
      </c>
      <c r="GD18" s="35" t="s">
        <v>265</v>
      </c>
      <c r="GE18" s="54"/>
      <c r="GF18" s="54"/>
      <c r="GG18" s="54"/>
      <c r="GH18" s="54"/>
      <c r="GI18" s="54"/>
      <c r="GJ18" s="54"/>
      <c r="GK18" s="54"/>
    </row>
    <row r="19" spans="1:199" ht="14.25" thickTop="1" thickBot="1" x14ac:dyDescent="0.25">
      <c r="A19" s="199" t="s">
        <v>418</v>
      </c>
      <c r="B19" s="196" t="s">
        <v>654</v>
      </c>
      <c r="C19" s="196" t="s">
        <v>510</v>
      </c>
      <c r="D19" s="215" t="s">
        <v>400</v>
      </c>
      <c r="E19" s="196" t="s">
        <v>302</v>
      </c>
      <c r="F19" s="18" t="s">
        <v>28</v>
      </c>
      <c r="G19" s="132" t="s">
        <v>67</v>
      </c>
      <c r="H19" s="215" t="s">
        <v>168</v>
      </c>
      <c r="I19" s="194" t="s">
        <v>310</v>
      </c>
      <c r="J19" s="194" t="s">
        <v>87</v>
      </c>
      <c r="K19" s="194" t="s">
        <v>228</v>
      </c>
      <c r="L19" s="194" t="s">
        <v>144</v>
      </c>
      <c r="M19" s="194" t="s">
        <v>429</v>
      </c>
      <c r="N19" s="56" t="s">
        <v>182</v>
      </c>
      <c r="O19" s="56" t="s">
        <v>298</v>
      </c>
      <c r="P19" s="56" t="s">
        <v>571</v>
      </c>
      <c r="Q19" s="56" t="s">
        <v>156</v>
      </c>
      <c r="R19" s="56" t="s">
        <v>299</v>
      </c>
      <c r="S19" s="194" t="s">
        <v>164</v>
      </c>
      <c r="T19" s="194" t="s">
        <v>403</v>
      </c>
      <c r="U19" s="56" t="s">
        <v>367</v>
      </c>
      <c r="V19" s="194" t="s">
        <v>105</v>
      </c>
      <c r="W19" s="179" t="s">
        <v>520</v>
      </c>
      <c r="X19" s="179" t="s">
        <v>469</v>
      </c>
      <c r="Y19" s="179" t="s">
        <v>432</v>
      </c>
      <c r="Z19" s="179" t="s">
        <v>75</v>
      </c>
      <c r="AA19" s="56" t="s">
        <v>666</v>
      </c>
      <c r="AB19" s="194" t="s">
        <v>111</v>
      </c>
      <c r="AC19" s="194" t="s">
        <v>289</v>
      </c>
      <c r="AD19" s="194" t="s">
        <v>308</v>
      </c>
      <c r="AE19" s="194" t="s">
        <v>411</v>
      </c>
      <c r="AF19" s="194" t="s">
        <v>425</v>
      </c>
      <c r="AG19" s="194" t="s">
        <v>431</v>
      </c>
      <c r="AH19" s="56" t="s">
        <v>696</v>
      </c>
      <c r="AI19" s="194" t="s">
        <v>15</v>
      </c>
      <c r="AJ19" s="194" t="s">
        <v>551</v>
      </c>
      <c r="AK19" s="194" t="s">
        <v>9</v>
      </c>
      <c r="AL19" s="194" t="s">
        <v>566</v>
      </c>
      <c r="AM19" s="194" t="s">
        <v>412</v>
      </c>
      <c r="AN19" s="194" t="s">
        <v>369</v>
      </c>
      <c r="AO19" s="194" t="s">
        <v>348</v>
      </c>
      <c r="AP19" s="194" t="s">
        <v>244</v>
      </c>
      <c r="AQ19" s="194" t="s">
        <v>488</v>
      </c>
      <c r="AR19" s="194" t="s">
        <v>397</v>
      </c>
      <c r="AS19" s="194" t="s">
        <v>440</v>
      </c>
      <c r="AT19" s="194" t="s">
        <v>445</v>
      </c>
      <c r="AU19" s="224" t="s">
        <v>119</v>
      </c>
      <c r="AV19" s="224" t="s">
        <v>580</v>
      </c>
      <c r="AW19" s="224" t="s">
        <v>64</v>
      </c>
      <c r="AX19" s="194" t="s">
        <v>471</v>
      </c>
      <c r="AY19" s="194" t="s">
        <v>539</v>
      </c>
      <c r="AZ19" s="224" t="s">
        <v>318</v>
      </c>
      <c r="BA19" s="224" t="s">
        <v>257</v>
      </c>
      <c r="BB19" s="202" t="s">
        <v>751</v>
      </c>
      <c r="BC19" s="224" t="s">
        <v>55</v>
      </c>
      <c r="BD19" s="194" t="s">
        <v>522</v>
      </c>
      <c r="BE19" s="224" t="s">
        <v>370</v>
      </c>
      <c r="BF19" s="202" t="s">
        <v>752</v>
      </c>
      <c r="BG19" s="224" t="s">
        <v>585</v>
      </c>
      <c r="BH19" s="303" t="s">
        <v>603</v>
      </c>
      <c r="BI19" s="303" t="s">
        <v>604</v>
      </c>
      <c r="BJ19" s="224" t="s">
        <v>565</v>
      </c>
      <c r="BK19" s="202" t="s">
        <v>354</v>
      </c>
      <c r="BL19" s="224" t="s">
        <v>93</v>
      </c>
      <c r="BM19" s="224" t="s">
        <v>198</v>
      </c>
      <c r="BN19" s="224" t="s">
        <v>51</v>
      </c>
      <c r="BO19" s="224" t="s">
        <v>152</v>
      </c>
      <c r="BP19" s="202" t="s">
        <v>547</v>
      </c>
      <c r="BQ19" s="202" t="s">
        <v>490</v>
      </c>
      <c r="BR19" s="202" t="s">
        <v>209</v>
      </c>
      <c r="BS19" s="202" t="s">
        <v>163</v>
      </c>
      <c r="BT19" s="202" t="s">
        <v>200</v>
      </c>
      <c r="BU19" s="202" t="s">
        <v>54</v>
      </c>
      <c r="BV19" s="202" t="s">
        <v>133</v>
      </c>
      <c r="BW19" s="202" t="s">
        <v>232</v>
      </c>
      <c r="BX19" s="202" t="s">
        <v>56</v>
      </c>
      <c r="BY19" s="202" t="s">
        <v>434</v>
      </c>
      <c r="BZ19" s="202" t="s">
        <v>108</v>
      </c>
      <c r="CA19" s="306" t="s">
        <v>657</v>
      </c>
      <c r="CB19" s="202" t="s">
        <v>659</v>
      </c>
      <c r="CC19" s="202" t="s">
        <v>661</v>
      </c>
      <c r="CD19" s="202" t="s">
        <v>648</v>
      </c>
      <c r="CE19" s="202" t="s">
        <v>649</v>
      </c>
      <c r="CF19" s="202" t="s">
        <v>650</v>
      </c>
      <c r="CG19" s="202" t="s">
        <v>327</v>
      </c>
      <c r="CH19" s="202" t="s">
        <v>356</v>
      </c>
      <c r="CI19" s="202" t="s">
        <v>513</v>
      </c>
      <c r="CJ19" s="202" t="s">
        <v>554</v>
      </c>
      <c r="CK19" s="202" t="s">
        <v>409</v>
      </c>
      <c r="CL19" s="224" t="s">
        <v>72</v>
      </c>
      <c r="CM19" s="224" t="s">
        <v>35</v>
      </c>
      <c r="CN19" s="224" t="s">
        <v>391</v>
      </c>
      <c r="CO19" s="224" t="s">
        <v>12</v>
      </c>
      <c r="CP19" s="224" t="s">
        <v>149</v>
      </c>
      <c r="CQ19" s="224" t="s">
        <v>538</v>
      </c>
      <c r="CR19" s="224" t="s">
        <v>422</v>
      </c>
      <c r="CS19" s="224" t="s">
        <v>337</v>
      </c>
      <c r="CT19" s="202" t="s">
        <v>712</v>
      </c>
      <c r="CU19" s="224" t="s">
        <v>31</v>
      </c>
      <c r="CV19" s="224" t="s">
        <v>515</v>
      </c>
      <c r="CW19" s="202" t="s">
        <v>699</v>
      </c>
      <c r="CX19" s="224" t="s">
        <v>34</v>
      </c>
      <c r="CY19" s="224" t="s">
        <v>235</v>
      </c>
      <c r="CZ19" s="202" t="s">
        <v>506</v>
      </c>
      <c r="DA19" s="202" t="s">
        <v>205</v>
      </c>
      <c r="DB19" s="30" t="s">
        <v>505</v>
      </c>
      <c r="DC19" s="30" t="s">
        <v>106</v>
      </c>
      <c r="DD19" s="30" t="s">
        <v>239</v>
      </c>
      <c r="DE19" s="15"/>
      <c r="DF19" s="202" t="s">
        <v>21</v>
      </c>
      <c r="DG19" s="171" t="s">
        <v>323</v>
      </c>
      <c r="DH19" s="171" t="s">
        <v>447</v>
      </c>
      <c r="DI19" s="171" t="s">
        <v>742</v>
      </c>
      <c r="DJ19" s="30" t="s">
        <v>32</v>
      </c>
      <c r="DK19" s="30" t="s">
        <v>679</v>
      </c>
      <c r="DL19" s="30" t="s">
        <v>533</v>
      </c>
      <c r="DM19" s="30" t="s">
        <v>100</v>
      </c>
      <c r="DN19" s="30" t="s">
        <v>375</v>
      </c>
      <c r="DO19" s="202" t="s">
        <v>395</v>
      </c>
      <c r="DP19" s="202" t="s">
        <v>499</v>
      </c>
      <c r="DQ19" s="98"/>
      <c r="DR19" s="98"/>
      <c r="DS19" s="98"/>
      <c r="DT19" s="98"/>
      <c r="DU19" s="98"/>
      <c r="DV19" s="98"/>
      <c r="DW19" s="98"/>
      <c r="DX19" s="98"/>
      <c r="DY19" s="98"/>
      <c r="DZ19" s="98"/>
      <c r="EA19" s="98"/>
      <c r="EB19" s="98"/>
      <c r="EC19" s="98"/>
      <c r="EK19" s="15"/>
      <c r="EL19" s="15"/>
      <c r="EM19" s="171" t="s">
        <v>681</v>
      </c>
      <c r="EN19" s="15"/>
      <c r="EO19" s="15"/>
      <c r="EP19" s="15"/>
      <c r="EQ19" s="15"/>
      <c r="ER19" s="15"/>
      <c r="ES19" s="15"/>
      <c r="ET19" s="15"/>
      <c r="EU19" s="15"/>
      <c r="EV19" s="15"/>
      <c r="EW19" s="15"/>
      <c r="EX19" s="15"/>
      <c r="EY19" s="15"/>
      <c r="EZ19" s="137"/>
      <c r="FA19" s="15"/>
      <c r="FB19" s="15"/>
      <c r="FC19" s="15"/>
      <c r="FD19" s="15"/>
      <c r="FE19" s="15"/>
      <c r="FF19" s="15"/>
      <c r="FG19" s="15"/>
      <c r="FH19" s="15"/>
      <c r="FI19" s="15"/>
      <c r="FJ19" s="15"/>
      <c r="FK19" s="15"/>
      <c r="FL19" s="15"/>
      <c r="FO19" s="15"/>
      <c r="FP19" s="137"/>
      <c r="FQ19" s="137"/>
      <c r="FR19" s="54"/>
      <c r="FS19" s="54"/>
      <c r="FT19" s="137"/>
      <c r="FU19" s="137"/>
      <c r="FV19" s="137"/>
      <c r="FW19" s="54"/>
      <c r="FX19" s="202" t="s">
        <v>413</v>
      </c>
      <c r="FY19" s="54"/>
      <c r="FZ19" s="54"/>
      <c r="GA19" s="224" t="s">
        <v>270</v>
      </c>
      <c r="GB19" s="194" t="s">
        <v>283</v>
      </c>
      <c r="GC19" s="224" t="s">
        <v>542</v>
      </c>
      <c r="GD19" s="194" t="s">
        <v>576</v>
      </c>
      <c r="GE19" s="54"/>
      <c r="GF19" s="54"/>
      <c r="GG19" s="54"/>
      <c r="GH19" s="54"/>
      <c r="GI19" s="54"/>
      <c r="GJ19" s="54"/>
      <c r="GK19" s="54"/>
    </row>
    <row r="20" spans="1:199" ht="14.25" thickTop="1" thickBot="1" x14ac:dyDescent="0.25">
      <c r="A20" s="199" t="s">
        <v>605</v>
      </c>
      <c r="B20" s="35" t="s">
        <v>265</v>
      </c>
      <c r="C20" s="35" t="s">
        <v>265</v>
      </c>
      <c r="D20" s="35" t="s">
        <v>265</v>
      </c>
      <c r="E20" s="35" t="s">
        <v>265</v>
      </c>
      <c r="F20" s="72" t="s">
        <v>442</v>
      </c>
      <c r="G20" s="72" t="s">
        <v>556</v>
      </c>
      <c r="H20" s="35" t="s">
        <v>265</v>
      </c>
      <c r="I20" s="35" t="s">
        <v>265</v>
      </c>
      <c r="J20" s="35" t="s">
        <v>265</v>
      </c>
      <c r="K20" s="35" t="s">
        <v>265</v>
      </c>
      <c r="L20" s="35" t="s">
        <v>265</v>
      </c>
      <c r="M20" s="35" t="s">
        <v>265</v>
      </c>
      <c r="N20" s="35" t="s">
        <v>265</v>
      </c>
      <c r="O20" s="35" t="s">
        <v>265</v>
      </c>
      <c r="P20" s="35" t="s">
        <v>265</v>
      </c>
      <c r="Q20" s="35" t="s">
        <v>265</v>
      </c>
      <c r="R20" s="35" t="s">
        <v>265</v>
      </c>
      <c r="S20" s="35" t="s">
        <v>265</v>
      </c>
      <c r="T20" s="35" t="s">
        <v>265</v>
      </c>
      <c r="U20" s="35" t="s">
        <v>265</v>
      </c>
      <c r="V20" s="35" t="s">
        <v>265</v>
      </c>
      <c r="W20" s="35" t="s">
        <v>265</v>
      </c>
      <c r="X20" s="35" t="s">
        <v>265</v>
      </c>
      <c r="Y20" s="35" t="s">
        <v>265</v>
      </c>
      <c r="Z20" s="35" t="s">
        <v>265</v>
      </c>
      <c r="AA20" s="35" t="s">
        <v>556</v>
      </c>
      <c r="AB20" s="35" t="s">
        <v>265</v>
      </c>
      <c r="AC20" s="35" t="s">
        <v>265</v>
      </c>
      <c r="AD20" s="35" t="s">
        <v>265</v>
      </c>
      <c r="AE20" s="35" t="s">
        <v>265</v>
      </c>
      <c r="AF20" s="35" t="s">
        <v>265</v>
      </c>
      <c r="AG20" s="35" t="s">
        <v>265</v>
      </c>
      <c r="AH20" s="35" t="s">
        <v>265</v>
      </c>
      <c r="AI20" s="35" t="s">
        <v>265</v>
      </c>
      <c r="AJ20" s="35" t="s">
        <v>265</v>
      </c>
      <c r="AK20" s="35" t="s">
        <v>265</v>
      </c>
      <c r="AL20" s="35" t="s">
        <v>265</v>
      </c>
      <c r="AM20" s="35" t="s">
        <v>456</v>
      </c>
      <c r="AN20" s="35" t="s">
        <v>456</v>
      </c>
      <c r="AO20" s="35" t="s">
        <v>265</v>
      </c>
      <c r="AP20" s="35" t="s">
        <v>265</v>
      </c>
      <c r="AQ20" s="35" t="s">
        <v>265</v>
      </c>
      <c r="AR20" s="35" t="s">
        <v>265</v>
      </c>
      <c r="AS20" s="35" t="s">
        <v>265</v>
      </c>
      <c r="AT20" s="35" t="s">
        <v>265</v>
      </c>
      <c r="AU20" s="35" t="s">
        <v>265</v>
      </c>
      <c r="AV20" s="35" t="s">
        <v>265</v>
      </c>
      <c r="AW20" s="35" t="s">
        <v>265</v>
      </c>
      <c r="AX20" s="35" t="s">
        <v>265</v>
      </c>
      <c r="AY20" s="35" t="s">
        <v>265</v>
      </c>
      <c r="AZ20" s="35" t="s">
        <v>265</v>
      </c>
      <c r="BA20" s="35" t="s">
        <v>265</v>
      </c>
      <c r="BB20" s="35" t="s">
        <v>265</v>
      </c>
      <c r="BC20" s="35" t="s">
        <v>265</v>
      </c>
      <c r="BD20" s="35" t="s">
        <v>265</v>
      </c>
      <c r="BE20" s="35" t="s">
        <v>265</v>
      </c>
      <c r="BF20" s="35" t="s">
        <v>265</v>
      </c>
      <c r="BG20" s="35" t="s">
        <v>265</v>
      </c>
      <c r="BH20" s="297" t="s">
        <v>265</v>
      </c>
      <c r="BI20" s="297" t="s">
        <v>442</v>
      </c>
      <c r="BJ20" s="35" t="s">
        <v>265</v>
      </c>
      <c r="BK20" s="35" t="s">
        <v>265</v>
      </c>
      <c r="BL20" s="35" t="s">
        <v>265</v>
      </c>
      <c r="BM20" s="35" t="s">
        <v>265</v>
      </c>
      <c r="BN20" s="35" t="s">
        <v>456</v>
      </c>
      <c r="BO20" s="35" t="s">
        <v>265</v>
      </c>
      <c r="BP20" s="35" t="s">
        <v>265</v>
      </c>
      <c r="BQ20" s="35" t="s">
        <v>265</v>
      </c>
      <c r="BR20" s="35" t="s">
        <v>265</v>
      </c>
      <c r="BS20" s="35" t="s">
        <v>265</v>
      </c>
      <c r="BT20" s="35" t="s">
        <v>265</v>
      </c>
      <c r="BU20" s="35" t="s">
        <v>265</v>
      </c>
      <c r="BV20" s="35" t="s">
        <v>265</v>
      </c>
      <c r="BW20" s="35" t="s">
        <v>265</v>
      </c>
      <c r="BX20" s="35" t="s">
        <v>265</v>
      </c>
      <c r="BY20" s="35" t="s">
        <v>265</v>
      </c>
      <c r="BZ20" s="35" t="s">
        <v>265</v>
      </c>
      <c r="CA20" s="311" t="s">
        <v>265</v>
      </c>
      <c r="CB20" s="35" t="s">
        <v>265</v>
      </c>
      <c r="CC20" s="35" t="s">
        <v>265</v>
      </c>
      <c r="CD20" s="35" t="s">
        <v>265</v>
      </c>
      <c r="CE20" s="35" t="s">
        <v>265</v>
      </c>
      <c r="CF20" s="35" t="s">
        <v>265</v>
      </c>
      <c r="CG20" s="35" t="s">
        <v>265</v>
      </c>
      <c r="CH20" s="35" t="s">
        <v>265</v>
      </c>
      <c r="CI20" s="35" t="s">
        <v>442</v>
      </c>
      <c r="CJ20" s="35" t="s">
        <v>442</v>
      </c>
      <c r="CK20" s="35" t="s">
        <v>442</v>
      </c>
      <c r="CL20" s="35" t="s">
        <v>265</v>
      </c>
      <c r="CM20" s="35" t="s">
        <v>265</v>
      </c>
      <c r="CN20" s="35" t="s">
        <v>456</v>
      </c>
      <c r="CO20" s="35" t="s">
        <v>456</v>
      </c>
      <c r="CP20" s="35" t="s">
        <v>456</v>
      </c>
      <c r="CQ20" s="35" t="s">
        <v>456</v>
      </c>
      <c r="CR20" s="35" t="s">
        <v>456</v>
      </c>
      <c r="CS20" s="35" t="s">
        <v>456</v>
      </c>
      <c r="CT20" s="35" t="s">
        <v>265</v>
      </c>
      <c r="CU20" s="35" t="s">
        <v>456</v>
      </c>
      <c r="CV20" s="35" t="s">
        <v>456</v>
      </c>
      <c r="CW20" s="35" t="s">
        <v>265</v>
      </c>
      <c r="CX20" s="35" t="s">
        <v>456</v>
      </c>
      <c r="CY20" s="35" t="s">
        <v>456</v>
      </c>
      <c r="CZ20" s="35" t="s">
        <v>456</v>
      </c>
      <c r="DA20" s="35" t="s">
        <v>456</v>
      </c>
      <c r="DB20" s="237" t="s">
        <v>456</v>
      </c>
      <c r="DC20" s="237" t="s">
        <v>456</v>
      </c>
      <c r="DD20" s="237" t="s">
        <v>456</v>
      </c>
      <c r="DE20" s="15"/>
      <c r="DF20" s="35" t="s">
        <v>265</v>
      </c>
      <c r="DG20" s="35" t="s">
        <v>265</v>
      </c>
      <c r="DH20" s="35" t="s">
        <v>265</v>
      </c>
      <c r="DI20" s="35" t="s">
        <v>456</v>
      </c>
      <c r="DJ20" s="237" t="s">
        <v>456</v>
      </c>
      <c r="DK20" s="237" t="s">
        <v>265</v>
      </c>
      <c r="DL20" s="237" t="s">
        <v>456</v>
      </c>
      <c r="DM20" s="35" t="s">
        <v>456</v>
      </c>
      <c r="DN20" s="35" t="s">
        <v>456</v>
      </c>
      <c r="DO20" s="35" t="s">
        <v>456</v>
      </c>
      <c r="DP20" s="35" t="s">
        <v>456</v>
      </c>
      <c r="DQ20" s="98"/>
      <c r="DR20" s="98"/>
      <c r="DS20" s="98"/>
      <c r="DT20" s="98"/>
      <c r="DU20" s="98"/>
      <c r="DV20" s="98"/>
      <c r="DW20" s="98"/>
      <c r="DX20" s="98"/>
      <c r="DY20" s="98"/>
      <c r="DZ20" s="98"/>
      <c r="EA20" s="98"/>
      <c r="EB20" s="98"/>
      <c r="EC20" s="98"/>
      <c r="EK20" s="15"/>
      <c r="EL20" s="15"/>
      <c r="EN20" s="15"/>
      <c r="EO20" s="15"/>
      <c r="EP20" s="15"/>
      <c r="EQ20" s="15"/>
      <c r="ER20" s="15"/>
      <c r="ES20" s="15"/>
      <c r="ET20" s="15"/>
      <c r="EU20" s="15"/>
      <c r="EV20" s="15"/>
      <c r="EW20" s="15"/>
      <c r="EX20" s="15"/>
      <c r="EY20" s="15"/>
      <c r="EZ20" s="137"/>
      <c r="FA20" s="15"/>
      <c r="FB20" s="15"/>
      <c r="FC20" s="15"/>
      <c r="FD20" s="15"/>
      <c r="FE20" s="15"/>
      <c r="FF20" s="15"/>
      <c r="FG20" s="15"/>
      <c r="FH20" s="15"/>
      <c r="FI20" s="15"/>
      <c r="FJ20" s="15"/>
      <c r="FK20" s="15"/>
      <c r="FL20" s="15"/>
      <c r="FO20" s="15"/>
      <c r="FP20" s="137"/>
      <c r="FQ20" s="137"/>
      <c r="FR20" s="54"/>
      <c r="FS20" s="54"/>
      <c r="FT20" s="137"/>
      <c r="FU20" s="137"/>
      <c r="FV20" s="137"/>
      <c r="FW20" s="54"/>
      <c r="FX20" s="35" t="s">
        <v>265</v>
      </c>
      <c r="FY20" s="54"/>
      <c r="FZ20" s="54"/>
      <c r="GA20" s="35" t="s">
        <v>442</v>
      </c>
      <c r="GB20" s="35" t="s">
        <v>265</v>
      </c>
      <c r="GC20" s="35" t="s">
        <v>265</v>
      </c>
      <c r="GD20" s="35" t="s">
        <v>265</v>
      </c>
      <c r="GE20" s="54"/>
      <c r="GF20" s="54"/>
      <c r="GG20" s="54"/>
      <c r="GH20" s="54"/>
      <c r="GI20" s="54"/>
      <c r="GJ20" s="54"/>
      <c r="GK20" s="54"/>
    </row>
    <row r="21" spans="1:199" ht="14.25" thickTop="1" thickBot="1" x14ac:dyDescent="0.25">
      <c r="A21" s="199" t="s">
        <v>606</v>
      </c>
      <c r="B21" s="196" t="s">
        <v>654</v>
      </c>
      <c r="C21" s="196" t="s">
        <v>510</v>
      </c>
      <c r="D21" s="215" t="s">
        <v>400</v>
      </c>
      <c r="E21" s="196" t="s">
        <v>302</v>
      </c>
      <c r="F21" s="18" t="s">
        <v>28</v>
      </c>
      <c r="G21" s="132" t="s">
        <v>67</v>
      </c>
      <c r="H21" s="215" t="s">
        <v>168</v>
      </c>
      <c r="I21" s="194" t="s">
        <v>310</v>
      </c>
      <c r="J21" s="194" t="s">
        <v>87</v>
      </c>
      <c r="K21" s="194" t="s">
        <v>228</v>
      </c>
      <c r="L21" s="194" t="s">
        <v>144</v>
      </c>
      <c r="M21" s="194" t="s">
        <v>429</v>
      </c>
      <c r="N21" s="56" t="s">
        <v>182</v>
      </c>
      <c r="O21" s="56" t="s">
        <v>298</v>
      </c>
      <c r="P21" s="56" t="s">
        <v>571</v>
      </c>
      <c r="Q21" s="56" t="s">
        <v>156</v>
      </c>
      <c r="R21" s="56" t="s">
        <v>299</v>
      </c>
      <c r="S21" s="194" t="s">
        <v>164</v>
      </c>
      <c r="T21" s="194" t="s">
        <v>403</v>
      </c>
      <c r="U21" s="56" t="s">
        <v>367</v>
      </c>
      <c r="V21" s="194" t="s">
        <v>105</v>
      </c>
      <c r="W21" s="179" t="s">
        <v>520</v>
      </c>
      <c r="X21" s="179" t="s">
        <v>469</v>
      </c>
      <c r="Y21" s="179" t="s">
        <v>432</v>
      </c>
      <c r="Z21" s="179" t="s">
        <v>75</v>
      </c>
      <c r="AA21" s="56" t="s">
        <v>666</v>
      </c>
      <c r="AB21" s="194" t="s">
        <v>111</v>
      </c>
      <c r="AC21" s="194" t="s">
        <v>289</v>
      </c>
      <c r="AD21" s="194" t="s">
        <v>308</v>
      </c>
      <c r="AE21" s="194" t="s">
        <v>411</v>
      </c>
      <c r="AF21" s="194" t="s">
        <v>425</v>
      </c>
      <c r="AG21" s="194" t="s">
        <v>431</v>
      </c>
      <c r="AH21" s="56" t="s">
        <v>696</v>
      </c>
      <c r="AI21" s="194" t="s">
        <v>15</v>
      </c>
      <c r="AJ21" s="194" t="s">
        <v>551</v>
      </c>
      <c r="AK21" s="194" t="s">
        <v>9</v>
      </c>
      <c r="AL21" s="194" t="s">
        <v>566</v>
      </c>
      <c r="AM21" s="194" t="s">
        <v>412</v>
      </c>
      <c r="AN21" s="194" t="s">
        <v>369</v>
      </c>
      <c r="AO21" s="194" t="s">
        <v>348</v>
      </c>
      <c r="AP21" s="194" t="s">
        <v>244</v>
      </c>
      <c r="AQ21" s="194" t="s">
        <v>488</v>
      </c>
      <c r="AR21" s="194" t="s">
        <v>397</v>
      </c>
      <c r="AS21" s="194" t="s">
        <v>440</v>
      </c>
      <c r="AT21" s="194" t="s">
        <v>445</v>
      </c>
      <c r="AU21" s="224" t="s">
        <v>119</v>
      </c>
      <c r="AV21" s="224" t="s">
        <v>580</v>
      </c>
      <c r="AW21" s="224" t="s">
        <v>64</v>
      </c>
      <c r="AX21" s="194" t="s">
        <v>471</v>
      </c>
      <c r="AY21" s="194" t="s">
        <v>539</v>
      </c>
      <c r="AZ21" s="224" t="s">
        <v>318</v>
      </c>
      <c r="BA21" s="224" t="s">
        <v>257</v>
      </c>
      <c r="BB21" s="202" t="s">
        <v>751</v>
      </c>
      <c r="BC21" s="224" t="s">
        <v>55</v>
      </c>
      <c r="BD21" s="194" t="s">
        <v>522</v>
      </c>
      <c r="BE21" s="224" t="s">
        <v>370</v>
      </c>
      <c r="BF21" s="202" t="s">
        <v>752</v>
      </c>
      <c r="BG21" s="224" t="s">
        <v>585</v>
      </c>
      <c r="BH21" s="303" t="s">
        <v>603</v>
      </c>
      <c r="BI21" s="303" t="s">
        <v>701</v>
      </c>
      <c r="BJ21" s="224" t="s">
        <v>565</v>
      </c>
      <c r="BK21" s="202" t="s">
        <v>354</v>
      </c>
      <c r="BL21" s="224" t="s">
        <v>93</v>
      </c>
      <c r="BM21" s="224" t="s">
        <v>198</v>
      </c>
      <c r="BN21" s="224" t="s">
        <v>604</v>
      </c>
      <c r="BO21" s="224" t="s">
        <v>152</v>
      </c>
      <c r="BP21" s="202" t="s">
        <v>547</v>
      </c>
      <c r="BQ21" s="202" t="s">
        <v>490</v>
      </c>
      <c r="BR21" s="202" t="s">
        <v>209</v>
      </c>
      <c r="BS21" s="202" t="s">
        <v>163</v>
      </c>
      <c r="BT21" s="202" t="s">
        <v>200</v>
      </c>
      <c r="BU21" s="202" t="s">
        <v>54</v>
      </c>
      <c r="BV21" s="202" t="s">
        <v>133</v>
      </c>
      <c r="BW21" s="202" t="s">
        <v>232</v>
      </c>
      <c r="BX21" s="202" t="s">
        <v>56</v>
      </c>
      <c r="BY21" s="202" t="s">
        <v>434</v>
      </c>
      <c r="BZ21" s="202" t="s">
        <v>108</v>
      </c>
      <c r="CA21" s="306" t="s">
        <v>657</v>
      </c>
      <c r="CB21" s="202" t="s">
        <v>659</v>
      </c>
      <c r="CC21" s="202" t="s">
        <v>661</v>
      </c>
      <c r="CD21" s="202" t="s">
        <v>648</v>
      </c>
      <c r="CE21" s="202" t="s">
        <v>649</v>
      </c>
      <c r="CF21" s="202" t="s">
        <v>650</v>
      </c>
      <c r="CG21" s="202" t="s">
        <v>327</v>
      </c>
      <c r="CH21" s="202" t="s">
        <v>356</v>
      </c>
      <c r="CI21" s="202" t="s">
        <v>513</v>
      </c>
      <c r="CJ21" s="202" t="s">
        <v>554</v>
      </c>
      <c r="CK21" s="202" t="s">
        <v>409</v>
      </c>
      <c r="CL21" s="224" t="s">
        <v>72</v>
      </c>
      <c r="CM21" s="224" t="s">
        <v>35</v>
      </c>
      <c r="CN21" s="224" t="s">
        <v>612</v>
      </c>
      <c r="CO21" s="224" t="s">
        <v>611</v>
      </c>
      <c r="CP21" s="224" t="s">
        <v>613</v>
      </c>
      <c r="CQ21" s="224" t="s">
        <v>614</v>
      </c>
      <c r="CR21" s="224" t="s">
        <v>615</v>
      </c>
      <c r="CS21" s="224" t="s">
        <v>619</v>
      </c>
      <c r="CT21" s="202" t="s">
        <v>712</v>
      </c>
      <c r="CU21" s="224" t="s">
        <v>616</v>
      </c>
      <c r="CV21" s="224" t="s">
        <v>617</v>
      </c>
      <c r="CW21" s="202" t="s">
        <v>699</v>
      </c>
      <c r="CX21" s="224" t="s">
        <v>623</v>
      </c>
      <c r="CY21" s="224" t="s">
        <v>618</v>
      </c>
      <c r="CZ21" s="202" t="s">
        <v>624</v>
      </c>
      <c r="DA21" s="202" t="s">
        <v>620</v>
      </c>
      <c r="DB21" s="30" t="s">
        <v>621</v>
      </c>
      <c r="DC21" s="30" t="s">
        <v>622</v>
      </c>
      <c r="DD21" s="30" t="s">
        <v>607</v>
      </c>
      <c r="DE21" s="15"/>
      <c r="DF21" s="202" t="s">
        <v>21</v>
      </c>
      <c r="DG21" s="171" t="s">
        <v>323</v>
      </c>
      <c r="DH21" s="171" t="s">
        <v>447</v>
      </c>
      <c r="DI21" s="171" t="s">
        <v>742</v>
      </c>
      <c r="DJ21" s="30" t="s">
        <v>188</v>
      </c>
      <c r="DK21" s="30" t="s">
        <v>679</v>
      </c>
      <c r="DL21" s="30" t="s">
        <v>608</v>
      </c>
      <c r="DM21" s="30" t="s">
        <v>609</v>
      </c>
      <c r="DN21" s="30" t="s">
        <v>610</v>
      </c>
      <c r="DO21" s="202" t="s">
        <v>395</v>
      </c>
      <c r="DP21" s="202" t="s">
        <v>499</v>
      </c>
      <c r="DQ21" s="98"/>
      <c r="DR21" s="98"/>
      <c r="DS21" s="98"/>
      <c r="DT21" s="98"/>
      <c r="DU21" s="98"/>
      <c r="DV21" s="98"/>
      <c r="DW21" s="98"/>
      <c r="DX21" s="98"/>
      <c r="DY21" s="98"/>
      <c r="DZ21" s="98"/>
      <c r="EA21" s="98"/>
      <c r="EB21" s="98"/>
      <c r="EC21" s="98"/>
      <c r="EK21" s="15"/>
      <c r="EL21" s="15"/>
      <c r="EM21" s="15"/>
      <c r="EN21" s="15"/>
      <c r="EO21" s="15"/>
      <c r="EP21" s="15"/>
      <c r="EQ21" s="15"/>
      <c r="ER21" s="15"/>
      <c r="ES21" s="15"/>
      <c r="ET21" s="15"/>
      <c r="EU21" s="15"/>
      <c r="EV21" s="15"/>
      <c r="EW21" s="15"/>
      <c r="EX21" s="15"/>
      <c r="EY21" s="15"/>
      <c r="EZ21" s="137"/>
      <c r="FA21" s="15"/>
      <c r="FB21" s="15"/>
      <c r="FC21" s="15"/>
      <c r="FD21" s="15"/>
      <c r="FE21" s="15"/>
      <c r="FF21" s="15"/>
      <c r="FG21" s="15"/>
      <c r="FH21" s="15"/>
      <c r="FI21" s="15"/>
      <c r="FJ21" s="15"/>
      <c r="FK21" s="15"/>
      <c r="FL21" s="15"/>
      <c r="FO21" s="15"/>
      <c r="FP21" s="137"/>
      <c r="FQ21" s="137"/>
      <c r="FR21" s="54"/>
      <c r="FS21" s="54"/>
      <c r="FT21" s="137"/>
      <c r="FU21" s="137"/>
      <c r="FV21" s="137"/>
      <c r="FW21" s="54"/>
      <c r="FX21" s="202" t="s">
        <v>413</v>
      </c>
      <c r="FY21" s="54"/>
      <c r="FZ21" s="54"/>
      <c r="GA21" s="224" t="s">
        <v>51</v>
      </c>
      <c r="GB21" s="194" t="s">
        <v>283</v>
      </c>
      <c r="GC21" s="224" t="s">
        <v>542</v>
      </c>
      <c r="GD21" s="194" t="s">
        <v>576</v>
      </c>
      <c r="GE21" s="54"/>
      <c r="GF21" s="54"/>
      <c r="GG21" s="54"/>
      <c r="GH21" s="54"/>
      <c r="GI21" s="54"/>
      <c r="GJ21" s="54"/>
      <c r="GK21" s="54"/>
    </row>
    <row r="22" spans="1:199" ht="14.25" thickTop="1" thickBot="1" x14ac:dyDescent="0.25">
      <c r="A22" s="199" t="s">
        <v>625</v>
      </c>
      <c r="B22" s="35" t="s">
        <v>265</v>
      </c>
      <c r="C22" s="35" t="s">
        <v>265</v>
      </c>
      <c r="D22" s="35" t="s">
        <v>265</v>
      </c>
      <c r="E22" s="35" t="s">
        <v>265</v>
      </c>
      <c r="F22" s="72" t="s">
        <v>442</v>
      </c>
      <c r="G22" s="72" t="s">
        <v>556</v>
      </c>
      <c r="H22" s="35" t="s">
        <v>265</v>
      </c>
      <c r="I22" s="35" t="s">
        <v>265</v>
      </c>
      <c r="J22" s="35" t="s">
        <v>265</v>
      </c>
      <c r="K22" s="35" t="s">
        <v>265</v>
      </c>
      <c r="L22" s="35" t="s">
        <v>265</v>
      </c>
      <c r="M22" s="35" t="s">
        <v>265</v>
      </c>
      <c r="N22" s="35" t="s">
        <v>265</v>
      </c>
      <c r="O22" s="35" t="s">
        <v>265</v>
      </c>
      <c r="P22" s="35" t="s">
        <v>265</v>
      </c>
      <c r="Q22" s="35" t="s">
        <v>265</v>
      </c>
      <c r="R22" s="35" t="s">
        <v>265</v>
      </c>
      <c r="S22" s="35" t="s">
        <v>265</v>
      </c>
      <c r="T22" s="35" t="s">
        <v>265</v>
      </c>
      <c r="U22" s="35" t="s">
        <v>265</v>
      </c>
      <c r="V22" s="35" t="s">
        <v>265</v>
      </c>
      <c r="W22" s="35" t="s">
        <v>265</v>
      </c>
      <c r="X22" s="35" t="s">
        <v>265</v>
      </c>
      <c r="Y22" s="35" t="s">
        <v>265</v>
      </c>
      <c r="Z22" s="35" t="s">
        <v>265</v>
      </c>
      <c r="AA22" s="35" t="s">
        <v>556</v>
      </c>
      <c r="AB22" s="35" t="s">
        <v>265</v>
      </c>
      <c r="AC22" s="35" t="s">
        <v>265</v>
      </c>
      <c r="AD22" s="35" t="s">
        <v>265</v>
      </c>
      <c r="AE22" s="35" t="s">
        <v>265</v>
      </c>
      <c r="AF22" s="35" t="s">
        <v>265</v>
      </c>
      <c r="AG22" s="35" t="s">
        <v>265</v>
      </c>
      <c r="AH22" s="35" t="s">
        <v>265</v>
      </c>
      <c r="AI22" s="35" t="s">
        <v>265</v>
      </c>
      <c r="AJ22" s="35" t="s">
        <v>265</v>
      </c>
      <c r="AK22" s="35" t="s">
        <v>265</v>
      </c>
      <c r="AL22" s="35" t="s">
        <v>265</v>
      </c>
      <c r="AM22" s="35" t="s">
        <v>456</v>
      </c>
      <c r="AN22" s="35" t="s">
        <v>456</v>
      </c>
      <c r="AO22" s="35" t="s">
        <v>265</v>
      </c>
      <c r="AP22" s="35" t="s">
        <v>265</v>
      </c>
      <c r="AQ22" s="35" t="s">
        <v>265</v>
      </c>
      <c r="AR22" s="35" t="s">
        <v>265</v>
      </c>
      <c r="AS22" s="35" t="s">
        <v>265</v>
      </c>
      <c r="AT22" s="35" t="s">
        <v>265</v>
      </c>
      <c r="AU22" s="35" t="s">
        <v>265</v>
      </c>
      <c r="AV22" s="35" t="s">
        <v>265</v>
      </c>
      <c r="AW22" s="35" t="s">
        <v>265</v>
      </c>
      <c r="AX22" s="35" t="s">
        <v>265</v>
      </c>
      <c r="AY22" s="35" t="s">
        <v>265</v>
      </c>
      <c r="AZ22" s="35" t="s">
        <v>265</v>
      </c>
      <c r="BA22" s="35" t="s">
        <v>265</v>
      </c>
      <c r="BB22" s="35" t="s">
        <v>265</v>
      </c>
      <c r="BC22" s="35" t="s">
        <v>265</v>
      </c>
      <c r="BD22" s="35" t="s">
        <v>442</v>
      </c>
      <c r="BE22" s="35" t="s">
        <v>265</v>
      </c>
      <c r="BF22" s="35" t="s">
        <v>265</v>
      </c>
      <c r="BG22" s="35" t="s">
        <v>265</v>
      </c>
      <c r="BH22" s="297" t="s">
        <v>265</v>
      </c>
      <c r="BI22" s="297" t="s">
        <v>265</v>
      </c>
      <c r="BJ22" s="35" t="s">
        <v>265</v>
      </c>
      <c r="BK22" s="35" t="s">
        <v>265</v>
      </c>
      <c r="BL22" s="35" t="s">
        <v>265</v>
      </c>
      <c r="BM22" s="35" t="s">
        <v>265</v>
      </c>
      <c r="BN22" s="35" t="s">
        <v>265</v>
      </c>
      <c r="BO22" s="35" t="s">
        <v>265</v>
      </c>
      <c r="BP22" s="35" t="s">
        <v>265</v>
      </c>
      <c r="BQ22" s="35" t="s">
        <v>265</v>
      </c>
      <c r="BR22" s="35" t="s">
        <v>265</v>
      </c>
      <c r="BS22" s="35" t="s">
        <v>265</v>
      </c>
      <c r="BT22" s="35" t="s">
        <v>265</v>
      </c>
      <c r="BU22" s="35" t="s">
        <v>265</v>
      </c>
      <c r="BV22" s="35" t="s">
        <v>265</v>
      </c>
      <c r="BW22" s="35" t="s">
        <v>265</v>
      </c>
      <c r="BX22" s="35" t="s">
        <v>265</v>
      </c>
      <c r="BY22" s="35" t="s">
        <v>265</v>
      </c>
      <c r="BZ22" s="35" t="s">
        <v>265</v>
      </c>
      <c r="CA22" s="311" t="s">
        <v>265</v>
      </c>
      <c r="CB22" s="35" t="s">
        <v>265</v>
      </c>
      <c r="CC22" s="35" t="s">
        <v>265</v>
      </c>
      <c r="CD22" s="35" t="s">
        <v>265</v>
      </c>
      <c r="CE22" s="35" t="s">
        <v>265</v>
      </c>
      <c r="CF22" s="35" t="s">
        <v>265</v>
      </c>
      <c r="CG22" s="35" t="s">
        <v>265</v>
      </c>
      <c r="CH22" s="35" t="s">
        <v>265</v>
      </c>
      <c r="CI22" s="35" t="s">
        <v>442</v>
      </c>
      <c r="CJ22" s="35" t="s">
        <v>442</v>
      </c>
      <c r="CK22" s="35" t="s">
        <v>442</v>
      </c>
      <c r="CL22" s="35" t="s">
        <v>265</v>
      </c>
      <c r="CM22" s="35" t="s">
        <v>265</v>
      </c>
      <c r="CN22" s="35" t="s">
        <v>456</v>
      </c>
      <c r="CO22" s="35" t="s">
        <v>456</v>
      </c>
      <c r="CP22" s="35" t="s">
        <v>456</v>
      </c>
      <c r="CQ22" s="35" t="s">
        <v>456</v>
      </c>
      <c r="CR22" s="35" t="s">
        <v>456</v>
      </c>
      <c r="CS22" s="35" t="s">
        <v>456</v>
      </c>
      <c r="CT22" s="35" t="s">
        <v>456</v>
      </c>
      <c r="CU22" s="35" t="s">
        <v>456</v>
      </c>
      <c r="CV22" s="35" t="s">
        <v>456</v>
      </c>
      <c r="CW22" s="35" t="s">
        <v>265</v>
      </c>
      <c r="CX22" s="35" t="s">
        <v>456</v>
      </c>
      <c r="CY22" s="35" t="s">
        <v>456</v>
      </c>
      <c r="CZ22" s="35" t="s">
        <v>456</v>
      </c>
      <c r="DA22" s="35" t="s">
        <v>456</v>
      </c>
      <c r="DB22" s="237" t="s">
        <v>456</v>
      </c>
      <c r="DC22" s="237" t="s">
        <v>456</v>
      </c>
      <c r="DD22" s="237" t="s">
        <v>456</v>
      </c>
      <c r="DE22" s="15"/>
      <c r="DF22" s="35" t="s">
        <v>265</v>
      </c>
      <c r="DG22" s="35" t="s">
        <v>265</v>
      </c>
      <c r="DH22" s="35" t="s">
        <v>265</v>
      </c>
      <c r="DI22" s="35" t="s">
        <v>456</v>
      </c>
      <c r="DJ22" s="237" t="s">
        <v>456</v>
      </c>
      <c r="DK22" s="237" t="s">
        <v>265</v>
      </c>
      <c r="DL22" s="237" t="s">
        <v>456</v>
      </c>
      <c r="DM22" s="35" t="s">
        <v>456</v>
      </c>
      <c r="DN22" s="35" t="s">
        <v>456</v>
      </c>
      <c r="DO22" s="35" t="s">
        <v>456</v>
      </c>
      <c r="DP22" s="35" t="s">
        <v>456</v>
      </c>
      <c r="DQ22" s="98"/>
      <c r="DR22" s="98"/>
      <c r="DS22" s="98"/>
      <c r="DT22" s="98"/>
      <c r="DU22" s="98"/>
      <c r="DV22" s="98"/>
      <c r="DW22" s="98"/>
      <c r="DX22" s="98"/>
      <c r="DY22" s="98"/>
      <c r="DZ22" s="98"/>
      <c r="EA22" s="98"/>
      <c r="EB22" s="98"/>
      <c r="EC22" s="98"/>
      <c r="EK22" s="15"/>
      <c r="EL22" s="15"/>
      <c r="EM22" s="15"/>
      <c r="EN22" s="15"/>
      <c r="EO22" s="15"/>
      <c r="EP22" s="15"/>
      <c r="EQ22" s="15"/>
      <c r="ER22" s="15"/>
      <c r="ES22" s="15"/>
      <c r="ET22" s="15"/>
      <c r="EU22" s="15"/>
      <c r="EV22" s="15"/>
      <c r="EW22" s="15"/>
      <c r="EX22" s="15"/>
      <c r="EY22" s="15"/>
      <c r="EZ22" s="137"/>
      <c r="FA22" s="15"/>
      <c r="FB22" s="15"/>
      <c r="FC22" s="15"/>
      <c r="FD22" s="15"/>
      <c r="FE22" s="15"/>
      <c r="FF22" s="15"/>
      <c r="FG22" s="15"/>
      <c r="FH22" s="15"/>
      <c r="FI22" s="15"/>
      <c r="FJ22" s="15"/>
      <c r="FK22" s="15"/>
      <c r="FL22" s="15"/>
      <c r="FO22" s="15"/>
      <c r="FP22" s="137"/>
      <c r="FQ22" s="137"/>
      <c r="FR22" s="54"/>
      <c r="FS22" s="54"/>
      <c r="FT22" s="137"/>
      <c r="FU22" s="137"/>
      <c r="FV22" s="137"/>
      <c r="FW22" s="54"/>
      <c r="FX22" s="54"/>
      <c r="FY22" s="54"/>
      <c r="FZ22" s="54"/>
      <c r="GA22" s="35" t="s">
        <v>265</v>
      </c>
      <c r="GB22" s="35" t="s">
        <v>265</v>
      </c>
      <c r="GC22" s="35" t="s">
        <v>265</v>
      </c>
      <c r="GD22" s="35" t="s">
        <v>265</v>
      </c>
      <c r="GE22" s="54"/>
      <c r="GF22" s="54"/>
      <c r="GG22" s="54"/>
      <c r="GH22" s="54"/>
      <c r="GI22" s="54"/>
      <c r="GJ22" s="54"/>
      <c r="GK22" s="54"/>
    </row>
    <row r="23" spans="1:199" ht="14.25" thickTop="1" thickBot="1" x14ac:dyDescent="0.25">
      <c r="A23" s="199" t="s">
        <v>626</v>
      </c>
      <c r="B23" s="196" t="s">
        <v>654</v>
      </c>
      <c r="C23" s="196" t="s">
        <v>510</v>
      </c>
      <c r="D23" s="215" t="s">
        <v>400</v>
      </c>
      <c r="E23" s="196" t="s">
        <v>302</v>
      </c>
      <c r="F23" s="18" t="s">
        <v>28</v>
      </c>
      <c r="G23" s="132" t="s">
        <v>67</v>
      </c>
      <c r="H23" s="215" t="s">
        <v>168</v>
      </c>
      <c r="I23" s="194" t="s">
        <v>310</v>
      </c>
      <c r="J23" s="194" t="s">
        <v>87</v>
      </c>
      <c r="K23" s="194" t="s">
        <v>228</v>
      </c>
      <c r="L23" s="194" t="s">
        <v>144</v>
      </c>
      <c r="M23" s="194" t="s">
        <v>429</v>
      </c>
      <c r="N23" s="56" t="s">
        <v>182</v>
      </c>
      <c r="O23" s="56" t="s">
        <v>298</v>
      </c>
      <c r="P23" s="56" t="s">
        <v>571</v>
      </c>
      <c r="Q23" s="56" t="s">
        <v>156</v>
      </c>
      <c r="R23" s="56" t="s">
        <v>299</v>
      </c>
      <c r="S23" s="194" t="s">
        <v>164</v>
      </c>
      <c r="T23" s="194" t="s">
        <v>403</v>
      </c>
      <c r="U23" s="56" t="s">
        <v>367</v>
      </c>
      <c r="V23" s="194" t="s">
        <v>105</v>
      </c>
      <c r="W23" s="179" t="s">
        <v>520</v>
      </c>
      <c r="X23" s="179" t="s">
        <v>469</v>
      </c>
      <c r="Y23" s="179" t="s">
        <v>432</v>
      </c>
      <c r="Z23" s="179" t="s">
        <v>75</v>
      </c>
      <c r="AA23" s="56" t="s">
        <v>666</v>
      </c>
      <c r="AB23" s="194" t="s">
        <v>111</v>
      </c>
      <c r="AC23" s="194" t="s">
        <v>289</v>
      </c>
      <c r="AD23" s="194" t="s">
        <v>308</v>
      </c>
      <c r="AE23" s="194" t="s">
        <v>411</v>
      </c>
      <c r="AF23" s="194" t="s">
        <v>425</v>
      </c>
      <c r="AG23" s="194" t="s">
        <v>431</v>
      </c>
      <c r="AH23" s="56" t="s">
        <v>696</v>
      </c>
      <c r="AI23" s="194" t="s">
        <v>15</v>
      </c>
      <c r="AJ23" s="194" t="s">
        <v>551</v>
      </c>
      <c r="AK23" s="194" t="s">
        <v>9</v>
      </c>
      <c r="AL23" s="194" t="s">
        <v>566</v>
      </c>
      <c r="AM23" s="194" t="s">
        <v>412</v>
      </c>
      <c r="AN23" s="194" t="s">
        <v>369</v>
      </c>
      <c r="AO23" s="194" t="s">
        <v>348</v>
      </c>
      <c r="AP23" s="194" t="s">
        <v>244</v>
      </c>
      <c r="AQ23" s="194" t="s">
        <v>488</v>
      </c>
      <c r="AR23" s="194" t="s">
        <v>397</v>
      </c>
      <c r="AS23" s="194" t="s">
        <v>440</v>
      </c>
      <c r="AT23" s="194" t="s">
        <v>445</v>
      </c>
      <c r="AU23" s="224" t="s">
        <v>119</v>
      </c>
      <c r="AV23" s="224" t="s">
        <v>580</v>
      </c>
      <c r="AW23" s="224" t="s">
        <v>64</v>
      </c>
      <c r="AX23" s="194" t="s">
        <v>471</v>
      </c>
      <c r="AY23" s="194" t="s">
        <v>539</v>
      </c>
      <c r="AZ23" s="224" t="s">
        <v>318</v>
      </c>
      <c r="BA23" s="224" t="s">
        <v>257</v>
      </c>
      <c r="BB23" s="202" t="s">
        <v>751</v>
      </c>
      <c r="BC23" s="224" t="s">
        <v>55</v>
      </c>
      <c r="BD23" s="194" t="s">
        <v>627</v>
      </c>
      <c r="BE23" s="224" t="s">
        <v>370</v>
      </c>
      <c r="BF23" s="202" t="s">
        <v>752</v>
      </c>
      <c r="BG23" s="224" t="s">
        <v>585</v>
      </c>
      <c r="BH23" s="303" t="s">
        <v>603</v>
      </c>
      <c r="BI23" s="303" t="s">
        <v>604</v>
      </c>
      <c r="BJ23" s="224" t="s">
        <v>565</v>
      </c>
      <c r="BK23" s="202" t="s">
        <v>354</v>
      </c>
      <c r="BL23" s="224" t="s">
        <v>93</v>
      </c>
      <c r="BM23" s="224" t="s">
        <v>198</v>
      </c>
      <c r="BN23" s="224" t="s">
        <v>522</v>
      </c>
      <c r="BO23" s="224" t="s">
        <v>152</v>
      </c>
      <c r="BP23" s="202" t="s">
        <v>547</v>
      </c>
      <c r="BQ23" s="202" t="s">
        <v>490</v>
      </c>
      <c r="BR23" s="202" t="s">
        <v>209</v>
      </c>
      <c r="BS23" s="202" t="s">
        <v>163</v>
      </c>
      <c r="BT23" s="202" t="s">
        <v>200</v>
      </c>
      <c r="BU23" s="202" t="s">
        <v>54</v>
      </c>
      <c r="BV23" s="202" t="s">
        <v>133</v>
      </c>
      <c r="BW23" s="202" t="s">
        <v>232</v>
      </c>
      <c r="BX23" s="202" t="s">
        <v>56</v>
      </c>
      <c r="BY23" s="202" t="s">
        <v>434</v>
      </c>
      <c r="BZ23" s="202" t="s">
        <v>108</v>
      </c>
      <c r="CA23" s="306" t="s">
        <v>657</v>
      </c>
      <c r="CB23" s="202" t="s">
        <v>659</v>
      </c>
      <c r="CC23" s="202" t="s">
        <v>661</v>
      </c>
      <c r="CD23" s="202" t="s">
        <v>648</v>
      </c>
      <c r="CE23" s="202" t="s">
        <v>649</v>
      </c>
      <c r="CF23" s="202" t="s">
        <v>650</v>
      </c>
      <c r="CG23" s="202" t="s">
        <v>327</v>
      </c>
      <c r="CH23" s="202" t="s">
        <v>356</v>
      </c>
      <c r="CI23" s="202" t="s">
        <v>513</v>
      </c>
      <c r="CJ23" s="202" t="s">
        <v>554</v>
      </c>
      <c r="CK23" s="202" t="s">
        <v>409</v>
      </c>
      <c r="CL23" s="224" t="s">
        <v>72</v>
      </c>
      <c r="CM23" s="224" t="s">
        <v>35</v>
      </c>
      <c r="CN23" s="224" t="s">
        <v>628</v>
      </c>
      <c r="CO23" s="224" t="s">
        <v>629</v>
      </c>
      <c r="CP23" s="224" t="s">
        <v>630</v>
      </c>
      <c r="CQ23" s="224" t="s">
        <v>631</v>
      </c>
      <c r="CR23" s="224" t="s">
        <v>632</v>
      </c>
      <c r="CS23" s="224" t="s">
        <v>633</v>
      </c>
      <c r="CT23" s="202" t="s">
        <v>712</v>
      </c>
      <c r="CU23" s="224" t="s">
        <v>634</v>
      </c>
      <c r="CV23" s="224" t="s">
        <v>635</v>
      </c>
      <c r="CW23" s="202" t="s">
        <v>699</v>
      </c>
      <c r="CX23" s="224" t="s">
        <v>636</v>
      </c>
      <c r="CY23" s="224" t="s">
        <v>637</v>
      </c>
      <c r="CZ23" s="202" t="s">
        <v>638</v>
      </c>
      <c r="DA23" s="202" t="s">
        <v>639</v>
      </c>
      <c r="DB23" s="30" t="s">
        <v>640</v>
      </c>
      <c r="DC23" s="30" t="s">
        <v>641</v>
      </c>
      <c r="DD23" s="30" t="s">
        <v>642</v>
      </c>
      <c r="DE23" s="15"/>
      <c r="DF23" s="202" t="s">
        <v>21</v>
      </c>
      <c r="DG23" s="171" t="s">
        <v>323</v>
      </c>
      <c r="DH23" s="171" t="s">
        <v>447</v>
      </c>
      <c r="DI23" s="171" t="s">
        <v>742</v>
      </c>
      <c r="DJ23" s="30" t="s">
        <v>643</v>
      </c>
      <c r="DK23" s="30" t="s">
        <v>679</v>
      </c>
      <c r="DL23" s="30" t="s">
        <v>644</v>
      </c>
      <c r="DM23" s="30" t="s">
        <v>645</v>
      </c>
      <c r="DN23" s="30" t="s">
        <v>646</v>
      </c>
      <c r="DO23" s="202" t="s">
        <v>395</v>
      </c>
      <c r="DP23" s="202" t="s">
        <v>499</v>
      </c>
      <c r="DQ23" s="98"/>
      <c r="DR23" s="98"/>
      <c r="DS23" s="98"/>
      <c r="DT23" s="98"/>
      <c r="DU23" s="98"/>
      <c r="DV23" s="98"/>
      <c r="DW23" s="98"/>
      <c r="DX23" s="98"/>
      <c r="DY23" s="98"/>
      <c r="DZ23" s="98"/>
      <c r="EA23" s="98"/>
      <c r="EB23" s="98"/>
      <c r="EC23" s="98"/>
      <c r="EK23" s="15"/>
      <c r="EL23" s="15"/>
      <c r="EM23" s="15"/>
      <c r="EN23" s="15"/>
      <c r="EO23" s="15"/>
      <c r="EP23" s="15"/>
      <c r="EQ23" s="15"/>
      <c r="ER23" s="15"/>
      <c r="ES23" s="15"/>
      <c r="ET23" s="15"/>
      <c r="EU23" s="15"/>
      <c r="EV23" s="15"/>
      <c r="EW23" s="15"/>
      <c r="EX23" s="15"/>
      <c r="EY23" s="15"/>
      <c r="EZ23" s="137"/>
      <c r="FA23" s="15"/>
      <c r="FB23" s="15"/>
      <c r="FC23" s="15"/>
      <c r="FD23" s="15"/>
      <c r="FE23" s="15"/>
      <c r="FF23" s="15"/>
      <c r="FG23" s="15"/>
      <c r="FH23" s="15"/>
      <c r="FI23" s="15"/>
      <c r="FJ23" s="15"/>
      <c r="FK23" s="15"/>
      <c r="FL23" s="15"/>
      <c r="FO23" s="15"/>
      <c r="FP23" s="137"/>
      <c r="FQ23" s="137"/>
      <c r="FR23" s="54"/>
      <c r="FS23" s="54"/>
      <c r="FT23" s="137"/>
      <c r="FU23" s="137"/>
      <c r="FV23" s="137"/>
      <c r="FW23" s="54"/>
      <c r="FX23" s="54"/>
      <c r="FY23" s="54"/>
      <c r="FZ23" s="54"/>
      <c r="GA23" s="224" t="s">
        <v>51</v>
      </c>
      <c r="GB23" s="194" t="s">
        <v>283</v>
      </c>
      <c r="GC23" s="224" t="s">
        <v>542</v>
      </c>
      <c r="GD23" s="194" t="s">
        <v>576</v>
      </c>
      <c r="GE23" s="54"/>
      <c r="GF23" s="54"/>
      <c r="GG23" s="54"/>
      <c r="GH23" s="54"/>
      <c r="GI23" s="54"/>
      <c r="GJ23" s="54"/>
      <c r="GK23" s="54"/>
    </row>
    <row r="24" spans="1:199" ht="14.25" thickTop="1" thickBot="1" x14ac:dyDescent="0.25">
      <c r="A24" s="199" t="s">
        <v>410</v>
      </c>
      <c r="B24" s="35" t="s">
        <v>265</v>
      </c>
      <c r="C24" s="35" t="s">
        <v>265</v>
      </c>
      <c r="D24" s="35" t="s">
        <v>265</v>
      </c>
      <c r="E24" s="35" t="s">
        <v>265</v>
      </c>
      <c r="F24" s="72" t="s">
        <v>442</v>
      </c>
      <c r="G24" s="72" t="s">
        <v>556</v>
      </c>
      <c r="H24" s="35" t="s">
        <v>265</v>
      </c>
      <c r="I24" s="35" t="s">
        <v>265</v>
      </c>
      <c r="J24" s="35" t="s">
        <v>265</v>
      </c>
      <c r="K24" s="35" t="s">
        <v>265</v>
      </c>
      <c r="L24" s="35" t="s">
        <v>265</v>
      </c>
      <c r="M24" s="35" t="s">
        <v>265</v>
      </c>
      <c r="N24" s="35" t="s">
        <v>265</v>
      </c>
      <c r="O24" s="35" t="s">
        <v>265</v>
      </c>
      <c r="P24" s="35" t="s">
        <v>265</v>
      </c>
      <c r="Q24" s="35" t="s">
        <v>265</v>
      </c>
      <c r="R24" s="35" t="s">
        <v>265</v>
      </c>
      <c r="S24" s="35" t="s">
        <v>265</v>
      </c>
      <c r="T24" s="35" t="s">
        <v>265</v>
      </c>
      <c r="U24" s="35" t="s">
        <v>265</v>
      </c>
      <c r="V24" s="35" t="s">
        <v>265</v>
      </c>
      <c r="W24" s="35" t="s">
        <v>265</v>
      </c>
      <c r="X24" s="35" t="s">
        <v>265</v>
      </c>
      <c r="Y24" s="35" t="s">
        <v>265</v>
      </c>
      <c r="Z24" s="35" t="s">
        <v>442</v>
      </c>
      <c r="AA24" s="35" t="s">
        <v>556</v>
      </c>
      <c r="AB24" s="35" t="s">
        <v>265</v>
      </c>
      <c r="AC24" s="35" t="s">
        <v>265</v>
      </c>
      <c r="AD24" s="35" t="s">
        <v>265</v>
      </c>
      <c r="AE24" s="35" t="s">
        <v>265</v>
      </c>
      <c r="AF24" s="35" t="s">
        <v>265</v>
      </c>
      <c r="AG24" s="35" t="s">
        <v>265</v>
      </c>
      <c r="AH24" s="35" t="s">
        <v>265</v>
      </c>
      <c r="AI24" s="35" t="s">
        <v>265</v>
      </c>
      <c r="AJ24" s="35" t="s">
        <v>265</v>
      </c>
      <c r="AK24" s="35" t="s">
        <v>265</v>
      </c>
      <c r="AL24" s="35" t="s">
        <v>265</v>
      </c>
      <c r="AM24" s="35" t="s">
        <v>456</v>
      </c>
      <c r="AN24" s="35" t="s">
        <v>456</v>
      </c>
      <c r="AO24" s="35" t="s">
        <v>265</v>
      </c>
      <c r="AP24" s="35" t="s">
        <v>265</v>
      </c>
      <c r="AQ24" s="35" t="s">
        <v>265</v>
      </c>
      <c r="AR24" s="35" t="s">
        <v>265</v>
      </c>
      <c r="AS24" s="35" t="s">
        <v>265</v>
      </c>
      <c r="AT24" s="35" t="s">
        <v>265</v>
      </c>
      <c r="AU24" s="35" t="s">
        <v>265</v>
      </c>
      <c r="AV24" s="35" t="s">
        <v>265</v>
      </c>
      <c r="AW24" s="35" t="s">
        <v>265</v>
      </c>
      <c r="AX24" s="35" t="s">
        <v>265</v>
      </c>
      <c r="AY24" s="35" t="s">
        <v>265</v>
      </c>
      <c r="AZ24" s="35" t="s">
        <v>265</v>
      </c>
      <c r="BA24" s="35" t="s">
        <v>265</v>
      </c>
      <c r="BB24" s="35" t="s">
        <v>265</v>
      </c>
      <c r="BC24" s="35" t="s">
        <v>265</v>
      </c>
      <c r="BD24" s="35" t="s">
        <v>265</v>
      </c>
      <c r="BE24" s="35" t="s">
        <v>265</v>
      </c>
      <c r="BF24" s="35" t="s">
        <v>265</v>
      </c>
      <c r="BG24" s="35" t="s">
        <v>265</v>
      </c>
      <c r="BH24" s="297" t="s">
        <v>265</v>
      </c>
      <c r="BI24" s="297" t="s">
        <v>265</v>
      </c>
      <c r="BJ24" s="35" t="s">
        <v>265</v>
      </c>
      <c r="BK24" s="35" t="s">
        <v>265</v>
      </c>
      <c r="BL24" s="35" t="s">
        <v>265</v>
      </c>
      <c r="BM24" s="35" t="s">
        <v>265</v>
      </c>
      <c r="BN24" s="35" t="s">
        <v>442</v>
      </c>
      <c r="BO24" s="35" t="s">
        <v>265</v>
      </c>
      <c r="BP24" s="35" t="s">
        <v>265</v>
      </c>
      <c r="BQ24" s="35" t="s">
        <v>265</v>
      </c>
      <c r="BR24" s="35" t="s">
        <v>265</v>
      </c>
      <c r="BS24" s="35" t="s">
        <v>265</v>
      </c>
      <c r="BT24" s="35" t="s">
        <v>265</v>
      </c>
      <c r="BU24" s="35" t="s">
        <v>265</v>
      </c>
      <c r="BV24" s="35" t="s">
        <v>265</v>
      </c>
      <c r="BW24" s="35" t="s">
        <v>265</v>
      </c>
      <c r="BX24" s="35" t="s">
        <v>265</v>
      </c>
      <c r="BY24" s="35" t="s">
        <v>265</v>
      </c>
      <c r="BZ24" s="35" t="s">
        <v>265</v>
      </c>
      <c r="CA24" s="311" t="s">
        <v>265</v>
      </c>
      <c r="CB24" s="35" t="s">
        <v>265</v>
      </c>
      <c r="CC24" s="35" t="s">
        <v>265</v>
      </c>
      <c r="CD24" s="35" t="s">
        <v>265</v>
      </c>
      <c r="CE24" s="35" t="s">
        <v>265</v>
      </c>
      <c r="CF24" s="35" t="s">
        <v>265</v>
      </c>
      <c r="CG24" s="35" t="s">
        <v>265</v>
      </c>
      <c r="CH24" s="35" t="s">
        <v>265</v>
      </c>
      <c r="CI24" s="35" t="s">
        <v>442</v>
      </c>
      <c r="CJ24" s="35" t="s">
        <v>442</v>
      </c>
      <c r="CK24" s="35" t="s">
        <v>442</v>
      </c>
      <c r="CL24" s="35" t="s">
        <v>265</v>
      </c>
      <c r="CM24" s="35" t="s">
        <v>265</v>
      </c>
      <c r="CN24" s="35" t="s">
        <v>456</v>
      </c>
      <c r="CO24" s="35" t="s">
        <v>456</v>
      </c>
      <c r="CP24" s="35" t="s">
        <v>456</v>
      </c>
      <c r="CQ24" s="35" t="s">
        <v>456</v>
      </c>
      <c r="CR24" s="35" t="s">
        <v>456</v>
      </c>
      <c r="CS24" s="35" t="s">
        <v>456</v>
      </c>
      <c r="CT24" s="35" t="s">
        <v>456</v>
      </c>
      <c r="CU24" s="35" t="s">
        <v>456</v>
      </c>
      <c r="CV24" s="35" t="s">
        <v>456</v>
      </c>
      <c r="CW24" s="35" t="s">
        <v>265</v>
      </c>
      <c r="CX24" s="35" t="s">
        <v>456</v>
      </c>
      <c r="CY24" s="35" t="s">
        <v>456</v>
      </c>
      <c r="CZ24" s="35" t="s">
        <v>456</v>
      </c>
      <c r="DA24" s="35" t="s">
        <v>456</v>
      </c>
      <c r="DB24" s="237" t="s">
        <v>456</v>
      </c>
      <c r="DC24" s="237" t="s">
        <v>456</v>
      </c>
      <c r="DD24" s="237" t="s">
        <v>456</v>
      </c>
      <c r="DE24" s="15"/>
      <c r="DF24" s="35" t="s">
        <v>265</v>
      </c>
      <c r="DG24" s="35" t="s">
        <v>265</v>
      </c>
      <c r="DH24" s="35" t="s">
        <v>265</v>
      </c>
      <c r="DI24" s="35" t="s">
        <v>456</v>
      </c>
      <c r="DJ24" s="237" t="s">
        <v>456</v>
      </c>
      <c r="DK24" s="237" t="s">
        <v>265</v>
      </c>
      <c r="DL24" s="237" t="s">
        <v>456</v>
      </c>
      <c r="DM24" s="35" t="s">
        <v>456</v>
      </c>
      <c r="DN24" s="35" t="s">
        <v>456</v>
      </c>
      <c r="DO24" s="35" t="s">
        <v>456</v>
      </c>
      <c r="DP24" s="35" t="s">
        <v>456</v>
      </c>
      <c r="DQ24" s="72" t="s">
        <v>456</v>
      </c>
      <c r="DR24" s="72" t="s">
        <v>456</v>
      </c>
      <c r="DS24" s="72" t="s">
        <v>456</v>
      </c>
      <c r="DT24" s="72" t="s">
        <v>456</v>
      </c>
      <c r="DU24" s="72" t="s">
        <v>456</v>
      </c>
      <c r="DV24" s="72" t="s">
        <v>456</v>
      </c>
      <c r="DW24" s="201"/>
      <c r="DX24" s="201"/>
      <c r="DY24" s="201"/>
      <c r="DZ24" s="201"/>
      <c r="EA24" s="201"/>
      <c r="EB24" s="201"/>
      <c r="EC24" s="201"/>
      <c r="EK24" s="273"/>
      <c r="EL24" s="273"/>
      <c r="EM24" s="273"/>
      <c r="EN24" s="273"/>
      <c r="EO24" s="273"/>
      <c r="EP24" s="273"/>
      <c r="EQ24" s="273"/>
      <c r="ER24" s="273"/>
      <c r="ES24" s="273"/>
      <c r="ET24" s="273"/>
      <c r="EU24" s="273"/>
      <c r="EV24" s="273"/>
      <c r="EW24" s="273"/>
      <c r="EX24" s="273"/>
      <c r="EY24" s="273"/>
      <c r="EZ24" s="137"/>
      <c r="FA24" s="273"/>
      <c r="FB24" s="273"/>
      <c r="FC24" s="273"/>
      <c r="FD24" s="273"/>
      <c r="FE24" s="273"/>
      <c r="FF24" s="273"/>
      <c r="FG24" s="273"/>
      <c r="FH24" s="273"/>
      <c r="FI24" s="273"/>
      <c r="FJ24" s="273"/>
      <c r="FK24" s="273"/>
      <c r="FL24" s="273"/>
      <c r="FO24" s="15"/>
      <c r="FP24" s="137"/>
      <c r="FQ24" s="273"/>
      <c r="FR24" s="54"/>
      <c r="FS24" s="54"/>
      <c r="FT24" s="273"/>
      <c r="FU24" s="273"/>
      <c r="FV24" s="273"/>
      <c r="FW24" s="54"/>
      <c r="FX24" s="54"/>
      <c r="FY24" s="273"/>
      <c r="FZ24" s="273"/>
      <c r="GA24" s="35" t="s">
        <v>265</v>
      </c>
      <c r="GB24" s="35" t="s">
        <v>265</v>
      </c>
      <c r="GC24" s="35" t="s">
        <v>265</v>
      </c>
      <c r="GD24" s="35" t="s">
        <v>265</v>
      </c>
      <c r="GE24" s="54"/>
      <c r="GF24" s="54"/>
      <c r="GG24" s="54"/>
      <c r="GH24" s="54"/>
      <c r="GI24" s="54"/>
      <c r="GJ24" s="54"/>
      <c r="GK24" s="54"/>
    </row>
    <row r="25" spans="1:199" ht="14.25" thickTop="1" thickBot="1" x14ac:dyDescent="0.25">
      <c r="A25" s="199" t="s">
        <v>324</v>
      </c>
      <c r="B25" s="60" t="s">
        <v>654</v>
      </c>
      <c r="C25" s="60" t="s">
        <v>510</v>
      </c>
      <c r="D25" s="82" t="s">
        <v>400</v>
      </c>
      <c r="E25" s="60" t="s">
        <v>302</v>
      </c>
      <c r="F25" s="132" t="s">
        <v>28</v>
      </c>
      <c r="G25" s="132" t="s">
        <v>67</v>
      </c>
      <c r="H25" s="82" t="s">
        <v>168</v>
      </c>
      <c r="I25" s="56" t="s">
        <v>310</v>
      </c>
      <c r="J25" s="56" t="s">
        <v>87</v>
      </c>
      <c r="K25" s="56" t="s">
        <v>228</v>
      </c>
      <c r="L25" s="56" t="s">
        <v>144</v>
      </c>
      <c r="M25" s="56" t="s">
        <v>429</v>
      </c>
      <c r="N25" s="56" t="s">
        <v>182</v>
      </c>
      <c r="O25" s="56" t="s">
        <v>298</v>
      </c>
      <c r="P25" s="56" t="s">
        <v>571</v>
      </c>
      <c r="Q25" s="56" t="s">
        <v>156</v>
      </c>
      <c r="R25" s="56" t="s">
        <v>299</v>
      </c>
      <c r="S25" s="56" t="s">
        <v>164</v>
      </c>
      <c r="T25" s="56" t="s">
        <v>403</v>
      </c>
      <c r="U25" s="56" t="s">
        <v>367</v>
      </c>
      <c r="V25" s="56" t="s">
        <v>105</v>
      </c>
      <c r="W25" s="56" t="s">
        <v>520</v>
      </c>
      <c r="X25" s="56" t="s">
        <v>469</v>
      </c>
      <c r="Y25" s="56" t="s">
        <v>432</v>
      </c>
      <c r="Z25" s="56" t="s">
        <v>75</v>
      </c>
      <c r="AA25" s="56" t="s">
        <v>666</v>
      </c>
      <c r="AB25" s="56" t="s">
        <v>111</v>
      </c>
      <c r="AC25" s="56" t="s">
        <v>289</v>
      </c>
      <c r="AD25" s="56" t="s">
        <v>308</v>
      </c>
      <c r="AE25" s="56" t="s">
        <v>411</v>
      </c>
      <c r="AF25" s="56" t="s">
        <v>425</v>
      </c>
      <c r="AG25" s="56" t="s">
        <v>431</v>
      </c>
      <c r="AH25" s="56" t="s">
        <v>696</v>
      </c>
      <c r="AI25" s="56" t="s">
        <v>15</v>
      </c>
      <c r="AJ25" s="56" t="s">
        <v>551</v>
      </c>
      <c r="AK25" s="56" t="s">
        <v>9</v>
      </c>
      <c r="AL25" s="56" t="s">
        <v>566</v>
      </c>
      <c r="AM25" s="56" t="s">
        <v>412</v>
      </c>
      <c r="AN25" s="56" t="s">
        <v>369</v>
      </c>
      <c r="AO25" s="56" t="s">
        <v>348</v>
      </c>
      <c r="AP25" s="56" t="s">
        <v>244</v>
      </c>
      <c r="AQ25" s="56" t="s">
        <v>488</v>
      </c>
      <c r="AR25" s="56" t="s">
        <v>397</v>
      </c>
      <c r="AS25" s="56" t="s">
        <v>440</v>
      </c>
      <c r="AT25" s="56" t="s">
        <v>445</v>
      </c>
      <c r="AU25" s="202" t="s">
        <v>119</v>
      </c>
      <c r="AV25" s="202" t="s">
        <v>580</v>
      </c>
      <c r="AW25" s="202" t="s">
        <v>64</v>
      </c>
      <c r="AX25" s="56" t="s">
        <v>471</v>
      </c>
      <c r="AY25" s="56" t="s">
        <v>539</v>
      </c>
      <c r="AZ25" s="202" t="s">
        <v>318</v>
      </c>
      <c r="BA25" s="202" t="s">
        <v>257</v>
      </c>
      <c r="BB25" s="202" t="s">
        <v>751</v>
      </c>
      <c r="BC25" s="202" t="s">
        <v>55</v>
      </c>
      <c r="BD25" s="194" t="s">
        <v>522</v>
      </c>
      <c r="BE25" s="202" t="s">
        <v>370</v>
      </c>
      <c r="BF25" s="202" t="s">
        <v>752</v>
      </c>
      <c r="BG25" s="202" t="s">
        <v>585</v>
      </c>
      <c r="BH25" s="303" t="s">
        <v>603</v>
      </c>
      <c r="BI25" s="303" t="s">
        <v>604</v>
      </c>
      <c r="BJ25" s="202" t="s">
        <v>565</v>
      </c>
      <c r="BK25" s="202" t="s">
        <v>354</v>
      </c>
      <c r="BL25" s="202" t="s">
        <v>93</v>
      </c>
      <c r="BM25" s="202" t="s">
        <v>198</v>
      </c>
      <c r="BN25" s="202" t="s">
        <v>249</v>
      </c>
      <c r="BO25" s="202" t="s">
        <v>152</v>
      </c>
      <c r="BP25" s="202" t="s">
        <v>547</v>
      </c>
      <c r="BQ25" s="202" t="s">
        <v>490</v>
      </c>
      <c r="BR25" s="202" t="s">
        <v>209</v>
      </c>
      <c r="BS25" s="202" t="s">
        <v>163</v>
      </c>
      <c r="BT25" s="202" t="s">
        <v>200</v>
      </c>
      <c r="BU25" s="202" t="s">
        <v>54</v>
      </c>
      <c r="BV25" s="202" t="s">
        <v>133</v>
      </c>
      <c r="BW25" s="202" t="s">
        <v>232</v>
      </c>
      <c r="BX25" s="202" t="s">
        <v>56</v>
      </c>
      <c r="BY25" s="202" t="s">
        <v>434</v>
      </c>
      <c r="BZ25" s="202" t="s">
        <v>108</v>
      </c>
      <c r="CA25" s="306" t="s">
        <v>657</v>
      </c>
      <c r="CB25" s="202" t="s">
        <v>659</v>
      </c>
      <c r="CC25" s="202" t="s">
        <v>661</v>
      </c>
      <c r="CD25" s="202" t="s">
        <v>648</v>
      </c>
      <c r="CE25" s="202" t="s">
        <v>649</v>
      </c>
      <c r="CF25" s="202" t="s">
        <v>650</v>
      </c>
      <c r="CG25" s="202" t="s">
        <v>327</v>
      </c>
      <c r="CH25" s="202" t="s">
        <v>356</v>
      </c>
      <c r="CI25" s="202" t="s">
        <v>513</v>
      </c>
      <c r="CJ25" s="202" t="s">
        <v>554</v>
      </c>
      <c r="CK25" s="202" t="s">
        <v>409</v>
      </c>
      <c r="CL25" s="202" t="s">
        <v>72</v>
      </c>
      <c r="CM25" s="202" t="s">
        <v>35</v>
      </c>
      <c r="CN25" s="202" t="s">
        <v>453</v>
      </c>
      <c r="CO25" s="202" t="s">
        <v>84</v>
      </c>
      <c r="CP25" s="202" t="s">
        <v>534</v>
      </c>
      <c r="CQ25" s="202" t="s">
        <v>583</v>
      </c>
      <c r="CR25" s="202" t="s">
        <v>481</v>
      </c>
      <c r="CS25" s="202" t="s">
        <v>398</v>
      </c>
      <c r="CT25" s="202" t="s">
        <v>712</v>
      </c>
      <c r="CU25" s="202" t="s">
        <v>97</v>
      </c>
      <c r="CV25" s="202" t="s">
        <v>190</v>
      </c>
      <c r="CW25" s="202" t="s">
        <v>699</v>
      </c>
      <c r="CX25" s="202" t="s">
        <v>380</v>
      </c>
      <c r="CY25" s="202" t="s">
        <v>579</v>
      </c>
      <c r="CZ25" s="202" t="s">
        <v>155</v>
      </c>
      <c r="DA25" s="202" t="s">
        <v>581</v>
      </c>
      <c r="DB25" s="146" t="s">
        <v>357</v>
      </c>
      <c r="DC25" s="146" t="s">
        <v>171</v>
      </c>
      <c r="DD25" s="146" t="s">
        <v>424</v>
      </c>
      <c r="DE25" s="15"/>
      <c r="DF25" s="202" t="s">
        <v>21</v>
      </c>
      <c r="DG25" s="171" t="s">
        <v>323</v>
      </c>
      <c r="DH25" s="171" t="s">
        <v>447</v>
      </c>
      <c r="DI25" s="171" t="s">
        <v>742</v>
      </c>
      <c r="DJ25" s="146" t="s">
        <v>42</v>
      </c>
      <c r="DK25" s="146" t="s">
        <v>679</v>
      </c>
      <c r="DL25" s="146" t="s">
        <v>45</v>
      </c>
      <c r="DM25" s="202" t="s">
        <v>151</v>
      </c>
      <c r="DN25" s="202" t="s">
        <v>433</v>
      </c>
      <c r="DO25" s="202" t="s">
        <v>395</v>
      </c>
      <c r="DP25" s="202" t="s">
        <v>499</v>
      </c>
      <c r="DQ25" s="152" t="s">
        <v>65</v>
      </c>
      <c r="DR25" s="152" t="s">
        <v>267</v>
      </c>
      <c r="DS25" s="152" t="s">
        <v>13</v>
      </c>
      <c r="DT25" s="2" t="s">
        <v>463</v>
      </c>
      <c r="DU25" s="2" t="s">
        <v>11</v>
      </c>
      <c r="DV25" s="2" t="s">
        <v>577</v>
      </c>
      <c r="DW25" s="98"/>
      <c r="DX25" s="98"/>
      <c r="DY25" s="98"/>
      <c r="DZ25" s="98"/>
      <c r="EA25" s="98"/>
      <c r="EB25" s="98"/>
      <c r="EC25" s="98"/>
      <c r="EK25" s="15"/>
      <c r="EL25" s="15"/>
      <c r="EM25" s="15"/>
      <c r="EN25" s="15"/>
      <c r="EO25" s="15"/>
      <c r="EP25" s="15"/>
      <c r="EQ25" s="15"/>
      <c r="ER25" s="15"/>
      <c r="ES25" s="15"/>
      <c r="ET25" s="15"/>
      <c r="EU25" s="15"/>
      <c r="EV25" s="15"/>
      <c r="EW25" s="15"/>
      <c r="EX25" s="15"/>
      <c r="EY25" s="15"/>
      <c r="EZ25" s="137"/>
      <c r="FA25" s="15"/>
      <c r="FB25" s="15"/>
      <c r="FC25" s="15"/>
      <c r="FD25" s="15"/>
      <c r="FE25" s="15"/>
      <c r="FF25" s="15"/>
      <c r="FG25" s="15"/>
      <c r="FH25" s="15"/>
      <c r="FI25" s="15"/>
      <c r="FJ25" s="15"/>
      <c r="FK25" s="15"/>
      <c r="FL25" s="15"/>
      <c r="FO25" s="15"/>
      <c r="FP25" s="137"/>
      <c r="FQ25" s="137"/>
      <c r="FR25" s="54"/>
      <c r="FS25" s="54"/>
      <c r="FT25" s="137"/>
      <c r="FU25" s="137"/>
      <c r="FV25" s="137"/>
      <c r="FW25" s="54"/>
      <c r="FX25" s="54"/>
      <c r="FY25" s="54"/>
      <c r="FZ25" s="54"/>
      <c r="GA25" s="202" t="s">
        <v>51</v>
      </c>
      <c r="GB25" s="56" t="s">
        <v>283</v>
      </c>
      <c r="GC25" s="202" t="s">
        <v>542</v>
      </c>
      <c r="GD25" s="56" t="s">
        <v>576</v>
      </c>
      <c r="GE25" s="54"/>
      <c r="GF25" s="54"/>
      <c r="GG25" s="54"/>
      <c r="GH25" s="54"/>
      <c r="GI25" s="54"/>
      <c r="GJ25" s="54"/>
      <c r="GK25" s="54"/>
    </row>
    <row r="26" spans="1:199" ht="14.25" thickTop="1" thickBot="1" x14ac:dyDescent="0.25">
      <c r="A26" s="199" t="s">
        <v>44</v>
      </c>
      <c r="B26" s="35" t="s">
        <v>265</v>
      </c>
      <c r="C26" s="35" t="s">
        <v>265</v>
      </c>
      <c r="D26" s="35" t="s">
        <v>265</v>
      </c>
      <c r="E26" s="35" t="s">
        <v>265</v>
      </c>
      <c r="F26" s="72" t="s">
        <v>442</v>
      </c>
      <c r="G26" s="72" t="s">
        <v>556</v>
      </c>
      <c r="H26" s="35" t="s">
        <v>265</v>
      </c>
      <c r="I26" s="35" t="s">
        <v>265</v>
      </c>
      <c r="J26" s="35" t="s">
        <v>265</v>
      </c>
      <c r="K26" s="35" t="s">
        <v>265</v>
      </c>
      <c r="L26" s="35" t="s">
        <v>265</v>
      </c>
      <c r="M26" s="35" t="s">
        <v>265</v>
      </c>
      <c r="N26" s="35" t="s">
        <v>265</v>
      </c>
      <c r="O26" s="35" t="s">
        <v>265</v>
      </c>
      <c r="P26" s="35" t="s">
        <v>265</v>
      </c>
      <c r="Q26" s="35" t="s">
        <v>265</v>
      </c>
      <c r="R26" s="35" t="s">
        <v>265</v>
      </c>
      <c r="S26" s="35" t="s">
        <v>265</v>
      </c>
      <c r="T26" s="35" t="s">
        <v>265</v>
      </c>
      <c r="U26" s="35" t="s">
        <v>265</v>
      </c>
      <c r="V26" s="35" t="s">
        <v>265</v>
      </c>
      <c r="W26" s="35" t="s">
        <v>265</v>
      </c>
      <c r="X26" s="35" t="s">
        <v>265</v>
      </c>
      <c r="Y26" s="35" t="s">
        <v>265</v>
      </c>
      <c r="Z26" s="35" t="s">
        <v>442</v>
      </c>
      <c r="AA26" s="35" t="s">
        <v>556</v>
      </c>
      <c r="AB26" s="35" t="s">
        <v>265</v>
      </c>
      <c r="AC26" s="35" t="s">
        <v>265</v>
      </c>
      <c r="AD26" s="35" t="s">
        <v>265</v>
      </c>
      <c r="AE26" s="35" t="s">
        <v>265</v>
      </c>
      <c r="AF26" s="35" t="s">
        <v>265</v>
      </c>
      <c r="AG26" s="35" t="s">
        <v>265</v>
      </c>
      <c r="AH26" s="35" t="s">
        <v>265</v>
      </c>
      <c r="AI26" s="35" t="s">
        <v>265</v>
      </c>
      <c r="AJ26" s="35" t="s">
        <v>265</v>
      </c>
      <c r="AK26" s="35" t="s">
        <v>265</v>
      </c>
      <c r="AL26" s="35" t="s">
        <v>265</v>
      </c>
      <c r="AM26" s="35" t="s">
        <v>456</v>
      </c>
      <c r="AN26" s="35" t="s">
        <v>456</v>
      </c>
      <c r="AO26" s="35" t="s">
        <v>265</v>
      </c>
      <c r="AP26" s="35" t="s">
        <v>265</v>
      </c>
      <c r="AQ26" s="35" t="s">
        <v>265</v>
      </c>
      <c r="AR26" s="35" t="s">
        <v>265</v>
      </c>
      <c r="AS26" s="35" t="s">
        <v>265</v>
      </c>
      <c r="AT26" s="35" t="s">
        <v>265</v>
      </c>
      <c r="AU26" s="35" t="s">
        <v>265</v>
      </c>
      <c r="AV26" s="35" t="s">
        <v>265</v>
      </c>
      <c r="AW26" s="35" t="s">
        <v>265</v>
      </c>
      <c r="AX26" s="35" t="s">
        <v>265</v>
      </c>
      <c r="AY26" s="35" t="s">
        <v>265</v>
      </c>
      <c r="AZ26" s="35" t="s">
        <v>265</v>
      </c>
      <c r="BA26" s="35" t="s">
        <v>265</v>
      </c>
      <c r="BB26" s="35" t="s">
        <v>265</v>
      </c>
      <c r="BC26" s="35" t="s">
        <v>265</v>
      </c>
      <c r="BD26" s="35" t="s">
        <v>265</v>
      </c>
      <c r="BE26" s="35" t="s">
        <v>265</v>
      </c>
      <c r="BF26" s="35" t="s">
        <v>265</v>
      </c>
      <c r="BG26" s="35" t="s">
        <v>265</v>
      </c>
      <c r="BH26" s="297" t="s">
        <v>265</v>
      </c>
      <c r="BI26" s="297" t="s">
        <v>265</v>
      </c>
      <c r="BJ26" s="35" t="s">
        <v>265</v>
      </c>
      <c r="BK26" s="35" t="s">
        <v>265</v>
      </c>
      <c r="BL26" s="35" t="s">
        <v>265</v>
      </c>
      <c r="BM26" s="35" t="s">
        <v>265</v>
      </c>
      <c r="BN26" s="35" t="s">
        <v>442</v>
      </c>
      <c r="BO26" s="35" t="s">
        <v>265</v>
      </c>
      <c r="BP26" s="35" t="s">
        <v>265</v>
      </c>
      <c r="BQ26" s="35" t="s">
        <v>265</v>
      </c>
      <c r="BR26" s="35" t="s">
        <v>265</v>
      </c>
      <c r="BS26" s="35" t="s">
        <v>265</v>
      </c>
      <c r="BT26" s="35" t="s">
        <v>265</v>
      </c>
      <c r="BU26" s="35" t="s">
        <v>265</v>
      </c>
      <c r="BV26" s="35" t="s">
        <v>265</v>
      </c>
      <c r="BW26" s="35" t="s">
        <v>265</v>
      </c>
      <c r="BX26" s="35" t="s">
        <v>265</v>
      </c>
      <c r="BY26" s="35" t="s">
        <v>456</v>
      </c>
      <c r="BZ26" s="35" t="s">
        <v>456</v>
      </c>
      <c r="CA26" s="311" t="s">
        <v>265</v>
      </c>
      <c r="CB26" s="35" t="s">
        <v>265</v>
      </c>
      <c r="CC26" s="35" t="s">
        <v>265</v>
      </c>
      <c r="CD26" s="35" t="s">
        <v>265</v>
      </c>
      <c r="CE26" s="35" t="s">
        <v>265</v>
      </c>
      <c r="CF26" s="35" t="s">
        <v>265</v>
      </c>
      <c r="CG26" s="35" t="s">
        <v>265</v>
      </c>
      <c r="CH26" s="35" t="s">
        <v>265</v>
      </c>
      <c r="CI26" s="35" t="s">
        <v>456</v>
      </c>
      <c r="CJ26" s="35" t="s">
        <v>456</v>
      </c>
      <c r="CK26" s="35" t="s">
        <v>456</v>
      </c>
      <c r="CL26" s="35" t="s">
        <v>265</v>
      </c>
      <c r="CM26" s="35" t="s">
        <v>265</v>
      </c>
      <c r="CN26" s="35" t="s">
        <v>456</v>
      </c>
      <c r="CO26" s="35" t="s">
        <v>456</v>
      </c>
      <c r="CP26" s="35" t="s">
        <v>456</v>
      </c>
      <c r="CQ26" s="35" t="s">
        <v>456</v>
      </c>
      <c r="CR26" s="35" t="s">
        <v>456</v>
      </c>
      <c r="CS26" s="35" t="s">
        <v>456</v>
      </c>
      <c r="CT26" s="35" t="s">
        <v>456</v>
      </c>
      <c r="CU26" s="35" t="s">
        <v>456</v>
      </c>
      <c r="CV26" s="35" t="s">
        <v>456</v>
      </c>
      <c r="CW26" s="35" t="s">
        <v>265</v>
      </c>
      <c r="CX26" s="35" t="s">
        <v>456</v>
      </c>
      <c r="CY26" s="35" t="s">
        <v>456</v>
      </c>
      <c r="CZ26" s="35" t="s">
        <v>456</v>
      </c>
      <c r="DA26" s="35" t="s">
        <v>456</v>
      </c>
      <c r="DB26" s="237" t="s">
        <v>456</v>
      </c>
      <c r="DC26" s="237" t="s">
        <v>456</v>
      </c>
      <c r="DD26" s="237" t="s">
        <v>456</v>
      </c>
      <c r="DE26" s="15"/>
      <c r="DF26" s="35" t="s">
        <v>265</v>
      </c>
      <c r="DG26" s="35" t="s">
        <v>265</v>
      </c>
      <c r="DH26" s="35" t="s">
        <v>265</v>
      </c>
      <c r="DI26" s="35" t="s">
        <v>456</v>
      </c>
      <c r="DJ26" s="237" t="s">
        <v>456</v>
      </c>
      <c r="DK26" s="237" t="s">
        <v>265</v>
      </c>
      <c r="DL26" s="237" t="s">
        <v>456</v>
      </c>
      <c r="DM26" s="35" t="s">
        <v>456</v>
      </c>
      <c r="DN26" s="35" t="s">
        <v>456</v>
      </c>
      <c r="DO26" s="35" t="s">
        <v>456</v>
      </c>
      <c r="DP26" s="35" t="s">
        <v>456</v>
      </c>
      <c r="DQ26" s="72" t="s">
        <v>456</v>
      </c>
      <c r="DR26" s="72" t="s">
        <v>456</v>
      </c>
      <c r="DS26" s="72" t="s">
        <v>456</v>
      </c>
      <c r="DT26" s="72" t="s">
        <v>456</v>
      </c>
      <c r="DU26" s="72" t="s">
        <v>456</v>
      </c>
      <c r="DV26" s="72" t="s">
        <v>456</v>
      </c>
      <c r="DW26" s="72" t="s">
        <v>456</v>
      </c>
      <c r="DX26" s="72" t="s">
        <v>456</v>
      </c>
      <c r="DY26" s="72" t="s">
        <v>456</v>
      </c>
      <c r="DZ26" s="72" t="s">
        <v>456</v>
      </c>
      <c r="EA26" s="72" t="s">
        <v>456</v>
      </c>
      <c r="EB26" s="72" t="s">
        <v>456</v>
      </c>
      <c r="EC26" s="72" t="s">
        <v>456</v>
      </c>
      <c r="ED26" s="35" t="s">
        <v>265</v>
      </c>
      <c r="EE26" s="35" t="s">
        <v>265</v>
      </c>
      <c r="EF26" s="35" t="s">
        <v>456</v>
      </c>
      <c r="EG26" s="35" t="s">
        <v>456</v>
      </c>
      <c r="EH26" s="35" t="s">
        <v>456</v>
      </c>
      <c r="EI26" s="35" t="s">
        <v>456</v>
      </c>
      <c r="EJ26" s="35" t="s">
        <v>456</v>
      </c>
      <c r="EK26" s="15"/>
      <c r="EL26" s="15"/>
      <c r="EM26" s="35" t="s">
        <v>265</v>
      </c>
      <c r="EN26" s="15"/>
      <c r="EO26" s="15"/>
      <c r="EP26" s="15"/>
      <c r="EQ26" s="15"/>
      <c r="ER26" s="15"/>
      <c r="ES26" s="15"/>
      <c r="ET26" s="15"/>
      <c r="EU26" s="15"/>
      <c r="EV26" s="15"/>
      <c r="EW26" s="15"/>
      <c r="EX26" s="15"/>
      <c r="EY26" s="15"/>
      <c r="EZ26" s="137"/>
      <c r="FA26" s="15"/>
      <c r="FB26" s="15"/>
      <c r="FC26" s="15"/>
      <c r="FD26" s="15"/>
      <c r="FE26" s="15"/>
      <c r="FF26" s="15"/>
      <c r="FG26" s="15"/>
      <c r="FH26" s="15"/>
      <c r="FI26" s="15"/>
      <c r="FJ26" s="15"/>
      <c r="FK26" s="15"/>
      <c r="FL26" s="35" t="s">
        <v>265</v>
      </c>
      <c r="FM26" s="35" t="s">
        <v>265</v>
      </c>
      <c r="FN26" s="35" t="s">
        <v>265</v>
      </c>
      <c r="FO26" s="35" t="s">
        <v>456</v>
      </c>
      <c r="FP26" s="35" t="s">
        <v>456</v>
      </c>
      <c r="FQ26" s="35" t="s">
        <v>556</v>
      </c>
      <c r="FR26" s="54"/>
      <c r="FS26" s="54"/>
      <c r="FT26" s="35" t="s">
        <v>265</v>
      </c>
      <c r="FU26" s="35" t="s">
        <v>265</v>
      </c>
      <c r="FV26" s="35" t="s">
        <v>456</v>
      </c>
      <c r="FW26" s="54"/>
      <c r="FX26" s="54"/>
      <c r="FY26" s="54"/>
      <c r="FZ26" s="54"/>
      <c r="GA26" s="35" t="s">
        <v>265</v>
      </c>
      <c r="GB26" s="35" t="s">
        <v>265</v>
      </c>
      <c r="GC26" s="35" t="s">
        <v>265</v>
      </c>
      <c r="GD26" s="35" t="s">
        <v>265</v>
      </c>
      <c r="GE26" s="54"/>
      <c r="GF26" s="54"/>
      <c r="GG26" s="54"/>
      <c r="GH26" s="54"/>
      <c r="GI26" s="54"/>
      <c r="GJ26" s="54"/>
      <c r="GK26" s="54"/>
    </row>
    <row r="27" spans="1:199" ht="14.25" thickTop="1" thickBot="1" x14ac:dyDescent="0.25">
      <c r="A27" s="199" t="s">
        <v>49</v>
      </c>
      <c r="B27" s="60" t="s">
        <v>654</v>
      </c>
      <c r="C27" s="60" t="s">
        <v>510</v>
      </c>
      <c r="D27" s="82" t="s">
        <v>400</v>
      </c>
      <c r="E27" s="60" t="s">
        <v>302</v>
      </c>
      <c r="F27" s="132" t="s">
        <v>28</v>
      </c>
      <c r="G27" s="132" t="s">
        <v>67</v>
      </c>
      <c r="H27" s="82" t="s">
        <v>168</v>
      </c>
      <c r="I27" s="56" t="s">
        <v>310</v>
      </c>
      <c r="J27" s="56" t="s">
        <v>87</v>
      </c>
      <c r="K27" s="56" t="s">
        <v>228</v>
      </c>
      <c r="L27" s="56" t="s">
        <v>144</v>
      </c>
      <c r="M27" s="56" t="s">
        <v>429</v>
      </c>
      <c r="N27" s="56" t="s">
        <v>182</v>
      </c>
      <c r="O27" s="56" t="s">
        <v>298</v>
      </c>
      <c r="P27" s="56" t="s">
        <v>571</v>
      </c>
      <c r="Q27" s="56" t="s">
        <v>156</v>
      </c>
      <c r="R27" s="56" t="s">
        <v>299</v>
      </c>
      <c r="S27" s="56" t="s">
        <v>164</v>
      </c>
      <c r="T27" s="56" t="s">
        <v>403</v>
      </c>
      <c r="U27" s="56" t="s">
        <v>367</v>
      </c>
      <c r="V27" s="56" t="s">
        <v>105</v>
      </c>
      <c r="W27" s="56" t="s">
        <v>520</v>
      </c>
      <c r="X27" s="56" t="s">
        <v>469</v>
      </c>
      <c r="Y27" s="56" t="s">
        <v>432</v>
      </c>
      <c r="Z27" s="56" t="s">
        <v>75</v>
      </c>
      <c r="AA27" s="56" t="s">
        <v>666</v>
      </c>
      <c r="AB27" s="56" t="s">
        <v>111</v>
      </c>
      <c r="AC27" s="56" t="s">
        <v>289</v>
      </c>
      <c r="AD27" s="56" t="s">
        <v>308</v>
      </c>
      <c r="AE27" s="56" t="s">
        <v>411</v>
      </c>
      <c r="AF27" s="56" t="s">
        <v>425</v>
      </c>
      <c r="AG27" s="56" t="s">
        <v>431</v>
      </c>
      <c r="AH27" s="56" t="s">
        <v>696</v>
      </c>
      <c r="AI27" s="56" t="s">
        <v>15</v>
      </c>
      <c r="AJ27" s="56" t="s">
        <v>551</v>
      </c>
      <c r="AK27" s="56" t="s">
        <v>9</v>
      </c>
      <c r="AL27" s="56" t="s">
        <v>566</v>
      </c>
      <c r="AM27" s="56" t="s">
        <v>412</v>
      </c>
      <c r="AN27" s="56" t="s">
        <v>369</v>
      </c>
      <c r="AO27" s="56" t="s">
        <v>348</v>
      </c>
      <c r="AP27" s="56" t="s">
        <v>244</v>
      </c>
      <c r="AQ27" s="56" t="s">
        <v>488</v>
      </c>
      <c r="AR27" s="56" t="s">
        <v>397</v>
      </c>
      <c r="AS27" s="56" t="s">
        <v>440</v>
      </c>
      <c r="AT27" s="56" t="s">
        <v>445</v>
      </c>
      <c r="AU27" s="202" t="s">
        <v>119</v>
      </c>
      <c r="AV27" s="202" t="s">
        <v>580</v>
      </c>
      <c r="AW27" s="202" t="s">
        <v>64</v>
      </c>
      <c r="AX27" s="56" t="s">
        <v>471</v>
      </c>
      <c r="AY27" s="56" t="s">
        <v>539</v>
      </c>
      <c r="AZ27" s="202" t="s">
        <v>318</v>
      </c>
      <c r="BA27" s="202" t="s">
        <v>257</v>
      </c>
      <c r="BB27" s="202" t="s">
        <v>751</v>
      </c>
      <c r="BC27" s="202" t="s">
        <v>55</v>
      </c>
      <c r="BD27" s="194" t="s">
        <v>522</v>
      </c>
      <c r="BE27" s="202" t="s">
        <v>370</v>
      </c>
      <c r="BF27" s="202" t="s">
        <v>752</v>
      </c>
      <c r="BG27" s="202" t="s">
        <v>585</v>
      </c>
      <c r="BH27" s="303" t="s">
        <v>603</v>
      </c>
      <c r="BI27" s="303" t="s">
        <v>604</v>
      </c>
      <c r="BJ27" s="202" t="s">
        <v>565</v>
      </c>
      <c r="BK27" s="202" t="s">
        <v>354</v>
      </c>
      <c r="BL27" s="202" t="s">
        <v>93</v>
      </c>
      <c r="BM27" s="202" t="s">
        <v>198</v>
      </c>
      <c r="BN27" s="202" t="s">
        <v>249</v>
      </c>
      <c r="BO27" s="202" t="s">
        <v>152</v>
      </c>
      <c r="BP27" s="202" t="s">
        <v>547</v>
      </c>
      <c r="BQ27" s="202" t="s">
        <v>490</v>
      </c>
      <c r="BR27" s="202" t="s">
        <v>209</v>
      </c>
      <c r="BS27" s="202" t="s">
        <v>163</v>
      </c>
      <c r="BT27" s="202" t="s">
        <v>200</v>
      </c>
      <c r="BU27" s="202" t="s">
        <v>54</v>
      </c>
      <c r="BV27" s="202" t="s">
        <v>133</v>
      </c>
      <c r="BW27" s="202" t="s">
        <v>232</v>
      </c>
      <c r="BX27" s="202" t="s">
        <v>56</v>
      </c>
      <c r="BY27" s="202" t="s">
        <v>434</v>
      </c>
      <c r="BZ27" s="202" t="s">
        <v>108</v>
      </c>
      <c r="CA27" s="306" t="s">
        <v>657</v>
      </c>
      <c r="CB27" s="202" t="s">
        <v>659</v>
      </c>
      <c r="CC27" s="202" t="s">
        <v>661</v>
      </c>
      <c r="CD27" s="202" t="s">
        <v>648</v>
      </c>
      <c r="CE27" s="202" t="s">
        <v>649</v>
      </c>
      <c r="CF27" s="202" t="s">
        <v>650</v>
      </c>
      <c r="CG27" s="202" t="s">
        <v>327</v>
      </c>
      <c r="CH27" s="202" t="s">
        <v>356</v>
      </c>
      <c r="CI27" s="202" t="s">
        <v>513</v>
      </c>
      <c r="CJ27" s="202" t="s">
        <v>554</v>
      </c>
      <c r="CK27" s="202" t="s">
        <v>409</v>
      </c>
      <c r="CL27" s="202" t="s">
        <v>72</v>
      </c>
      <c r="CM27" s="202" t="s">
        <v>35</v>
      </c>
      <c r="CN27" s="202" t="s">
        <v>453</v>
      </c>
      <c r="CO27" s="202" t="s">
        <v>84</v>
      </c>
      <c r="CP27" s="202" t="s">
        <v>534</v>
      </c>
      <c r="CQ27" s="202" t="s">
        <v>583</v>
      </c>
      <c r="CR27" s="202" t="s">
        <v>481</v>
      </c>
      <c r="CS27" s="202" t="s">
        <v>398</v>
      </c>
      <c r="CT27" s="202" t="s">
        <v>712</v>
      </c>
      <c r="CU27" s="202" t="s">
        <v>97</v>
      </c>
      <c r="CV27" s="202" t="s">
        <v>190</v>
      </c>
      <c r="CW27" s="202" t="s">
        <v>699</v>
      </c>
      <c r="CX27" s="202" t="s">
        <v>380</v>
      </c>
      <c r="CY27" s="202" t="s">
        <v>579</v>
      </c>
      <c r="CZ27" s="202" t="s">
        <v>155</v>
      </c>
      <c r="DA27" s="202" t="s">
        <v>581</v>
      </c>
      <c r="DB27" s="146" t="s">
        <v>357</v>
      </c>
      <c r="DC27" s="146" t="s">
        <v>171</v>
      </c>
      <c r="DD27" s="146" t="s">
        <v>424</v>
      </c>
      <c r="DF27" s="202" t="s">
        <v>21</v>
      </c>
      <c r="DG27" s="171" t="s">
        <v>323</v>
      </c>
      <c r="DH27" s="171" t="s">
        <v>447</v>
      </c>
      <c r="DI27" s="171" t="s">
        <v>742</v>
      </c>
      <c r="DJ27" s="146" t="s">
        <v>85</v>
      </c>
      <c r="DK27" s="146" t="s">
        <v>679</v>
      </c>
      <c r="DL27" s="146" t="s">
        <v>45</v>
      </c>
      <c r="DM27" s="202" t="s">
        <v>151</v>
      </c>
      <c r="DN27" s="202" t="s">
        <v>433</v>
      </c>
      <c r="DO27" s="202" t="s">
        <v>395</v>
      </c>
      <c r="DP27" s="202" t="s">
        <v>499</v>
      </c>
      <c r="DQ27" s="152" t="s">
        <v>65</v>
      </c>
      <c r="DR27" s="152" t="s">
        <v>267</v>
      </c>
      <c r="DS27" s="152" t="s">
        <v>13</v>
      </c>
      <c r="DT27" s="152" t="s">
        <v>463</v>
      </c>
      <c r="DU27" s="152" t="s">
        <v>11</v>
      </c>
      <c r="DV27" s="152" t="s">
        <v>577</v>
      </c>
      <c r="DW27" s="152" t="s">
        <v>113</v>
      </c>
      <c r="DX27" s="152" t="s">
        <v>294</v>
      </c>
      <c r="DY27" s="152" t="s">
        <v>131</v>
      </c>
      <c r="DZ27" s="152" t="s">
        <v>450</v>
      </c>
      <c r="EA27" s="152" t="s">
        <v>437</v>
      </c>
      <c r="EB27" s="152" t="s">
        <v>14</v>
      </c>
      <c r="EC27" s="152" t="s">
        <v>172</v>
      </c>
      <c r="ED27" s="202" t="s">
        <v>670</v>
      </c>
      <c r="EE27" s="202" t="s">
        <v>250</v>
      </c>
      <c r="EF27" s="202" t="s">
        <v>663</v>
      </c>
      <c r="EG27" s="202" t="s">
        <v>711</v>
      </c>
      <c r="EH27" s="202" t="s">
        <v>704</v>
      </c>
      <c r="EI27" s="202" t="s">
        <v>0</v>
      </c>
      <c r="EJ27" s="202" t="s">
        <v>344</v>
      </c>
      <c r="EM27" s="171" t="s">
        <v>681</v>
      </c>
      <c r="FL27" s="171" t="s">
        <v>491</v>
      </c>
      <c r="FM27" s="202" t="s">
        <v>567</v>
      </c>
      <c r="FN27" s="202" t="s">
        <v>126</v>
      </c>
      <c r="FO27" s="171" t="s">
        <v>528</v>
      </c>
      <c r="FP27" s="202" t="s">
        <v>483</v>
      </c>
      <c r="FQ27" s="202" t="s">
        <v>531</v>
      </c>
      <c r="FT27" s="202" t="s">
        <v>707</v>
      </c>
      <c r="FU27" s="202" t="s">
        <v>708</v>
      </c>
      <c r="FV27" s="202" t="s">
        <v>710</v>
      </c>
      <c r="GA27" s="202" t="s">
        <v>51</v>
      </c>
      <c r="GB27" s="56" t="s">
        <v>283</v>
      </c>
      <c r="GC27" s="202" t="s">
        <v>542</v>
      </c>
      <c r="GD27" s="56" t="s">
        <v>576</v>
      </c>
    </row>
    <row r="28" spans="1:199" ht="116.25" thickTop="1" thickBot="1" x14ac:dyDescent="0.25">
      <c r="A28" s="195" t="s">
        <v>993</v>
      </c>
      <c r="B28" s="229"/>
      <c r="C28" s="229"/>
      <c r="D28" s="94"/>
      <c r="E28" s="94"/>
      <c r="F28" s="210"/>
      <c r="G28" s="210"/>
      <c r="H28" s="94" t="s">
        <v>145</v>
      </c>
      <c r="I28" s="94" t="s">
        <v>350</v>
      </c>
      <c r="J28" s="94" t="s">
        <v>79</v>
      </c>
      <c r="K28" s="94" t="s">
        <v>331</v>
      </c>
      <c r="L28" s="94" t="s">
        <v>340</v>
      </c>
      <c r="M28" s="94" t="s">
        <v>263</v>
      </c>
      <c r="N28" s="94" t="s">
        <v>223</v>
      </c>
      <c r="O28" s="94" t="s">
        <v>423</v>
      </c>
      <c r="P28" s="94" t="s">
        <v>258</v>
      </c>
      <c r="Q28" s="94" t="s">
        <v>226</v>
      </c>
      <c r="R28" s="94" t="s">
        <v>3</v>
      </c>
      <c r="S28" s="94" t="s">
        <v>524</v>
      </c>
      <c r="T28" s="94" t="s">
        <v>195</v>
      </c>
      <c r="U28" s="94" t="s">
        <v>461</v>
      </c>
      <c r="V28" s="94" t="s">
        <v>393</v>
      </c>
      <c r="W28" s="94" t="s">
        <v>277</v>
      </c>
      <c r="X28" s="94" t="s">
        <v>452</v>
      </c>
      <c r="Y28" s="94" t="s">
        <v>489</v>
      </c>
      <c r="Z28" s="94" t="s">
        <v>288</v>
      </c>
      <c r="AA28" s="94" t="s">
        <v>665</v>
      </c>
      <c r="AB28" s="94" t="s">
        <v>261</v>
      </c>
      <c r="AC28" s="94" t="s">
        <v>674</v>
      </c>
      <c r="AD28" s="94" t="s">
        <v>675</v>
      </c>
      <c r="AE28" s="94" t="s">
        <v>115</v>
      </c>
      <c r="AF28" s="94" t="s">
        <v>364</v>
      </c>
      <c r="AG28" s="94" t="s">
        <v>464</v>
      </c>
      <c r="AH28" s="94"/>
      <c r="AI28" s="94" t="s">
        <v>446</v>
      </c>
      <c r="AJ28" s="94" t="s">
        <v>10</v>
      </c>
      <c r="AK28" s="94" t="s">
        <v>189</v>
      </c>
      <c r="AL28" s="94" t="s">
        <v>135</v>
      </c>
      <c r="AM28" s="94" t="s">
        <v>128</v>
      </c>
      <c r="AN28" s="94" t="s">
        <v>496</v>
      </c>
      <c r="AO28" s="94" t="s">
        <v>293</v>
      </c>
      <c r="AP28" s="94" t="s">
        <v>543</v>
      </c>
      <c r="AQ28" s="94" t="s">
        <v>545</v>
      </c>
      <c r="AR28" s="94" t="s">
        <v>88</v>
      </c>
      <c r="AS28" s="94" t="s">
        <v>368</v>
      </c>
      <c r="AT28" s="94" t="s">
        <v>238</v>
      </c>
      <c r="AU28" s="94" t="s">
        <v>557</v>
      </c>
      <c r="AV28" s="94" t="s">
        <v>120</v>
      </c>
      <c r="AW28" s="94" t="s">
        <v>197</v>
      </c>
      <c r="AX28" s="94" t="s">
        <v>466</v>
      </c>
      <c r="AY28" s="94" t="s">
        <v>394</v>
      </c>
      <c r="AZ28" s="139" t="s">
        <v>478</v>
      </c>
      <c r="BA28" s="94" t="s">
        <v>338</v>
      </c>
      <c r="BB28" s="94" t="s">
        <v>753</v>
      </c>
      <c r="BC28" s="94" t="s">
        <v>305</v>
      </c>
      <c r="BD28" s="94" t="s">
        <v>602</v>
      </c>
      <c r="BE28" s="94" t="s">
        <v>484</v>
      </c>
      <c r="BF28" s="94" t="s">
        <v>754</v>
      </c>
      <c r="BG28" s="94" t="s">
        <v>564</v>
      </c>
      <c r="BH28" s="271" t="s">
        <v>703</v>
      </c>
      <c r="BI28" s="271" t="s">
        <v>702</v>
      </c>
      <c r="BJ28" s="94" t="s">
        <v>306</v>
      </c>
      <c r="BK28" s="94" t="s">
        <v>390</v>
      </c>
      <c r="BL28" s="94" t="s">
        <v>170</v>
      </c>
      <c r="BM28" s="94" t="s">
        <v>139</v>
      </c>
      <c r="BN28" s="94" t="s">
        <v>27</v>
      </c>
      <c r="BO28" s="94" t="s">
        <v>555</v>
      </c>
      <c r="BP28" s="94" t="s">
        <v>374</v>
      </c>
      <c r="BQ28" s="74" t="s">
        <v>177</v>
      </c>
      <c r="BR28" s="94" t="s">
        <v>41</v>
      </c>
      <c r="BS28" s="94" t="s">
        <v>98</v>
      </c>
      <c r="BT28" s="94" t="s">
        <v>230</v>
      </c>
      <c r="BU28" s="94" t="s">
        <v>192</v>
      </c>
      <c r="BV28" s="94" t="s">
        <v>349</v>
      </c>
      <c r="BW28" s="94" t="s">
        <v>16</v>
      </c>
      <c r="BX28" s="94" t="s">
        <v>199</v>
      </c>
      <c r="BY28" s="94" t="s">
        <v>514</v>
      </c>
      <c r="BZ28" s="94" t="s">
        <v>362</v>
      </c>
      <c r="CA28" s="312" t="s">
        <v>658</v>
      </c>
      <c r="CB28" s="94" t="s">
        <v>660</v>
      </c>
      <c r="CC28" s="94" t="s">
        <v>662</v>
      </c>
      <c r="CD28" s="94" t="s">
        <v>651</v>
      </c>
      <c r="CE28" s="94" t="s">
        <v>652</v>
      </c>
      <c r="CF28" s="94" t="s">
        <v>653</v>
      </c>
      <c r="CG28" s="94" t="s">
        <v>102</v>
      </c>
      <c r="CH28" s="94" t="s">
        <v>688</v>
      </c>
      <c r="CI28" s="94" t="s">
        <v>264</v>
      </c>
      <c r="CJ28" s="94" t="s">
        <v>229</v>
      </c>
      <c r="CK28" s="94" t="s">
        <v>336</v>
      </c>
      <c r="CL28" s="94" t="s">
        <v>451</v>
      </c>
      <c r="CM28" s="94" t="s">
        <v>414</v>
      </c>
      <c r="CN28" s="139" t="s">
        <v>62</v>
      </c>
      <c r="CO28" s="139" t="s">
        <v>148</v>
      </c>
      <c r="CP28" s="139" t="s">
        <v>8</v>
      </c>
      <c r="CQ28" s="139" t="s">
        <v>475</v>
      </c>
      <c r="CR28" s="139" t="s">
        <v>245</v>
      </c>
      <c r="CS28" s="94" t="s">
        <v>181</v>
      </c>
      <c r="CT28" s="94" t="s">
        <v>713</v>
      </c>
      <c r="CU28" s="139" t="s">
        <v>63</v>
      </c>
      <c r="CV28" s="139" t="s">
        <v>737</v>
      </c>
      <c r="CW28" s="139" t="s">
        <v>700</v>
      </c>
      <c r="CX28" s="94" t="s">
        <v>74</v>
      </c>
      <c r="CY28" s="94" t="s">
        <v>236</v>
      </c>
      <c r="CZ28" s="94" t="s">
        <v>74</v>
      </c>
      <c r="DA28" s="94" t="s">
        <v>236</v>
      </c>
      <c r="DB28" s="139" t="s">
        <v>342</v>
      </c>
      <c r="DC28" s="139" t="s">
        <v>559</v>
      </c>
      <c r="DD28" s="139" t="s">
        <v>256</v>
      </c>
      <c r="DE28" s="94" t="s">
        <v>61</v>
      </c>
      <c r="DF28" s="94" t="s">
        <v>47</v>
      </c>
      <c r="DG28" s="94" t="s">
        <v>20</v>
      </c>
      <c r="DH28" s="277" t="s">
        <v>741</v>
      </c>
      <c r="DI28" s="277" t="s">
        <v>743</v>
      </c>
      <c r="DJ28" s="277" t="s">
        <v>744</v>
      </c>
      <c r="DK28" s="277" t="s">
        <v>682</v>
      </c>
      <c r="DL28" s="139" t="s">
        <v>165</v>
      </c>
      <c r="DM28" s="94" t="s">
        <v>535</v>
      </c>
      <c r="DN28" s="94" t="s">
        <v>311</v>
      </c>
      <c r="DO28" s="94" t="s">
        <v>588</v>
      </c>
      <c r="DP28" s="94" t="s">
        <v>314</v>
      </c>
      <c r="DQ28" s="210" t="s">
        <v>33</v>
      </c>
      <c r="DR28" s="210" t="s">
        <v>22</v>
      </c>
      <c r="DS28" s="210" t="s">
        <v>222</v>
      </c>
      <c r="DT28" s="210" t="s">
        <v>536</v>
      </c>
      <c r="DU28" s="210" t="s">
        <v>573</v>
      </c>
      <c r="DV28" s="210" t="s">
        <v>343</v>
      </c>
      <c r="DW28" s="210" t="s">
        <v>219</v>
      </c>
      <c r="DX28" s="210" t="s">
        <v>498</v>
      </c>
      <c r="DY28" s="210" t="s">
        <v>407</v>
      </c>
      <c r="DZ28" s="210" t="s">
        <v>416</v>
      </c>
      <c r="EA28" s="210" t="s">
        <v>455</v>
      </c>
      <c r="EB28" s="210" t="s">
        <v>430</v>
      </c>
      <c r="EC28" s="210" t="s">
        <v>89</v>
      </c>
      <c r="ED28" s="94" t="s">
        <v>689</v>
      </c>
      <c r="EE28" s="94" t="s">
        <v>589</v>
      </c>
      <c r="EF28" s="94" t="s">
        <v>468</v>
      </c>
      <c r="EG28" s="94"/>
      <c r="EH28" s="94" t="s">
        <v>715</v>
      </c>
      <c r="EI28" s="94" t="s">
        <v>584</v>
      </c>
      <c r="EJ28" s="94" t="s">
        <v>114</v>
      </c>
      <c r="EK28" s="94" t="s">
        <v>193</v>
      </c>
      <c r="EL28" s="276" t="s">
        <v>683</v>
      </c>
      <c r="EM28" s="276" t="s">
        <v>684</v>
      </c>
      <c r="EN28" s="94" t="s">
        <v>312</v>
      </c>
      <c r="EO28" s="94" t="s">
        <v>441</v>
      </c>
      <c r="EP28" s="94" t="s">
        <v>5</v>
      </c>
      <c r="EQ28" s="94" t="s">
        <v>290</v>
      </c>
      <c r="ER28" s="94" t="s">
        <v>586</v>
      </c>
      <c r="ES28" s="94" t="s">
        <v>525</v>
      </c>
      <c r="ET28" s="94" t="s">
        <v>60</v>
      </c>
      <c r="EU28" s="94" t="s">
        <v>492</v>
      </c>
      <c r="EV28" s="94" t="s">
        <v>462</v>
      </c>
      <c r="EW28" s="94" t="s">
        <v>377</v>
      </c>
      <c r="EX28" s="94" t="s">
        <v>307</v>
      </c>
      <c r="EY28" s="94" t="s">
        <v>260</v>
      </c>
      <c r="EZ28" s="94" t="s">
        <v>218</v>
      </c>
      <c r="FA28" s="94" t="s">
        <v>321</v>
      </c>
      <c r="FB28" s="276" t="s">
        <v>745</v>
      </c>
      <c r="FC28" s="94" t="s">
        <v>444</v>
      </c>
      <c r="FD28" s="94" t="s">
        <v>472</v>
      </c>
      <c r="FE28" s="94" t="s">
        <v>512</v>
      </c>
      <c r="FF28" s="94" t="s">
        <v>339</v>
      </c>
      <c r="FG28" s="94" t="s">
        <v>476</v>
      </c>
      <c r="FH28" s="276" t="s">
        <v>746</v>
      </c>
      <c r="FI28" s="94" t="s">
        <v>550</v>
      </c>
      <c r="FJ28" s="94" t="s">
        <v>82</v>
      </c>
      <c r="FK28" s="94" t="s">
        <v>435</v>
      </c>
      <c r="FL28" s="94" t="s">
        <v>373</v>
      </c>
      <c r="FM28" s="139" t="s">
        <v>473</v>
      </c>
      <c r="FN28" s="139" t="s">
        <v>81</v>
      </c>
      <c r="FO28" s="94" t="s">
        <v>281</v>
      </c>
      <c r="FP28" s="94" t="s">
        <v>587</v>
      </c>
      <c r="FQ28" s="94" t="s">
        <v>247</v>
      </c>
      <c r="FR28" s="94" t="s">
        <v>141</v>
      </c>
      <c r="FS28" s="94" t="s">
        <v>457</v>
      </c>
      <c r="FT28" s="94" t="s">
        <v>705</v>
      </c>
      <c r="FU28" s="94" t="s">
        <v>706</v>
      </c>
      <c r="FV28" s="94" t="s">
        <v>747</v>
      </c>
      <c r="FW28" s="94" t="s">
        <v>203</v>
      </c>
      <c r="FX28" s="94" t="s">
        <v>273</v>
      </c>
      <c r="FY28" s="94" t="s">
        <v>4</v>
      </c>
      <c r="FZ28" s="94" t="s">
        <v>58</v>
      </c>
      <c r="GA28" s="94" t="s">
        <v>266</v>
      </c>
      <c r="GB28" s="94" t="s">
        <v>53</v>
      </c>
      <c r="GC28" s="94" t="s">
        <v>372</v>
      </c>
      <c r="GD28" s="94" t="s">
        <v>333</v>
      </c>
      <c r="GE28" s="94" t="s">
        <v>259</v>
      </c>
      <c r="GF28" s="94" t="s">
        <v>485</v>
      </c>
      <c r="GG28" s="94" t="s">
        <v>159</v>
      </c>
      <c r="GH28" s="94" t="s">
        <v>404</v>
      </c>
      <c r="GI28" s="94" t="s">
        <v>103</v>
      </c>
      <c r="GJ28" s="94" t="s">
        <v>426</v>
      </c>
      <c r="GK28" s="94" t="s">
        <v>376</v>
      </c>
      <c r="GL28" s="94" t="s">
        <v>690</v>
      </c>
      <c r="GM28" s="94" t="s">
        <v>691</v>
      </c>
      <c r="GN28" s="94" t="s">
        <v>692</v>
      </c>
      <c r="GO28" s="94" t="s">
        <v>693</v>
      </c>
      <c r="GP28" s="94" t="s">
        <v>694</v>
      </c>
      <c r="GQ28" s="94" t="s">
        <v>695</v>
      </c>
    </row>
    <row r="29" spans="1:199" ht="14.25" thickTop="1" thickBot="1" x14ac:dyDescent="0.25">
      <c r="A29" s="69" t="s">
        <v>117</v>
      </c>
      <c r="B29" s="35" t="s">
        <v>265</v>
      </c>
      <c r="C29" s="35" t="s">
        <v>265</v>
      </c>
      <c r="D29" s="35" t="s">
        <v>265</v>
      </c>
      <c r="E29" s="35" t="s">
        <v>265</v>
      </c>
      <c r="F29" s="72" t="s">
        <v>442</v>
      </c>
      <c r="G29" s="72" t="s">
        <v>556</v>
      </c>
      <c r="H29" s="35" t="s">
        <v>265</v>
      </c>
      <c r="I29" s="35" t="s">
        <v>265</v>
      </c>
      <c r="J29" s="35" t="s">
        <v>265</v>
      </c>
      <c r="K29" s="35" t="s">
        <v>265</v>
      </c>
      <c r="L29" s="35" t="s">
        <v>265</v>
      </c>
      <c r="M29" s="35" t="s">
        <v>265</v>
      </c>
      <c r="N29" s="35" t="s">
        <v>265</v>
      </c>
      <c r="O29" s="35" t="s">
        <v>265</v>
      </c>
      <c r="P29" s="35" t="s">
        <v>265</v>
      </c>
      <c r="Q29" s="35" t="s">
        <v>265</v>
      </c>
      <c r="R29" s="35" t="s">
        <v>265</v>
      </c>
      <c r="S29" s="35" t="s">
        <v>265</v>
      </c>
      <c r="T29" s="35" t="s">
        <v>265</v>
      </c>
      <c r="U29" s="35" t="s">
        <v>265</v>
      </c>
      <c r="V29" s="35" t="s">
        <v>265</v>
      </c>
      <c r="W29" s="35" t="s">
        <v>265</v>
      </c>
      <c r="X29" s="35" t="s">
        <v>265</v>
      </c>
      <c r="Y29" s="35" t="s">
        <v>265</v>
      </c>
      <c r="Z29" s="35" t="s">
        <v>456</v>
      </c>
      <c r="AA29" s="35" t="s">
        <v>556</v>
      </c>
      <c r="AB29" s="35" t="s">
        <v>265</v>
      </c>
      <c r="AC29" s="35" t="s">
        <v>456</v>
      </c>
      <c r="AD29" s="35" t="s">
        <v>456</v>
      </c>
      <c r="AE29" s="35" t="s">
        <v>456</v>
      </c>
      <c r="AF29" s="35" t="s">
        <v>456</v>
      </c>
      <c r="AG29" s="35" t="s">
        <v>265</v>
      </c>
      <c r="AH29" s="35" t="s">
        <v>456</v>
      </c>
      <c r="AI29" s="35" t="s">
        <v>265</v>
      </c>
      <c r="AJ29" s="35" t="s">
        <v>265</v>
      </c>
      <c r="AK29" s="35" t="s">
        <v>265</v>
      </c>
      <c r="AL29" s="35" t="s">
        <v>265</v>
      </c>
      <c r="AM29" s="35" t="s">
        <v>456</v>
      </c>
      <c r="AN29" s="35" t="s">
        <v>456</v>
      </c>
      <c r="AO29" s="35" t="s">
        <v>456</v>
      </c>
      <c r="AP29" s="35" t="s">
        <v>265</v>
      </c>
      <c r="AQ29" s="35" t="s">
        <v>456</v>
      </c>
      <c r="AR29" s="35" t="s">
        <v>265</v>
      </c>
      <c r="AS29" s="35" t="s">
        <v>456</v>
      </c>
      <c r="AT29" s="35" t="s">
        <v>456</v>
      </c>
      <c r="AU29" s="35" t="s">
        <v>456</v>
      </c>
      <c r="AV29" s="35" t="s">
        <v>456</v>
      </c>
      <c r="AW29" s="35" t="s">
        <v>456</v>
      </c>
      <c r="AX29" s="35" t="s">
        <v>456</v>
      </c>
      <c r="AY29" s="35" t="s">
        <v>456</v>
      </c>
      <c r="AZ29" s="237" t="s">
        <v>456</v>
      </c>
      <c r="BA29" s="35" t="s">
        <v>456</v>
      </c>
      <c r="BB29" s="35" t="s">
        <v>456</v>
      </c>
      <c r="BC29" s="35" t="s">
        <v>456</v>
      </c>
      <c r="BD29" s="35" t="s">
        <v>456</v>
      </c>
      <c r="BE29" s="35" t="s">
        <v>456</v>
      </c>
      <c r="BF29" s="35" t="s">
        <v>456</v>
      </c>
      <c r="BG29" s="35" t="s">
        <v>456</v>
      </c>
      <c r="BH29" s="297" t="s">
        <v>265</v>
      </c>
      <c r="BI29" s="297" t="s">
        <v>456</v>
      </c>
      <c r="BJ29" s="35" t="s">
        <v>265</v>
      </c>
      <c r="BK29" s="35" t="s">
        <v>265</v>
      </c>
      <c r="BL29" s="35" t="s">
        <v>456</v>
      </c>
      <c r="BM29" s="35" t="s">
        <v>456</v>
      </c>
      <c r="BN29" s="35" t="s">
        <v>556</v>
      </c>
      <c r="BO29" s="35" t="s">
        <v>456</v>
      </c>
      <c r="BP29" s="35" t="s">
        <v>456</v>
      </c>
      <c r="BQ29" s="35" t="s">
        <v>456</v>
      </c>
      <c r="BR29" s="35" t="s">
        <v>456</v>
      </c>
      <c r="BS29" s="35" t="s">
        <v>456</v>
      </c>
      <c r="BT29" s="35" t="s">
        <v>456</v>
      </c>
      <c r="BU29" s="35" t="s">
        <v>456</v>
      </c>
      <c r="BV29" s="35" t="s">
        <v>265</v>
      </c>
      <c r="BW29" s="35" t="s">
        <v>265</v>
      </c>
      <c r="BX29" s="35" t="s">
        <v>265</v>
      </c>
      <c r="BY29" s="35" t="s">
        <v>456</v>
      </c>
      <c r="BZ29" s="35" t="s">
        <v>456</v>
      </c>
      <c r="CA29" s="311" t="s">
        <v>456</v>
      </c>
      <c r="CB29" s="35" t="s">
        <v>456</v>
      </c>
      <c r="CC29" s="35" t="s">
        <v>456</v>
      </c>
      <c r="CD29" s="35" t="s">
        <v>456</v>
      </c>
      <c r="CE29" s="35" t="s">
        <v>456</v>
      </c>
      <c r="CF29" s="35" t="s">
        <v>456</v>
      </c>
      <c r="CG29" s="35" t="s">
        <v>265</v>
      </c>
      <c r="CH29" s="35" t="s">
        <v>265</v>
      </c>
      <c r="CI29" s="35" t="s">
        <v>556</v>
      </c>
      <c r="CJ29" s="35" t="s">
        <v>556</v>
      </c>
      <c r="CK29" s="35" t="s">
        <v>556</v>
      </c>
      <c r="CL29" s="35" t="s">
        <v>456</v>
      </c>
      <c r="CM29" s="35" t="s">
        <v>456</v>
      </c>
      <c r="CN29" s="35" t="s">
        <v>456</v>
      </c>
      <c r="CO29" s="35" t="s">
        <v>456</v>
      </c>
      <c r="CP29" s="35" t="s">
        <v>456</v>
      </c>
      <c r="CQ29" s="35" t="s">
        <v>456</v>
      </c>
      <c r="CR29" s="35" t="s">
        <v>456</v>
      </c>
      <c r="CS29" s="35" t="s">
        <v>456</v>
      </c>
      <c r="CT29" s="35" t="s">
        <v>456</v>
      </c>
      <c r="CU29" s="35" t="s">
        <v>456</v>
      </c>
      <c r="CV29" s="35" t="s">
        <v>456</v>
      </c>
      <c r="CW29" s="35" t="s">
        <v>456</v>
      </c>
      <c r="CX29" s="35" t="s">
        <v>456</v>
      </c>
      <c r="CY29" s="35" t="s">
        <v>456</v>
      </c>
      <c r="CZ29" s="35" t="s">
        <v>456</v>
      </c>
      <c r="DA29" s="35" t="s">
        <v>456</v>
      </c>
      <c r="DB29" s="237" t="s">
        <v>456</v>
      </c>
      <c r="DC29" s="237" t="s">
        <v>456</v>
      </c>
      <c r="DD29" s="237" t="s">
        <v>456</v>
      </c>
      <c r="DE29" s="35" t="s">
        <v>456</v>
      </c>
      <c r="DF29" s="35" t="s">
        <v>456</v>
      </c>
      <c r="DG29" s="35" t="s">
        <v>456</v>
      </c>
      <c r="DH29" s="35" t="s">
        <v>456</v>
      </c>
      <c r="DI29" s="35" t="s">
        <v>456</v>
      </c>
      <c r="DJ29" s="237" t="s">
        <v>456</v>
      </c>
      <c r="DK29" s="237" t="s">
        <v>456</v>
      </c>
      <c r="DL29" s="237" t="s">
        <v>456</v>
      </c>
      <c r="DM29" s="35" t="s">
        <v>456</v>
      </c>
      <c r="DN29" s="35" t="s">
        <v>456</v>
      </c>
      <c r="DO29" s="35" t="s">
        <v>456</v>
      </c>
      <c r="DP29" s="35" t="s">
        <v>456</v>
      </c>
      <c r="DQ29" s="72" t="s">
        <v>569</v>
      </c>
      <c r="DR29" s="72" t="s">
        <v>569</v>
      </c>
      <c r="DS29" s="72" t="s">
        <v>569</v>
      </c>
      <c r="DT29" s="72" t="s">
        <v>569</v>
      </c>
      <c r="DU29" s="72" t="s">
        <v>569</v>
      </c>
      <c r="DV29" s="72" t="s">
        <v>569</v>
      </c>
      <c r="DW29" s="72" t="s">
        <v>456</v>
      </c>
      <c r="DX29" s="72" t="s">
        <v>456</v>
      </c>
      <c r="DY29" s="72" t="s">
        <v>456</v>
      </c>
      <c r="DZ29" s="72" t="s">
        <v>456</v>
      </c>
      <c r="EA29" s="72" t="s">
        <v>456</v>
      </c>
      <c r="EB29" s="72" t="s">
        <v>456</v>
      </c>
      <c r="EC29" s="72" t="s">
        <v>456</v>
      </c>
      <c r="ED29" s="35" t="s">
        <v>265</v>
      </c>
      <c r="EE29" s="35" t="s">
        <v>265</v>
      </c>
      <c r="EF29" s="35" t="s">
        <v>442</v>
      </c>
      <c r="EG29" s="35" t="s">
        <v>456</v>
      </c>
      <c r="EH29" s="35" t="s">
        <v>442</v>
      </c>
      <c r="EI29" s="35" t="s">
        <v>442</v>
      </c>
      <c r="EJ29" s="35" t="s">
        <v>442</v>
      </c>
      <c r="EK29" s="35" t="s">
        <v>456</v>
      </c>
      <c r="EL29" s="35" t="s">
        <v>456</v>
      </c>
      <c r="EM29" s="35" t="s">
        <v>456</v>
      </c>
      <c r="EN29" s="35" t="s">
        <v>456</v>
      </c>
      <c r="EO29" s="35" t="s">
        <v>456</v>
      </c>
      <c r="EP29" s="35" t="s">
        <v>456</v>
      </c>
      <c r="EQ29" s="35" t="s">
        <v>456</v>
      </c>
      <c r="ER29" s="35" t="s">
        <v>456</v>
      </c>
      <c r="ES29" s="35" t="s">
        <v>456</v>
      </c>
      <c r="ET29" s="35" t="s">
        <v>456</v>
      </c>
      <c r="EU29" s="35" t="s">
        <v>456</v>
      </c>
      <c r="EV29" s="35" t="s">
        <v>456</v>
      </c>
      <c r="EW29" s="35" t="s">
        <v>456</v>
      </c>
      <c r="EX29" s="35" t="s">
        <v>456</v>
      </c>
      <c r="EY29" s="35" t="s">
        <v>456</v>
      </c>
      <c r="EZ29" s="35" t="s">
        <v>456</v>
      </c>
      <c r="FA29" s="35" t="s">
        <v>456</v>
      </c>
      <c r="FB29" s="35" t="s">
        <v>456</v>
      </c>
      <c r="FC29" s="35" t="s">
        <v>456</v>
      </c>
      <c r="FD29" s="35" t="s">
        <v>456</v>
      </c>
      <c r="FE29" s="35" t="s">
        <v>456</v>
      </c>
      <c r="FF29" s="35" t="s">
        <v>456</v>
      </c>
      <c r="FG29" s="35" t="s">
        <v>456</v>
      </c>
      <c r="FH29" s="35" t="s">
        <v>456</v>
      </c>
      <c r="FI29" s="35" t="s">
        <v>456</v>
      </c>
      <c r="FJ29" s="35" t="s">
        <v>456</v>
      </c>
      <c r="FK29" s="35" t="s">
        <v>456</v>
      </c>
      <c r="FL29" s="35" t="s">
        <v>456</v>
      </c>
      <c r="FM29" s="35" t="s">
        <v>456</v>
      </c>
      <c r="FN29" s="35" t="s">
        <v>456</v>
      </c>
      <c r="FO29" s="35" t="s">
        <v>456</v>
      </c>
      <c r="FP29" s="35" t="s">
        <v>456</v>
      </c>
      <c r="FQ29" s="35" t="s">
        <v>556</v>
      </c>
      <c r="FR29" s="35" t="s">
        <v>265</v>
      </c>
      <c r="FS29" s="35" t="s">
        <v>265</v>
      </c>
      <c r="FT29" s="35" t="s">
        <v>265</v>
      </c>
      <c r="FU29" s="35" t="s">
        <v>265</v>
      </c>
      <c r="FV29" s="35" t="s">
        <v>456</v>
      </c>
      <c r="FW29" s="35" t="s">
        <v>456</v>
      </c>
      <c r="FX29" s="35" t="s">
        <v>456</v>
      </c>
      <c r="FY29" s="35" t="s">
        <v>456</v>
      </c>
      <c r="FZ29" s="35" t="s">
        <v>456</v>
      </c>
      <c r="GA29" s="35" t="s">
        <v>456</v>
      </c>
      <c r="GB29" s="35" t="s">
        <v>456</v>
      </c>
      <c r="GC29" s="35" t="s">
        <v>456</v>
      </c>
      <c r="GD29" s="35" t="s">
        <v>456</v>
      </c>
      <c r="GE29" s="35" t="s">
        <v>456</v>
      </c>
      <c r="GF29" s="35" t="s">
        <v>456</v>
      </c>
      <c r="GG29" s="35" t="s">
        <v>456</v>
      </c>
      <c r="GH29" s="35" t="s">
        <v>456</v>
      </c>
      <c r="GI29" s="35" t="s">
        <v>456</v>
      </c>
      <c r="GJ29" s="35" t="s">
        <v>456</v>
      </c>
      <c r="GK29" s="35" t="s">
        <v>456</v>
      </c>
      <c r="GL29" s="35" t="s">
        <v>456</v>
      </c>
      <c r="GM29" s="35" t="s">
        <v>456</v>
      </c>
      <c r="GN29" s="35" t="s">
        <v>456</v>
      </c>
      <c r="GO29" s="35" t="s">
        <v>456</v>
      </c>
      <c r="GP29" s="35" t="s">
        <v>456</v>
      </c>
      <c r="GQ29" s="35" t="s">
        <v>456</v>
      </c>
    </row>
    <row r="30" spans="1:199" ht="14.25" thickTop="1" thickBot="1" x14ac:dyDescent="0.25">
      <c r="A30" s="14" t="s">
        <v>526</v>
      </c>
      <c r="B30" s="60" t="s">
        <v>654</v>
      </c>
      <c r="C30" s="60" t="s">
        <v>510</v>
      </c>
      <c r="D30" s="82" t="s">
        <v>400</v>
      </c>
      <c r="E30" s="60" t="s">
        <v>302</v>
      </c>
      <c r="F30" s="132" t="s">
        <v>28</v>
      </c>
      <c r="G30" s="132" t="s">
        <v>67</v>
      </c>
      <c r="H30" s="82" t="s">
        <v>168</v>
      </c>
      <c r="I30" s="56" t="s">
        <v>310</v>
      </c>
      <c r="J30" s="56" t="s">
        <v>87</v>
      </c>
      <c r="K30" s="56" t="s">
        <v>228</v>
      </c>
      <c r="L30" s="56" t="s">
        <v>144</v>
      </c>
      <c r="M30" s="56" t="s">
        <v>429</v>
      </c>
      <c r="N30" s="56" t="s">
        <v>182</v>
      </c>
      <c r="O30" s="56" t="s">
        <v>298</v>
      </c>
      <c r="P30" s="56" t="s">
        <v>571</v>
      </c>
      <c r="Q30" s="56" t="s">
        <v>156</v>
      </c>
      <c r="R30" s="56" t="s">
        <v>299</v>
      </c>
      <c r="S30" s="56" t="s">
        <v>164</v>
      </c>
      <c r="T30" s="56" t="s">
        <v>403</v>
      </c>
      <c r="U30" s="56" t="s">
        <v>367</v>
      </c>
      <c r="V30" s="56" t="s">
        <v>105</v>
      </c>
      <c r="W30" s="56" t="s">
        <v>520</v>
      </c>
      <c r="X30" s="56" t="s">
        <v>469</v>
      </c>
      <c r="Y30" s="56" t="s">
        <v>432</v>
      </c>
      <c r="Z30" s="56" t="s">
        <v>75</v>
      </c>
      <c r="AA30" s="56" t="s">
        <v>666</v>
      </c>
      <c r="AB30" s="56" t="s">
        <v>111</v>
      </c>
      <c r="AC30" s="56" t="s">
        <v>289</v>
      </c>
      <c r="AD30" s="56" t="s">
        <v>308</v>
      </c>
      <c r="AE30" s="56" t="s">
        <v>411</v>
      </c>
      <c r="AF30" s="56" t="s">
        <v>425</v>
      </c>
      <c r="AG30" s="56" t="s">
        <v>431</v>
      </c>
      <c r="AH30" s="56" t="s">
        <v>696</v>
      </c>
      <c r="AI30" s="56" t="s">
        <v>15</v>
      </c>
      <c r="AJ30" s="56" t="s">
        <v>551</v>
      </c>
      <c r="AK30" s="56" t="s">
        <v>9</v>
      </c>
      <c r="AL30" s="56" t="s">
        <v>566</v>
      </c>
      <c r="AM30" s="56" t="s">
        <v>412</v>
      </c>
      <c r="AN30" s="56" t="s">
        <v>369</v>
      </c>
      <c r="AO30" s="56" t="s">
        <v>348</v>
      </c>
      <c r="AP30" s="56" t="s">
        <v>244</v>
      </c>
      <c r="AQ30" s="56" t="s">
        <v>488</v>
      </c>
      <c r="AR30" s="56" t="s">
        <v>397</v>
      </c>
      <c r="AS30" s="56" t="s">
        <v>440</v>
      </c>
      <c r="AT30" s="56" t="s">
        <v>445</v>
      </c>
      <c r="AU30" s="202" t="s">
        <v>119</v>
      </c>
      <c r="AV30" s="202" t="s">
        <v>580</v>
      </c>
      <c r="AW30" s="202" t="s">
        <v>64</v>
      </c>
      <c r="AX30" s="56" t="s">
        <v>471</v>
      </c>
      <c r="AY30" s="56" t="s">
        <v>539</v>
      </c>
      <c r="AZ30" s="202" t="s">
        <v>318</v>
      </c>
      <c r="BA30" s="202" t="s">
        <v>257</v>
      </c>
      <c r="BB30" s="202" t="s">
        <v>751</v>
      </c>
      <c r="BC30" s="202" t="s">
        <v>55</v>
      </c>
      <c r="BD30" s="56" t="s">
        <v>522</v>
      </c>
      <c r="BE30" s="202" t="s">
        <v>370</v>
      </c>
      <c r="BF30" s="202" t="s">
        <v>752</v>
      </c>
      <c r="BG30" s="202" t="s">
        <v>585</v>
      </c>
      <c r="BH30" s="298" t="s">
        <v>603</v>
      </c>
      <c r="BI30" s="298" t="s">
        <v>604</v>
      </c>
      <c r="BJ30" s="202" t="s">
        <v>565</v>
      </c>
      <c r="BK30" s="202" t="s">
        <v>354</v>
      </c>
      <c r="BL30" s="202" t="s">
        <v>93</v>
      </c>
      <c r="BM30" s="202" t="s">
        <v>198</v>
      </c>
      <c r="BN30" s="202" t="s">
        <v>249</v>
      </c>
      <c r="BO30" s="202" t="s">
        <v>152</v>
      </c>
      <c r="BP30" s="202" t="s">
        <v>547</v>
      </c>
      <c r="BQ30" s="202" t="s">
        <v>490</v>
      </c>
      <c r="BR30" s="202" t="s">
        <v>209</v>
      </c>
      <c r="BS30" s="202" t="s">
        <v>163</v>
      </c>
      <c r="BT30" s="202" t="s">
        <v>200</v>
      </c>
      <c r="BU30" s="202" t="s">
        <v>54</v>
      </c>
      <c r="BV30" s="202" t="s">
        <v>133</v>
      </c>
      <c r="BW30" s="202" t="s">
        <v>232</v>
      </c>
      <c r="BX30" s="202" t="s">
        <v>56</v>
      </c>
      <c r="BY30" s="202" t="s">
        <v>434</v>
      </c>
      <c r="BZ30" s="202" t="s">
        <v>108</v>
      </c>
      <c r="CA30" s="306" t="s">
        <v>657</v>
      </c>
      <c r="CB30" s="202" t="s">
        <v>659</v>
      </c>
      <c r="CC30" s="202" t="s">
        <v>661</v>
      </c>
      <c r="CD30" s="202" t="s">
        <v>648</v>
      </c>
      <c r="CE30" s="202" t="s">
        <v>649</v>
      </c>
      <c r="CF30" s="202" t="s">
        <v>650</v>
      </c>
      <c r="CG30" s="202" t="s">
        <v>327</v>
      </c>
      <c r="CH30" s="202" t="s">
        <v>356</v>
      </c>
      <c r="CI30" s="202" t="s">
        <v>513</v>
      </c>
      <c r="CJ30" s="202" t="s">
        <v>554</v>
      </c>
      <c r="CK30" s="202" t="s">
        <v>409</v>
      </c>
      <c r="CL30" s="202" t="s">
        <v>72</v>
      </c>
      <c r="CM30" s="202" t="s">
        <v>35</v>
      </c>
      <c r="CN30" s="202" t="s">
        <v>118</v>
      </c>
      <c r="CO30" s="202" t="s">
        <v>254</v>
      </c>
      <c r="CP30" s="202" t="s">
        <v>396</v>
      </c>
      <c r="CQ30" s="202" t="s">
        <v>279</v>
      </c>
      <c r="CR30" s="202" t="s">
        <v>66</v>
      </c>
      <c r="CS30" s="202" t="s">
        <v>568</v>
      </c>
      <c r="CT30" s="202" t="s">
        <v>712</v>
      </c>
      <c r="CU30" s="202" t="s">
        <v>371</v>
      </c>
      <c r="CV30" s="202" t="s">
        <v>497</v>
      </c>
      <c r="CW30" s="202" t="s">
        <v>699</v>
      </c>
      <c r="CX30" s="202" t="s">
        <v>320</v>
      </c>
      <c r="CY30" s="202" t="s">
        <v>509</v>
      </c>
      <c r="CZ30" s="202" t="s">
        <v>186</v>
      </c>
      <c r="DA30" s="202" t="s">
        <v>517</v>
      </c>
      <c r="DB30" s="146" t="s">
        <v>291</v>
      </c>
      <c r="DC30" s="146" t="s">
        <v>353</v>
      </c>
      <c r="DD30" s="146" t="s">
        <v>366</v>
      </c>
      <c r="DE30" s="171" t="s">
        <v>501</v>
      </c>
      <c r="DF30" s="202" t="s">
        <v>21</v>
      </c>
      <c r="DG30" s="171" t="s">
        <v>323</v>
      </c>
      <c r="DH30" s="171" t="s">
        <v>447</v>
      </c>
      <c r="DI30" s="171" t="s">
        <v>742</v>
      </c>
      <c r="DJ30" s="146" t="s">
        <v>678</v>
      </c>
      <c r="DK30" s="146" t="s">
        <v>679</v>
      </c>
      <c r="DL30" s="146" t="s">
        <v>262</v>
      </c>
      <c r="DM30" s="202" t="s">
        <v>255</v>
      </c>
      <c r="DN30" s="202" t="s">
        <v>541</v>
      </c>
      <c r="DO30" s="202" t="s">
        <v>395</v>
      </c>
      <c r="DP30" s="202" t="s">
        <v>499</v>
      </c>
      <c r="DQ30" s="2" t="s">
        <v>65</v>
      </c>
      <c r="DR30" s="2" t="s">
        <v>267</v>
      </c>
      <c r="DS30" s="2" t="s">
        <v>13</v>
      </c>
      <c r="DT30" s="2" t="s">
        <v>463</v>
      </c>
      <c r="DU30" s="2" t="s">
        <v>11</v>
      </c>
      <c r="DV30" s="2" t="s">
        <v>577</v>
      </c>
      <c r="DW30" s="2" t="s">
        <v>113</v>
      </c>
      <c r="DX30" s="2" t="s">
        <v>294</v>
      </c>
      <c r="DY30" s="2" t="s">
        <v>131</v>
      </c>
      <c r="DZ30" s="2" t="s">
        <v>450</v>
      </c>
      <c r="EA30" s="2" t="s">
        <v>437</v>
      </c>
      <c r="EB30" s="2" t="s">
        <v>14</v>
      </c>
      <c r="EC30" s="2" t="s">
        <v>172</v>
      </c>
      <c r="ED30" s="202" t="s">
        <v>670</v>
      </c>
      <c r="EE30" s="202" t="s">
        <v>250</v>
      </c>
      <c r="EF30" s="202" t="s">
        <v>663</v>
      </c>
      <c r="EG30" s="202" t="s">
        <v>711</v>
      </c>
      <c r="EH30" s="202" t="s">
        <v>704</v>
      </c>
      <c r="EI30" s="202" t="s">
        <v>0</v>
      </c>
      <c r="EJ30" s="202" t="s">
        <v>344</v>
      </c>
      <c r="EK30" s="171" t="s">
        <v>173</v>
      </c>
      <c r="EL30" s="171" t="s">
        <v>680</v>
      </c>
      <c r="EM30" s="171" t="s">
        <v>681</v>
      </c>
      <c r="EN30" s="171" t="s">
        <v>479</v>
      </c>
      <c r="EO30" s="171" t="s">
        <v>286</v>
      </c>
      <c r="EP30" s="171" t="s">
        <v>127</v>
      </c>
      <c r="EQ30" s="171" t="s">
        <v>552</v>
      </c>
      <c r="ER30" s="171" t="s">
        <v>194</v>
      </c>
      <c r="ES30" s="171" t="s">
        <v>19</v>
      </c>
      <c r="ET30" s="171" t="s">
        <v>408</v>
      </c>
      <c r="EU30" s="171" t="s">
        <v>563</v>
      </c>
      <c r="EV30" s="171" t="s">
        <v>358</v>
      </c>
      <c r="EW30" s="171" t="s">
        <v>319</v>
      </c>
      <c r="EX30" s="171" t="s">
        <v>207</v>
      </c>
      <c r="EY30" s="171" t="s">
        <v>558</v>
      </c>
      <c r="EZ30" s="202" t="s">
        <v>150</v>
      </c>
      <c r="FA30" s="171" t="s">
        <v>242</v>
      </c>
      <c r="FB30" s="171" t="s">
        <v>504</v>
      </c>
      <c r="FC30" s="171" t="s">
        <v>341</v>
      </c>
      <c r="FD30" s="171" t="s">
        <v>24</v>
      </c>
      <c r="FE30" s="171" t="s">
        <v>191</v>
      </c>
      <c r="FF30" s="171" t="s">
        <v>121</v>
      </c>
      <c r="FG30" s="171" t="s">
        <v>405</v>
      </c>
      <c r="FH30" s="171" t="s">
        <v>300</v>
      </c>
      <c r="FI30" s="171" t="s">
        <v>48</v>
      </c>
      <c r="FJ30" s="171" t="s">
        <v>500</v>
      </c>
      <c r="FK30" s="171" t="s">
        <v>388</v>
      </c>
      <c r="FL30" s="171" t="s">
        <v>491</v>
      </c>
      <c r="FM30" s="202" t="s">
        <v>567</v>
      </c>
      <c r="FN30" s="202" t="s">
        <v>126</v>
      </c>
      <c r="FO30" s="171" t="s">
        <v>528</v>
      </c>
      <c r="FP30" s="202" t="s">
        <v>483</v>
      </c>
      <c r="FQ30" s="202" t="s">
        <v>531</v>
      </c>
      <c r="FR30" s="202" t="s">
        <v>201</v>
      </c>
      <c r="FS30" s="202" t="s">
        <v>325</v>
      </c>
      <c r="FT30" s="202" t="s">
        <v>707</v>
      </c>
      <c r="FU30" s="202" t="s">
        <v>708</v>
      </c>
      <c r="FV30" s="202" t="s">
        <v>710</v>
      </c>
      <c r="FW30" s="202" t="s">
        <v>269</v>
      </c>
      <c r="FX30" s="202" t="s">
        <v>413</v>
      </c>
      <c r="FY30" s="202" t="s">
        <v>251</v>
      </c>
      <c r="FZ30" s="202" t="s">
        <v>465</v>
      </c>
      <c r="GA30" s="202" t="s">
        <v>51</v>
      </c>
      <c r="GB30" s="56" t="s">
        <v>283</v>
      </c>
      <c r="GC30" s="202" t="s">
        <v>542</v>
      </c>
      <c r="GD30" s="56" t="s">
        <v>576</v>
      </c>
      <c r="GE30" s="202" t="s">
        <v>112</v>
      </c>
      <c r="GF30" s="202" t="s">
        <v>363</v>
      </c>
      <c r="GG30" s="202" t="s">
        <v>185</v>
      </c>
      <c r="GH30" s="202" t="s">
        <v>345</v>
      </c>
      <c r="GI30" s="202" t="s">
        <v>180</v>
      </c>
      <c r="GJ30" s="202" t="s">
        <v>421</v>
      </c>
      <c r="GK30" s="202" t="s">
        <v>96</v>
      </c>
      <c r="GL30" s="202" t="s">
        <v>590</v>
      </c>
      <c r="GM30" s="202" t="s">
        <v>592</v>
      </c>
      <c r="GN30" s="202" t="s">
        <v>593</v>
      </c>
      <c r="GO30" s="202" t="s">
        <v>594</v>
      </c>
      <c r="GP30" s="202" t="s">
        <v>595</v>
      </c>
      <c r="GQ30" s="202" t="s">
        <v>596</v>
      </c>
    </row>
    <row r="31" spans="1:199" ht="13.5" thickTop="1" x14ac:dyDescent="0.2"/>
    <row r="46" spans="1:199" s="15" customFormat="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row>
    <row r="47" spans="1:199" s="15" customFormat="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row>
    <row r="48" spans="1:199" s="15" customFormat="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row>
    <row r="49" spans="1:199" s="15" customFormat="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row>
    <row r="50" spans="1:199" s="15" customFormat="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row>
  </sheetData>
  <printOptions gridLines="1" gridLinesSet="0"/>
  <pageMargins left="0.75" right="0.75" top="1" bottom="1" header="0.5" footer="0.5"/>
  <pageSetup orientation="portrait" r:id="rId1"/>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T16"/>
  <sheetViews>
    <sheetView topLeftCell="BN1" zoomScale="90" zoomScaleNormal="90" workbookViewId="0">
      <selection activeCell="BN2" sqref="BN2"/>
    </sheetView>
  </sheetViews>
  <sheetFormatPr defaultRowHeight="12.75" x14ac:dyDescent="0.2"/>
  <cols>
    <col min="1" max="1" width="19.85546875" customWidth="1"/>
    <col min="2" max="3" width="19.42578125" customWidth="1"/>
    <col min="4" max="4" width="14" customWidth="1"/>
    <col min="5" max="5" width="8.85546875" customWidth="1"/>
    <col min="6" max="6" width="15.85546875" customWidth="1"/>
    <col min="7" max="14" width="14.42578125" customWidth="1"/>
    <col min="15" max="16" width="20.28515625" customWidth="1"/>
    <col min="17" max="17" width="12.5703125" customWidth="1"/>
    <col min="18" max="19" width="14.7109375" customWidth="1"/>
    <col min="20" max="20" width="10.85546875" customWidth="1"/>
    <col min="21" max="21" width="12" customWidth="1"/>
    <col min="22" max="23" width="13.85546875" customWidth="1"/>
    <col min="24" max="26" width="12.7109375" customWidth="1"/>
    <col min="27" max="27" width="13.85546875" bestFit="1" customWidth="1"/>
    <col min="28" max="28" width="12.7109375" customWidth="1"/>
    <col min="29" max="29" width="14.28515625" customWidth="1"/>
    <col min="30" max="33" width="12.5703125" customWidth="1"/>
    <col min="34" max="34" width="13.42578125" customWidth="1"/>
    <col min="35" max="35" width="13.140625" customWidth="1"/>
    <col min="36" max="36" width="14.28515625" customWidth="1"/>
    <col min="37" max="37" width="13.7109375" customWidth="1"/>
    <col min="38" max="38" width="12.7109375" customWidth="1"/>
    <col min="39" max="39" width="15.7109375" customWidth="1"/>
    <col min="40" max="40" width="18" customWidth="1"/>
    <col min="41" max="41" width="19.5703125" customWidth="1"/>
    <col min="42" max="42" width="19.140625" customWidth="1"/>
    <col min="43" max="43" width="18" customWidth="1"/>
    <col min="44" max="44" width="19" customWidth="1"/>
    <col min="45" max="45" width="15.7109375" customWidth="1"/>
    <col min="46" max="46" width="12.140625" customWidth="1"/>
    <col min="47" max="47" width="8.85546875" customWidth="1"/>
    <col min="48" max="48" width="13.85546875" customWidth="1"/>
    <col min="49" max="49" width="13.28515625" customWidth="1"/>
    <col min="50" max="50" width="14.42578125" customWidth="1"/>
    <col min="51" max="51" width="18" customWidth="1"/>
    <col min="52" max="52" width="14.7109375" customWidth="1"/>
    <col min="53" max="53" width="12.140625" customWidth="1"/>
    <col min="54" max="54" width="12.28515625" customWidth="1"/>
    <col min="55" max="55" width="11.7109375" customWidth="1"/>
    <col min="56" max="56" width="19.140625" customWidth="1"/>
    <col min="57" max="57" width="21.7109375" customWidth="1"/>
    <col min="58" max="58" width="25.140625" customWidth="1"/>
    <col min="59" max="59" width="22.140625" customWidth="1"/>
    <col min="60" max="60" width="28.28515625" customWidth="1"/>
    <col min="61" max="61" width="25.140625" customWidth="1"/>
    <col min="62" max="63" width="21.5703125" customWidth="1"/>
    <col min="64" max="64" width="16.140625" customWidth="1"/>
    <col min="65" max="65" width="30.28515625" customWidth="1"/>
    <col min="66" max="66" width="22.42578125" customWidth="1"/>
    <col min="67" max="67" width="32.42578125" customWidth="1"/>
    <col min="68" max="68" width="26.140625" customWidth="1"/>
    <col min="69" max="69" width="25.140625" customWidth="1"/>
    <col min="70" max="70" width="16.140625" customWidth="1"/>
    <col min="71" max="71" width="15.7109375" customWidth="1"/>
    <col min="72" max="72" width="17.5703125" customWidth="1"/>
    <col min="73" max="73" width="16.5703125" customWidth="1"/>
    <col min="74" max="74" width="14.7109375" customWidth="1"/>
    <col min="75" max="75" width="12.85546875" customWidth="1"/>
    <col min="76" max="76" width="14.28515625" customWidth="1"/>
    <col min="77" max="77" width="16.7109375" customWidth="1"/>
    <col min="78" max="78" width="17.140625" customWidth="1"/>
    <col min="79" max="79" width="18.42578125" customWidth="1"/>
    <col min="80" max="80" width="21.42578125" customWidth="1"/>
    <col min="81" max="81" width="16.7109375" customWidth="1"/>
    <col min="82" max="82" width="14.7109375" customWidth="1"/>
    <col min="83" max="83" width="21.7109375" customWidth="1"/>
    <col min="84" max="84" width="10.5703125" customWidth="1"/>
    <col min="85" max="85" width="11.5703125" customWidth="1"/>
    <col min="86" max="86" width="22.140625" customWidth="1"/>
    <col min="87" max="87" width="15.42578125" customWidth="1"/>
    <col min="88" max="89" width="15" customWidth="1"/>
    <col min="90" max="96" width="16.140625" customWidth="1"/>
    <col min="97" max="98" width="20.140625" customWidth="1"/>
  </cols>
  <sheetData>
    <row r="1" spans="1:98" ht="13.5" thickBot="1" x14ac:dyDescent="0.25">
      <c r="A1" s="69" t="s">
        <v>460</v>
      </c>
      <c r="B1" s="60" t="s">
        <v>654</v>
      </c>
      <c r="C1" s="60" t="s">
        <v>510</v>
      </c>
      <c r="D1" s="60" t="s">
        <v>302</v>
      </c>
      <c r="E1" s="82" t="s">
        <v>400</v>
      </c>
      <c r="F1" s="82" t="s">
        <v>168</v>
      </c>
      <c r="G1" s="56" t="s">
        <v>310</v>
      </c>
      <c r="H1" s="56" t="s">
        <v>87</v>
      </c>
      <c r="I1" s="56" t="s">
        <v>228</v>
      </c>
      <c r="J1" s="56" t="s">
        <v>144</v>
      </c>
      <c r="K1" s="56" t="s">
        <v>429</v>
      </c>
      <c r="L1" s="56" t="s">
        <v>182</v>
      </c>
      <c r="M1" s="56" t="s">
        <v>298</v>
      </c>
      <c r="N1" s="56" t="s">
        <v>571</v>
      </c>
      <c r="O1" s="56" t="s">
        <v>156</v>
      </c>
      <c r="P1" s="56" t="s">
        <v>749</v>
      </c>
      <c r="Q1" s="56" t="s">
        <v>164</v>
      </c>
      <c r="R1" s="56" t="s">
        <v>403</v>
      </c>
      <c r="S1" s="56" t="s">
        <v>367</v>
      </c>
      <c r="T1" s="56" t="s">
        <v>105</v>
      </c>
      <c r="U1" s="56" t="s">
        <v>520</v>
      </c>
      <c r="V1" s="56" t="s">
        <v>469</v>
      </c>
      <c r="W1" s="56" t="s">
        <v>432</v>
      </c>
      <c r="X1" s="56" t="s">
        <v>111</v>
      </c>
      <c r="Y1" s="56" t="s">
        <v>289</v>
      </c>
      <c r="Z1" s="56" t="s">
        <v>308</v>
      </c>
      <c r="AA1" s="56" t="s">
        <v>411</v>
      </c>
      <c r="AB1" s="56" t="s">
        <v>425</v>
      </c>
      <c r="AC1" s="56" t="s">
        <v>431</v>
      </c>
      <c r="AD1" s="56" t="s">
        <v>15</v>
      </c>
      <c r="AE1" s="56" t="s">
        <v>551</v>
      </c>
      <c r="AF1" s="56" t="s">
        <v>9</v>
      </c>
      <c r="AG1" s="56" t="s">
        <v>566</v>
      </c>
      <c r="AH1" s="56" t="s">
        <v>412</v>
      </c>
      <c r="AI1" s="56" t="s">
        <v>369</v>
      </c>
      <c r="AJ1" s="56" t="s">
        <v>471</v>
      </c>
      <c r="AK1" s="56" t="s">
        <v>539</v>
      </c>
      <c r="AL1" s="202" t="s">
        <v>565</v>
      </c>
      <c r="AM1" s="202" t="s">
        <v>354</v>
      </c>
      <c r="AN1" s="202" t="s">
        <v>717</v>
      </c>
      <c r="AO1" s="202" t="s">
        <v>718</v>
      </c>
      <c r="AP1" s="202" t="s">
        <v>719</v>
      </c>
      <c r="AQ1" s="202" t="s">
        <v>133</v>
      </c>
      <c r="AR1" s="202" t="s">
        <v>232</v>
      </c>
      <c r="AS1" s="202" t="s">
        <v>56</v>
      </c>
      <c r="AT1" s="202" t="s">
        <v>162</v>
      </c>
      <c r="AU1" s="202" t="s">
        <v>93</v>
      </c>
      <c r="AV1" s="202" t="s">
        <v>198</v>
      </c>
      <c r="AW1" s="202" t="s">
        <v>249</v>
      </c>
      <c r="AX1" s="202" t="s">
        <v>152</v>
      </c>
      <c r="AY1" s="202" t="s">
        <v>513</v>
      </c>
      <c r="AZ1" s="202" t="s">
        <v>554</v>
      </c>
      <c r="BA1" s="202" t="s">
        <v>409</v>
      </c>
      <c r="BB1" s="202" t="s">
        <v>72</v>
      </c>
      <c r="BC1" s="202" t="s">
        <v>35</v>
      </c>
      <c r="BD1" s="202" t="s">
        <v>670</v>
      </c>
      <c r="BE1" s="146" t="s">
        <v>353</v>
      </c>
      <c r="BF1" s="146" t="s">
        <v>366</v>
      </c>
      <c r="BG1" s="146" t="s">
        <v>678</v>
      </c>
      <c r="BH1" s="146" t="s">
        <v>679</v>
      </c>
      <c r="BI1" s="146" t="s">
        <v>262</v>
      </c>
      <c r="BJ1" s="202" t="s">
        <v>255</v>
      </c>
      <c r="BK1" s="202" t="s">
        <v>151</v>
      </c>
      <c r="BL1" s="202" t="s">
        <v>21</v>
      </c>
      <c r="BM1" s="171" t="s">
        <v>563</v>
      </c>
      <c r="BN1" s="171" t="s">
        <v>358</v>
      </c>
      <c r="BO1" s="171" t="s">
        <v>319</v>
      </c>
      <c r="BP1" s="171" t="s">
        <v>207</v>
      </c>
      <c r="BQ1" s="171" t="s">
        <v>558</v>
      </c>
      <c r="BR1" s="202" t="s">
        <v>150</v>
      </c>
      <c r="BS1" s="171" t="s">
        <v>242</v>
      </c>
      <c r="BT1" s="171" t="s">
        <v>720</v>
      </c>
      <c r="BU1" s="171" t="s">
        <v>341</v>
      </c>
      <c r="BV1" s="171" t="s">
        <v>24</v>
      </c>
      <c r="BW1" s="171" t="s">
        <v>191</v>
      </c>
      <c r="BX1" s="171" t="s">
        <v>121</v>
      </c>
      <c r="BY1" s="171" t="s">
        <v>405</v>
      </c>
      <c r="BZ1" s="171" t="s">
        <v>721</v>
      </c>
      <c r="CA1" s="171" t="s">
        <v>48</v>
      </c>
      <c r="CB1" s="171" t="s">
        <v>500</v>
      </c>
      <c r="CC1" s="171" t="s">
        <v>388</v>
      </c>
      <c r="CD1" s="171" t="s">
        <v>491</v>
      </c>
      <c r="CE1" s="202" t="s">
        <v>483</v>
      </c>
      <c r="CF1" s="202" t="s">
        <v>531</v>
      </c>
      <c r="CG1" s="202" t="s">
        <v>269</v>
      </c>
      <c r="CH1" s="202" t="s">
        <v>413</v>
      </c>
      <c r="CI1" s="202" t="s">
        <v>251</v>
      </c>
      <c r="CJ1" s="202" t="s">
        <v>465</v>
      </c>
      <c r="CK1" s="202" t="s">
        <v>112</v>
      </c>
      <c r="CL1" s="202" t="s">
        <v>711</v>
      </c>
      <c r="CM1" s="202" t="s">
        <v>722</v>
      </c>
      <c r="CN1" s="202" t="s">
        <v>723</v>
      </c>
      <c r="CO1" s="202" t="s">
        <v>421</v>
      </c>
      <c r="CP1" s="202" t="s">
        <v>96</v>
      </c>
      <c r="CQ1" s="202" t="s">
        <v>0</v>
      </c>
      <c r="CR1" s="202" t="s">
        <v>344</v>
      </c>
      <c r="CS1" s="202" t="s">
        <v>395</v>
      </c>
      <c r="CT1" s="202" t="s">
        <v>499</v>
      </c>
    </row>
    <row r="2" spans="1:98" ht="13.5" thickTop="1" x14ac:dyDescent="0.2">
      <c r="A2" s="69" t="s">
        <v>211</v>
      </c>
      <c r="B2" s="214">
        <v>22361100</v>
      </c>
      <c r="C2" s="181" t="s">
        <v>487</v>
      </c>
      <c r="D2" s="181"/>
      <c r="E2" s="181" t="s">
        <v>511</v>
      </c>
      <c r="F2" s="181"/>
      <c r="G2" s="204"/>
      <c r="H2" s="204"/>
      <c r="I2" s="181"/>
      <c r="J2" s="204"/>
      <c r="K2" s="204"/>
      <c r="L2" s="204"/>
      <c r="M2" s="204"/>
      <c r="N2" s="204"/>
      <c r="O2" s="204" t="s">
        <v>442</v>
      </c>
      <c r="P2" s="181" t="s">
        <v>387</v>
      </c>
      <c r="Q2" s="204" t="s">
        <v>419</v>
      </c>
      <c r="R2" s="31" t="s">
        <v>116</v>
      </c>
      <c r="S2" s="31"/>
      <c r="T2" s="31" t="s">
        <v>419</v>
      </c>
      <c r="U2" s="203">
        <v>16510</v>
      </c>
      <c r="V2" s="203">
        <v>17078</v>
      </c>
      <c r="W2" s="203"/>
      <c r="X2" s="203">
        <v>25430</v>
      </c>
      <c r="Y2" s="32">
        <f>DATE(YEAR(U2)+21,MONTH(U2),DAY(U2))</f>
        <v>24180</v>
      </c>
      <c r="Z2" s="32">
        <f>DATE(YEAR(X2)+1,MONTH(X2),DAY(X2))</f>
        <v>25795</v>
      </c>
      <c r="AA2" s="32">
        <f t="shared" ref="AA2" si="0">MAX(Y2,Z2)</f>
        <v>25795</v>
      </c>
      <c r="AB2" s="32" t="e">
        <f ca="1">NRD(AA2,0)</f>
        <v>#NAME?</v>
      </c>
      <c r="AC2" s="32">
        <v>26390</v>
      </c>
      <c r="AD2" s="32">
        <v>38107</v>
      </c>
      <c r="AE2" s="32">
        <v>38107</v>
      </c>
      <c r="AF2" s="32"/>
      <c r="AG2" s="32"/>
      <c r="AH2" s="203" t="e">
        <f ca="1">MAX(NRD(AB2,5),NRD(U2,65))</f>
        <v>#NAME?</v>
      </c>
      <c r="AI2" s="31" t="e">
        <f ca="1">anb(U2,AH2)</f>
        <v>#NAME?</v>
      </c>
      <c r="AJ2" s="31" t="e">
        <f ca="1">anb(U2,DOPT)</f>
        <v>#NAME?</v>
      </c>
      <c r="AK2" s="31" t="e">
        <f ca="1">anb(IF(O2="Y",W2,V2),DOPT)</f>
        <v>#NAME?</v>
      </c>
      <c r="AL2" s="59">
        <v>38108</v>
      </c>
      <c r="AM2" s="59">
        <v>38108</v>
      </c>
      <c r="AN2" s="86" t="s">
        <v>216</v>
      </c>
      <c r="AO2" s="33">
        <v>0.5</v>
      </c>
      <c r="AP2" s="31">
        <v>0</v>
      </c>
      <c r="AQ2" s="86">
        <f>IF(AN2="9",2,4)</f>
        <v>2</v>
      </c>
      <c r="AR2" s="305">
        <f>0</f>
        <v>0</v>
      </c>
      <c r="AS2" s="86">
        <f>IF(AN2="5",AP2,0)</f>
        <v>0</v>
      </c>
      <c r="AT2" s="31">
        <f>IF(AS2&gt;0,AS2-COMPM(AL2,NRD(DOPT,0)),0)</f>
        <v>0</v>
      </c>
      <c r="AU2" s="44" t="s">
        <v>174</v>
      </c>
      <c r="AV2" s="31" t="e">
        <f ca="1">AJ2</f>
        <v>#NAME?</v>
      </c>
      <c r="AW2" s="59" t="e">
        <f ca="1">NRD(DOPT,0)</f>
        <v>#NAME?</v>
      </c>
      <c r="AX2" s="76" t="e">
        <f ca="1">AK2</f>
        <v>#NAME?</v>
      </c>
      <c r="AY2" s="86">
        <f>AQ2</f>
        <v>2</v>
      </c>
      <c r="AZ2" s="305">
        <f>AR2</f>
        <v>0</v>
      </c>
      <c r="BA2" s="86">
        <f>AT2</f>
        <v>0</v>
      </c>
      <c r="BB2" s="31" t="e">
        <f ca="1">AX2</f>
        <v>#NAME?</v>
      </c>
      <c r="BC2" s="31">
        <v>999</v>
      </c>
      <c r="BD2" s="44">
        <v>1200</v>
      </c>
      <c r="BE2" s="7">
        <f>BD2</f>
        <v>1200</v>
      </c>
      <c r="BF2" s="7">
        <f>MIN(BD2,BE2)</f>
        <v>1200</v>
      </c>
      <c r="BG2" s="7">
        <f>BD2-BF2</f>
        <v>0</v>
      </c>
      <c r="BH2" s="236">
        <f>PC6_4022C_AR</f>
        <v>0.17230000000000001</v>
      </c>
      <c r="BI2" s="7">
        <f>ROUND(BG2*BH2,2)</f>
        <v>0</v>
      </c>
      <c r="BJ2" s="44">
        <f>BF2+BI2</f>
        <v>1200</v>
      </c>
      <c r="BK2" s="44">
        <f>BJ2</f>
        <v>1200</v>
      </c>
      <c r="BL2" s="114" t="e">
        <f ca="1">ROUND(NPVF2("MP",IF(AY2=4,"CTN","SLA"),"N",DOPT,IF(O2="Y",S2,R2),AK2,AX2,0,AZ2,AT2,0,DOPT,DOPT,"P","","","0"),4)</f>
        <v>#NAME?</v>
      </c>
      <c r="BM2" s="168" t="e">
        <f ca="1">ROUND(BF2*BL2*12,0)</f>
        <v>#NAME?</v>
      </c>
      <c r="BN2" s="168" t="e">
        <f ca="1">ROUND(BG2*BL2*12,0)</f>
        <v>#NAME?</v>
      </c>
      <c r="BO2" s="168" t="e">
        <f ca="1">BM2+BN2</f>
        <v>#NAME?</v>
      </c>
      <c r="BP2" s="168" t="e">
        <f ca="1">ROUND(BI2*BL2*12,0)</f>
        <v>#NAME?</v>
      </c>
      <c r="BQ2" s="168" t="e">
        <f ca="1">BM2+BP2</f>
        <v>#NAME?</v>
      </c>
      <c r="BR2" s="17">
        <f>Load_Percent</f>
        <v>1.11E-2</v>
      </c>
      <c r="BS2" s="20" t="e">
        <f ca="1">ROUND(BM2*BR2,0)</f>
        <v>#NAME?</v>
      </c>
      <c r="BT2" s="20" t="e">
        <f ca="1">ROUND(BN2*BR2,0)</f>
        <v>#NAME?</v>
      </c>
      <c r="BU2" s="48" t="e">
        <f ca="1">BT2</f>
        <v>#NAME?</v>
      </c>
      <c r="BV2" s="48" t="e">
        <f ca="1">BS2+BU2</f>
        <v>#NAME?</v>
      </c>
      <c r="BW2" s="48" t="e">
        <f ca="1">ROUND(BP2*BR2,0)</f>
        <v>#NAME?</v>
      </c>
      <c r="BX2" s="48" t="e">
        <f ca="1">BS2+BW2</f>
        <v>#NAME?</v>
      </c>
      <c r="BY2" s="48" t="e">
        <f ca="1">BM2+BS2</f>
        <v>#NAME?</v>
      </c>
      <c r="BZ2" s="48" t="e">
        <f ca="1">BN2+BT2</f>
        <v>#NAME?</v>
      </c>
      <c r="CA2" s="48" t="e">
        <f ca="1">BZ2</f>
        <v>#NAME?</v>
      </c>
      <c r="CB2" s="48" t="e">
        <f ca="1">BY2+CA2</f>
        <v>#NAME?</v>
      </c>
      <c r="CC2" s="48" t="e">
        <f ca="1">BP2+BW2</f>
        <v>#NAME?</v>
      </c>
      <c r="CD2" s="48" t="e">
        <f ca="1">BY2+CC2</f>
        <v>#NAME?</v>
      </c>
      <c r="CE2" s="31" t="e">
        <f ca="1">ROUND(NPVF2("MP","SLA","O",DOPT,IF(O2="Y",S2,R2),AK2,AX2,0,AZ2,AT2,0,DOPT,DOPT,"P","",""),4)</f>
        <v>#NAME?</v>
      </c>
      <c r="CF2" s="185" t="e">
        <f ca="1">ROUND(12*CE2*BJ2,0)</f>
        <v>#NAME?</v>
      </c>
      <c r="CG2" s="31" t="e">
        <f ca="1">IF(CF2&gt;5000,"N","Y")</f>
        <v>#NAME?</v>
      </c>
      <c r="CH2" s="31" t="e">
        <f ca="1">IF(CG2="Y","L","A")</f>
        <v>#NAME?</v>
      </c>
      <c r="CI2" s="185" t="e">
        <f ca="1">ROUND(BQ2*AK2,0)</f>
        <v>#NAME?</v>
      </c>
      <c r="CJ2" s="185" t="e">
        <f ca="1">ROUND(BQ2*AX2,0)</f>
        <v>#NAME?</v>
      </c>
      <c r="CK2" s="185" t="s">
        <v>724</v>
      </c>
      <c r="CL2" s="44">
        <f>BJ2</f>
        <v>1200</v>
      </c>
      <c r="CM2" s="44" t="str">
        <f>IF(AND(BD2&gt;=BJ2,BD2-BJ2&lt;5),"N","Y")</f>
        <v>N</v>
      </c>
      <c r="CN2" s="44" t="s">
        <v>442</v>
      </c>
      <c r="CO2" s="3" t="s">
        <v>140</v>
      </c>
      <c r="CP2" s="3" t="s">
        <v>140</v>
      </c>
      <c r="CQ2" s="44" t="str">
        <f>IF(AND(BD2&gt;BJ2,BD2-BJ2&gt;=5),"D",IF(AND(BD2&gt;BJ2,BD2-BJ2&lt;5),"N",IF(BD2=BJ2,"M","I")))</f>
        <v>M</v>
      </c>
      <c r="CR2" s="44" t="str">
        <f>IF(CQ2="D","Your current monthly benefit of $"&amp;TEXT(AY2,"0000.00")&amp;" will decrease to $"&amp;TEXT(BJ2,"0000.00")&amp;" because of the limitations placed on the monthly benefit payable at DOPT.  See the Benefit Calculation section for further details.","NULL")</f>
        <v>NULL</v>
      </c>
      <c r="CS2" s="44" t="str">
        <f>IF(CQ2="D","The benefits PBGC guarantees are limited by federal pension law to PBGC's maximum monthly amount that was in effect on the date of plan termination.  This amount is adjusted to reflect the participant's age and form of annuity.","NULL")</f>
        <v>NULL</v>
      </c>
      <c r="CT2" s="44" t="str">
        <f>IF(AND(CQ2="D",BI2&gt;0),"Under Section 4022(c) of ERISA, PBGC has allocated additional funds to non-guaranteed benefits based on PBGC's experience in recovering on claims against plan sponsors. PBGC has, therefore, increased your monthly benefit, as shown below.","NULL")</f>
        <v>NULL</v>
      </c>
    </row>
    <row r="3" spans="1:98" ht="13.5" thickBot="1" x14ac:dyDescent="0.25">
      <c r="A3" s="14"/>
      <c r="B3" s="138"/>
      <c r="C3" s="138"/>
      <c r="D3" s="138"/>
      <c r="E3" s="138"/>
      <c r="F3" s="138"/>
      <c r="G3" s="157"/>
      <c r="H3" s="157"/>
      <c r="I3" s="157"/>
      <c r="J3" s="157"/>
      <c r="K3" s="157"/>
      <c r="L3" s="157"/>
      <c r="M3" s="157"/>
      <c r="N3" s="157"/>
      <c r="O3" s="157"/>
      <c r="P3" s="157"/>
      <c r="Q3" s="157"/>
      <c r="R3" s="57"/>
      <c r="S3" s="57"/>
      <c r="T3" s="57"/>
      <c r="U3" s="43"/>
      <c r="V3" s="43"/>
      <c r="W3" s="43"/>
      <c r="X3" s="43"/>
      <c r="Y3" s="43"/>
      <c r="Z3" s="43"/>
      <c r="AA3" s="43"/>
      <c r="AB3" s="43"/>
      <c r="AC3" s="233"/>
      <c r="AD3" s="233"/>
      <c r="AE3" s="233"/>
      <c r="AF3" s="233"/>
      <c r="AG3" s="233"/>
      <c r="AH3" s="43"/>
      <c r="AI3" s="57"/>
      <c r="AJ3" s="57"/>
      <c r="AK3" s="57"/>
      <c r="AL3" s="4"/>
      <c r="AM3" s="4"/>
      <c r="AN3" s="57"/>
      <c r="AO3" s="119"/>
      <c r="AP3" s="57"/>
      <c r="AQ3" s="57"/>
      <c r="AR3" s="119"/>
      <c r="AS3" s="57"/>
      <c r="AT3" s="57"/>
      <c r="AU3" s="239"/>
      <c r="AV3" s="57"/>
      <c r="AW3" s="4"/>
      <c r="AX3" s="23"/>
      <c r="AY3" s="57"/>
      <c r="AZ3" s="119"/>
      <c r="BA3" s="57"/>
      <c r="BB3" s="57"/>
      <c r="BC3" s="57"/>
      <c r="BD3" s="239"/>
      <c r="BE3" s="213"/>
      <c r="BF3" s="213"/>
      <c r="BG3" s="213"/>
      <c r="BH3" s="213"/>
      <c r="BI3" s="213"/>
      <c r="BJ3" s="239"/>
      <c r="BK3" s="239"/>
      <c r="BL3" s="80"/>
      <c r="BM3" s="116"/>
      <c r="BN3" s="116"/>
      <c r="BO3" s="116"/>
      <c r="BP3" s="116"/>
      <c r="BQ3" s="116"/>
      <c r="BR3" s="107"/>
      <c r="BS3" s="225"/>
      <c r="BT3" s="55"/>
      <c r="BU3" s="241"/>
      <c r="BV3" s="241"/>
      <c r="BW3" s="241"/>
      <c r="BX3" s="241"/>
      <c r="BY3" s="241"/>
      <c r="BZ3" s="55"/>
      <c r="CA3" s="241"/>
      <c r="CB3" s="241"/>
      <c r="CC3" s="241"/>
      <c r="CD3" s="241"/>
      <c r="CE3" s="57"/>
      <c r="CF3" s="145"/>
      <c r="CG3" s="57"/>
      <c r="CH3" s="57"/>
      <c r="CI3" s="145"/>
      <c r="CJ3" s="145"/>
      <c r="CK3" s="145"/>
      <c r="CL3" s="239"/>
      <c r="CM3" s="239"/>
      <c r="CN3" s="239"/>
      <c r="CO3" s="239"/>
      <c r="CP3" s="239"/>
      <c r="CQ3" s="239"/>
      <c r="CR3" s="239"/>
      <c r="CS3" s="239"/>
      <c r="CT3" s="239"/>
    </row>
    <row r="4" spans="1:98" ht="13.5" thickTop="1" x14ac:dyDescent="0.2">
      <c r="A4" s="283"/>
      <c r="B4" s="13"/>
      <c r="C4" s="13"/>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84"/>
      <c r="AK4" s="284"/>
      <c r="AL4" s="284"/>
      <c r="AM4" s="284"/>
      <c r="AN4" s="284"/>
      <c r="AO4" s="284"/>
      <c r="AP4" s="284"/>
      <c r="AQ4" s="284"/>
      <c r="AR4" s="284"/>
      <c r="AS4" s="284"/>
      <c r="AT4" s="284"/>
      <c r="AU4" s="284"/>
      <c r="AV4" s="284"/>
      <c r="AW4" s="284"/>
      <c r="AX4" s="284"/>
      <c r="AY4" s="284"/>
      <c r="AZ4" s="284"/>
      <c r="BA4" s="284"/>
      <c r="BB4" s="284"/>
      <c r="BC4" s="284"/>
      <c r="BD4" s="284"/>
      <c r="BE4" s="285"/>
      <c r="BF4" s="285"/>
      <c r="BG4" s="285"/>
      <c r="BH4" s="285"/>
      <c r="BI4" s="285"/>
      <c r="BJ4" s="284"/>
      <c r="BK4" s="284"/>
      <c r="BL4" s="284"/>
      <c r="BM4" s="284"/>
      <c r="BN4" s="284"/>
      <c r="BO4" s="284"/>
      <c r="BP4" s="284"/>
      <c r="BQ4" s="284"/>
      <c r="BR4" s="284"/>
      <c r="BS4" s="284"/>
      <c r="BT4" s="284"/>
      <c r="BU4" s="284"/>
      <c r="BV4" s="284"/>
      <c r="BW4" s="284"/>
      <c r="BX4" s="284"/>
      <c r="BY4" s="284"/>
      <c r="BZ4" s="284"/>
      <c r="CA4" s="284"/>
      <c r="CB4" s="284"/>
      <c r="CC4" s="15"/>
      <c r="CD4" s="284"/>
      <c r="CE4" s="284"/>
      <c r="CF4" s="284"/>
      <c r="CG4" s="284"/>
      <c r="CH4" s="284"/>
      <c r="CI4" s="284"/>
      <c r="CJ4" s="284"/>
      <c r="CK4" s="284"/>
      <c r="CL4" s="284"/>
      <c r="CM4" s="284"/>
      <c r="CN4" s="284"/>
      <c r="CO4" s="284"/>
      <c r="CP4" s="284"/>
      <c r="CQ4" s="284"/>
      <c r="CR4" s="284"/>
      <c r="CS4" s="284"/>
      <c r="CT4" s="284"/>
    </row>
    <row r="5" spans="1:98" x14ac:dyDescent="0.2">
      <c r="A5" s="199"/>
      <c r="B5" s="214"/>
      <c r="C5" s="214"/>
      <c r="D5" s="284"/>
      <c r="E5" s="284"/>
      <c r="F5" s="284"/>
      <c r="G5" s="284"/>
      <c r="H5" s="284"/>
      <c r="I5" s="284"/>
      <c r="J5" s="284"/>
      <c r="K5" s="284"/>
      <c r="L5" s="284"/>
      <c r="M5" s="284"/>
      <c r="N5" s="284"/>
      <c r="O5" s="284"/>
      <c r="P5" s="284"/>
      <c r="Q5" s="286"/>
      <c r="R5" s="286"/>
      <c r="S5" s="286"/>
      <c r="T5" s="286"/>
      <c r="U5" s="286"/>
      <c r="V5" s="286"/>
      <c r="W5" s="286"/>
      <c r="X5" s="286"/>
      <c r="Y5" s="286"/>
      <c r="Z5" s="286"/>
      <c r="AA5" s="286"/>
      <c r="AB5" s="286"/>
      <c r="AC5" s="284"/>
      <c r="AD5" s="284"/>
      <c r="AE5" s="284"/>
      <c r="AF5" s="284"/>
      <c r="AG5" s="284"/>
      <c r="AH5" s="286"/>
      <c r="AI5" s="286"/>
      <c r="AJ5" s="286"/>
      <c r="AK5" s="286"/>
      <c r="AL5" s="287"/>
      <c r="AM5" s="287"/>
      <c r="AN5" s="286"/>
      <c r="AO5" s="286"/>
      <c r="AP5" s="286"/>
      <c r="AQ5" s="286"/>
      <c r="AR5" s="286"/>
      <c r="AS5" s="286"/>
      <c r="AT5" s="286"/>
      <c r="AU5" s="284"/>
      <c r="AV5" s="286"/>
      <c r="AW5" s="286"/>
      <c r="AX5" s="286"/>
      <c r="AY5" s="286"/>
      <c r="AZ5" s="286"/>
      <c r="BA5" s="286"/>
      <c r="BB5" s="286"/>
      <c r="BC5" s="286"/>
      <c r="BD5" s="286"/>
      <c r="BE5" s="285"/>
      <c r="BF5" s="285"/>
      <c r="BG5" s="285"/>
      <c r="BH5" s="285"/>
      <c r="BI5" s="285"/>
      <c r="BJ5" s="287"/>
      <c r="BK5" s="287"/>
      <c r="BL5" s="286"/>
      <c r="BM5" s="284"/>
      <c r="BN5" s="284"/>
      <c r="BO5" s="284"/>
      <c r="BP5" s="284"/>
      <c r="BQ5" s="284"/>
      <c r="BR5" s="286"/>
      <c r="BS5" s="284"/>
      <c r="BT5" s="284"/>
      <c r="BU5" s="284"/>
      <c r="BV5" s="284"/>
      <c r="BW5" s="284"/>
      <c r="BX5" s="284"/>
      <c r="BY5" s="284"/>
      <c r="BZ5" s="284"/>
      <c r="CA5" s="284"/>
      <c r="CB5" s="284"/>
      <c r="CC5" s="15"/>
      <c r="CD5" s="284"/>
      <c r="CE5" s="286"/>
      <c r="CF5" s="286"/>
      <c r="CG5" s="286"/>
      <c r="CH5" s="286"/>
      <c r="CI5" s="286"/>
      <c r="CJ5" s="286"/>
      <c r="CK5" s="286"/>
      <c r="CL5" s="286"/>
      <c r="CM5" s="286"/>
      <c r="CN5" s="286"/>
      <c r="CO5" s="286"/>
      <c r="CP5" s="286"/>
      <c r="CQ5" s="286"/>
      <c r="CR5" s="286"/>
      <c r="CS5" s="286"/>
      <c r="CT5" s="286"/>
    </row>
    <row r="6" spans="1:98" x14ac:dyDescent="0.2">
      <c r="A6" s="199"/>
      <c r="B6" s="167"/>
      <c r="C6" s="288"/>
      <c r="D6" s="284"/>
      <c r="E6" s="284"/>
      <c r="F6" s="284"/>
      <c r="G6" s="284"/>
      <c r="H6" s="284"/>
      <c r="I6" s="284"/>
      <c r="J6" s="284"/>
      <c r="K6" s="284"/>
      <c r="L6" s="284"/>
      <c r="M6" s="284"/>
      <c r="N6" s="284"/>
      <c r="O6" s="284"/>
      <c r="P6" s="284"/>
      <c r="Q6" s="284"/>
      <c r="R6" s="284"/>
      <c r="S6" s="284"/>
      <c r="T6" s="284"/>
      <c r="U6" s="284"/>
      <c r="V6" s="284"/>
      <c r="W6" s="284"/>
      <c r="X6" s="284"/>
      <c r="Y6" s="284"/>
      <c r="Z6" s="284"/>
      <c r="AA6" s="284"/>
      <c r="AB6" s="284"/>
      <c r="AC6" s="289"/>
      <c r="AD6" s="284"/>
      <c r="AE6" s="284"/>
      <c r="AF6" s="284"/>
      <c r="AG6" s="284"/>
      <c r="AH6" s="203"/>
      <c r="AI6" s="284"/>
      <c r="AJ6" s="284"/>
      <c r="AK6" s="284"/>
      <c r="AL6" s="290"/>
      <c r="AM6" s="290"/>
      <c r="AN6" s="284"/>
      <c r="AO6" s="284"/>
      <c r="AP6" s="284"/>
      <c r="AQ6" s="284"/>
      <c r="AR6" s="284"/>
      <c r="AS6" s="284"/>
      <c r="AT6" s="284"/>
      <c r="AU6" s="284"/>
      <c r="AV6" s="284"/>
      <c r="AW6" s="284"/>
      <c r="AX6" s="284"/>
      <c r="AY6" s="284"/>
      <c r="AZ6" s="284"/>
      <c r="BA6" s="284"/>
      <c r="BB6" s="284"/>
      <c r="BC6" s="284"/>
      <c r="BD6" s="10"/>
      <c r="BE6" s="285"/>
      <c r="BF6" s="285"/>
      <c r="BG6" s="285"/>
      <c r="BH6" s="285"/>
      <c r="BI6" s="285"/>
      <c r="BJ6" s="290"/>
      <c r="BK6" s="290"/>
      <c r="BL6" s="10"/>
      <c r="BM6" s="284"/>
      <c r="BN6" s="284"/>
      <c r="BO6" s="284"/>
      <c r="BP6" s="284"/>
      <c r="BQ6" s="284"/>
      <c r="BR6" s="10"/>
      <c r="BS6" s="284"/>
      <c r="BT6" s="284"/>
      <c r="BU6" s="284"/>
      <c r="BV6" s="284"/>
      <c r="BW6" s="284"/>
      <c r="BX6" s="284"/>
      <c r="BY6" s="284"/>
      <c r="BZ6" s="284"/>
      <c r="CA6" s="284"/>
      <c r="CB6" s="284"/>
      <c r="CC6" s="15"/>
      <c r="CD6" s="284"/>
      <c r="CE6" s="10"/>
      <c r="CF6" s="10"/>
      <c r="CG6" s="284"/>
      <c r="CH6" s="284"/>
      <c r="CI6" s="284"/>
      <c r="CJ6" s="284"/>
      <c r="CK6" s="284"/>
      <c r="CL6" s="284"/>
      <c r="CM6" s="284"/>
      <c r="CN6" s="284"/>
      <c r="CO6" s="284"/>
      <c r="CP6" s="284"/>
      <c r="CQ6" s="284"/>
      <c r="CR6" s="284"/>
      <c r="CS6" s="284"/>
      <c r="CT6" s="284"/>
    </row>
    <row r="7" spans="1:98" x14ac:dyDescent="0.2">
      <c r="A7" s="199"/>
      <c r="B7" s="204"/>
      <c r="C7" s="204"/>
      <c r="D7" s="284"/>
      <c r="E7" s="284"/>
      <c r="F7" s="284"/>
      <c r="G7" s="284"/>
      <c r="H7" s="284"/>
      <c r="I7" s="284"/>
      <c r="J7" s="284"/>
      <c r="K7" s="284"/>
      <c r="L7" s="284"/>
      <c r="M7" s="284"/>
      <c r="N7" s="284"/>
      <c r="O7" s="284"/>
      <c r="P7" s="284"/>
      <c r="Q7" s="284"/>
      <c r="R7" s="284"/>
      <c r="S7" s="284"/>
      <c r="T7" s="284"/>
      <c r="U7" s="284"/>
      <c r="V7" s="284"/>
      <c r="W7" s="284"/>
      <c r="X7" s="284"/>
      <c r="Y7" s="284"/>
      <c r="Z7" s="284"/>
      <c r="AA7" s="284"/>
      <c r="AB7" s="284"/>
      <c r="AC7" s="284"/>
      <c r="AD7" s="284"/>
      <c r="AE7" s="284"/>
      <c r="AF7" s="284"/>
      <c r="AG7" s="284"/>
      <c r="AH7" s="284"/>
      <c r="AI7" s="284"/>
      <c r="AJ7" s="284"/>
      <c r="AK7" s="284"/>
      <c r="AL7" s="290"/>
      <c r="AM7" s="290"/>
      <c r="AN7" s="284"/>
      <c r="AO7" s="284"/>
      <c r="AP7" s="284"/>
      <c r="AQ7" s="284"/>
      <c r="AR7" s="284"/>
      <c r="AS7" s="284"/>
      <c r="AT7" s="284"/>
      <c r="AU7" s="284"/>
      <c r="AV7" s="284"/>
      <c r="AW7" s="284"/>
      <c r="AX7" s="284"/>
      <c r="AY7" s="284"/>
      <c r="AZ7" s="284"/>
      <c r="BA7" s="284"/>
      <c r="BB7" s="284"/>
      <c r="BC7" s="284"/>
      <c r="BD7" s="10"/>
      <c r="BE7" s="285"/>
      <c r="BF7" s="285"/>
      <c r="BG7" s="285"/>
      <c r="BH7" s="285"/>
      <c r="BI7" s="285"/>
      <c r="BJ7" s="290"/>
      <c r="BK7" s="290"/>
      <c r="BL7" s="10"/>
      <c r="BM7" s="284"/>
      <c r="BN7" s="284"/>
      <c r="BO7" s="284"/>
      <c r="BP7" s="284"/>
      <c r="BQ7" s="284"/>
      <c r="BR7" s="10"/>
      <c r="BS7" s="284"/>
      <c r="BT7" s="284"/>
      <c r="BU7" s="284"/>
      <c r="BV7" s="284"/>
      <c r="BW7" s="284"/>
      <c r="BX7" s="284"/>
      <c r="BY7" s="284"/>
      <c r="BZ7" s="284"/>
      <c r="CA7" s="284"/>
      <c r="CB7" s="284"/>
      <c r="CC7" s="15"/>
      <c r="CD7" s="284"/>
      <c r="CE7" s="10"/>
      <c r="CF7" s="10"/>
      <c r="CG7" s="284"/>
      <c r="CH7" s="284"/>
      <c r="CI7" s="284"/>
      <c r="CJ7" s="284"/>
      <c r="CK7" s="284"/>
      <c r="CL7" s="284"/>
      <c r="CM7" s="284"/>
      <c r="CN7" s="284"/>
      <c r="CO7" s="284"/>
      <c r="CP7" s="284"/>
      <c r="CQ7" s="284"/>
      <c r="CR7" s="284"/>
      <c r="CS7" s="284"/>
      <c r="CT7" s="284"/>
    </row>
    <row r="8" spans="1:98" x14ac:dyDescent="0.2">
      <c r="A8" s="199"/>
      <c r="B8" s="218"/>
      <c r="C8" s="218"/>
      <c r="D8" s="284"/>
      <c r="E8" s="284"/>
      <c r="F8" s="284"/>
      <c r="G8" s="284"/>
      <c r="H8" s="284"/>
      <c r="I8" s="284"/>
      <c r="J8" s="284"/>
      <c r="K8" s="284"/>
      <c r="L8" s="284"/>
      <c r="M8" s="284"/>
      <c r="N8" s="284"/>
      <c r="O8" s="284"/>
      <c r="P8" s="284"/>
      <c r="Q8" s="286"/>
      <c r="R8" s="286"/>
      <c r="S8" s="286"/>
      <c r="T8" s="286"/>
      <c r="U8" s="286"/>
      <c r="V8" s="286"/>
      <c r="W8" s="286"/>
      <c r="X8" s="286"/>
      <c r="Y8" s="286"/>
      <c r="Z8" s="286"/>
      <c r="AA8" s="286"/>
      <c r="AB8" s="286"/>
      <c r="AC8" s="284"/>
      <c r="AD8" s="284"/>
      <c r="AE8" s="284"/>
      <c r="AF8" s="284"/>
      <c r="AG8" s="284"/>
      <c r="AH8" s="286"/>
      <c r="AI8" s="286"/>
      <c r="AJ8" s="286"/>
      <c r="AK8" s="286"/>
      <c r="AL8" s="287"/>
      <c r="AM8" s="287"/>
      <c r="AN8" s="286"/>
      <c r="AO8" s="286"/>
      <c r="AP8" s="286"/>
      <c r="AQ8" s="286"/>
      <c r="AR8" s="286"/>
      <c r="AS8" s="286"/>
      <c r="AT8" s="286"/>
      <c r="AU8" s="284"/>
      <c r="AV8" s="286"/>
      <c r="AW8" s="286"/>
      <c r="AX8" s="286"/>
      <c r="AY8" s="286"/>
      <c r="AZ8" s="286"/>
      <c r="BA8" s="286"/>
      <c r="BB8" s="286"/>
      <c r="BC8" s="286"/>
      <c r="BD8" s="137"/>
      <c r="BE8" s="290"/>
      <c r="BF8" s="290"/>
      <c r="BG8" s="290"/>
      <c r="BH8" s="290"/>
      <c r="BI8" s="290"/>
      <c r="BJ8" s="287"/>
      <c r="BK8" s="287"/>
      <c r="BL8" s="137"/>
      <c r="BM8" s="284"/>
      <c r="BN8" s="284"/>
      <c r="BO8" s="284"/>
      <c r="BP8" s="284"/>
      <c r="BQ8" s="284"/>
      <c r="BR8" s="137"/>
      <c r="BS8" s="284"/>
      <c r="BT8" s="284"/>
      <c r="BU8" s="284"/>
      <c r="BV8" s="284"/>
      <c r="BW8" s="284"/>
      <c r="BX8" s="284"/>
      <c r="BY8" s="284"/>
      <c r="BZ8" s="284"/>
      <c r="CA8" s="284"/>
      <c r="CB8" s="284"/>
      <c r="CC8" s="15"/>
      <c r="CD8" s="284"/>
      <c r="CE8" s="137"/>
      <c r="CF8" s="137"/>
      <c r="CG8" s="286"/>
      <c r="CH8" s="286"/>
      <c r="CI8" s="286"/>
      <c r="CJ8" s="286"/>
      <c r="CK8" s="286"/>
      <c r="CL8" s="286"/>
      <c r="CM8" s="286"/>
      <c r="CN8" s="286"/>
      <c r="CO8" s="286"/>
      <c r="CP8" s="286"/>
      <c r="CQ8" s="286"/>
      <c r="CR8" s="286"/>
      <c r="CS8" s="286"/>
      <c r="CT8" s="286"/>
    </row>
    <row r="9" spans="1:98" x14ac:dyDescent="0.2">
      <c r="A9" s="199"/>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5"/>
      <c r="CT9" s="15"/>
    </row>
    <row r="10" spans="1:98" x14ac:dyDescent="0.2">
      <c r="A10" s="199"/>
      <c r="B10" s="167"/>
      <c r="C10" s="218"/>
      <c r="D10" s="284"/>
      <c r="E10" s="284"/>
      <c r="F10" s="284"/>
      <c r="G10" s="284"/>
      <c r="H10" s="284"/>
      <c r="I10" s="284"/>
      <c r="J10" s="284"/>
      <c r="K10" s="284"/>
      <c r="L10" s="284"/>
      <c r="M10" s="284"/>
      <c r="N10" s="284"/>
      <c r="O10" s="284"/>
      <c r="P10" s="284"/>
      <c r="Q10" s="286"/>
      <c r="R10" s="286"/>
      <c r="S10" s="286"/>
      <c r="T10" s="286"/>
      <c r="U10" s="286"/>
      <c r="V10" s="286"/>
      <c r="W10" s="286"/>
      <c r="X10" s="286"/>
      <c r="Y10" s="286"/>
      <c r="Z10" s="286"/>
      <c r="AA10" s="286"/>
      <c r="AB10" s="286"/>
      <c r="AC10" s="284"/>
      <c r="AD10" s="284"/>
      <c r="AE10" s="284"/>
      <c r="AF10" s="284"/>
      <c r="AG10" s="284"/>
      <c r="AH10" s="286"/>
      <c r="AI10" s="286"/>
      <c r="AJ10" s="286"/>
      <c r="AK10" s="286"/>
      <c r="AL10" s="287"/>
      <c r="AM10" s="287"/>
      <c r="AU10" s="284"/>
      <c r="AV10" s="286"/>
      <c r="AW10" s="286"/>
      <c r="AX10" s="286"/>
      <c r="BC10" s="286"/>
      <c r="BD10" s="15"/>
      <c r="BE10" s="15"/>
      <c r="BF10" s="15"/>
      <c r="BG10" s="15"/>
      <c r="BH10" s="15"/>
      <c r="BI10" s="15"/>
      <c r="BJ10" s="15"/>
      <c r="BK10" s="15"/>
      <c r="BR10" s="137"/>
      <c r="BS10" s="284"/>
      <c r="BT10" s="284"/>
      <c r="BU10" s="284"/>
      <c r="BV10" s="284"/>
      <c r="BW10" s="284"/>
      <c r="BX10" s="284"/>
      <c r="BY10" s="284"/>
      <c r="BZ10" s="284"/>
      <c r="CA10" s="284"/>
      <c r="CB10" s="284"/>
      <c r="CC10" s="15"/>
      <c r="CD10" s="284"/>
      <c r="CE10" s="137"/>
      <c r="CF10" s="137"/>
      <c r="CG10" s="286"/>
      <c r="CH10" s="286"/>
      <c r="CI10" s="286"/>
      <c r="CJ10" s="286"/>
      <c r="CK10" s="286"/>
      <c r="CL10" s="286"/>
      <c r="CM10" s="286"/>
      <c r="CN10" s="286"/>
      <c r="CO10" s="286"/>
      <c r="CP10" s="286"/>
      <c r="CQ10" s="286"/>
      <c r="CR10" s="286"/>
      <c r="CS10" s="286"/>
      <c r="CT10" s="286"/>
    </row>
    <row r="11" spans="1:98" x14ac:dyDescent="0.2">
      <c r="A11" s="199"/>
      <c r="B11" s="218"/>
      <c r="C11" s="218"/>
      <c r="D11" s="284"/>
      <c r="E11" s="284"/>
      <c r="F11" s="284"/>
      <c r="G11" s="284"/>
      <c r="H11" s="284"/>
      <c r="I11" s="284"/>
      <c r="J11" s="284"/>
      <c r="K11" s="284"/>
      <c r="L11" s="284"/>
      <c r="M11" s="284"/>
      <c r="N11" s="284"/>
      <c r="O11" s="284"/>
      <c r="P11" s="284"/>
      <c r="Q11" s="286"/>
      <c r="R11" s="286"/>
      <c r="S11" s="286"/>
      <c r="T11" s="286"/>
      <c r="U11" s="286"/>
      <c r="V11" s="286"/>
      <c r="W11" s="286"/>
      <c r="X11" s="286"/>
      <c r="Y11" s="286"/>
      <c r="Z11" s="286"/>
      <c r="AA11" s="286"/>
      <c r="AB11" s="286"/>
      <c r="AC11" s="284"/>
      <c r="AD11" s="284"/>
      <c r="AE11" s="284"/>
      <c r="AF11" s="284"/>
      <c r="AG11" s="284"/>
      <c r="AH11" s="286"/>
      <c r="AI11" s="286"/>
      <c r="AJ11" s="286"/>
      <c r="AK11" s="286"/>
      <c r="AL11" s="287"/>
      <c r="AM11" s="287"/>
      <c r="AU11" s="284"/>
      <c r="AV11" s="286"/>
      <c r="AW11" s="286"/>
      <c r="AX11" s="286"/>
      <c r="BC11" s="286"/>
      <c r="BR11" s="137"/>
      <c r="BS11" s="284"/>
      <c r="BT11" s="284"/>
      <c r="BU11" s="284"/>
      <c r="BV11" s="284"/>
      <c r="BW11" s="284"/>
      <c r="BX11" s="284"/>
      <c r="BY11" s="284"/>
      <c r="BZ11" s="284"/>
      <c r="CA11" s="284"/>
      <c r="CB11" s="284"/>
      <c r="CC11" s="15"/>
      <c r="CD11" s="284"/>
      <c r="CE11" s="137"/>
      <c r="CF11" s="137"/>
      <c r="CG11" s="286"/>
      <c r="CH11" s="286"/>
      <c r="CI11" s="286"/>
      <c r="CJ11" s="286"/>
      <c r="CK11" s="286"/>
      <c r="CL11" s="286"/>
      <c r="CM11" s="286"/>
      <c r="CN11" s="286"/>
      <c r="CO11" s="286"/>
      <c r="CP11" s="286"/>
      <c r="CQ11" s="286"/>
      <c r="CR11" s="286"/>
      <c r="CS11" s="286"/>
      <c r="CT11" s="286"/>
    </row>
    <row r="12" spans="1:98" x14ac:dyDescent="0.2">
      <c r="A12" s="291"/>
      <c r="B12" s="167"/>
      <c r="C12" s="167"/>
      <c r="E12" s="292"/>
      <c r="F12" s="292"/>
      <c r="G12" s="284"/>
      <c r="H12" s="284"/>
      <c r="I12" s="284"/>
      <c r="J12" s="284"/>
      <c r="K12" s="284"/>
      <c r="L12" s="284"/>
      <c r="M12" s="284"/>
      <c r="N12" s="284"/>
      <c r="O12" s="284"/>
      <c r="P12" s="284"/>
      <c r="Q12" s="284"/>
      <c r="R12" s="284"/>
      <c r="S12" s="284"/>
      <c r="T12" s="284"/>
      <c r="U12" s="284"/>
      <c r="V12" s="284"/>
      <c r="W12" s="284"/>
      <c r="X12" s="284"/>
      <c r="Y12" s="284"/>
      <c r="Z12" s="284"/>
      <c r="AA12" s="284"/>
      <c r="AB12" s="284"/>
      <c r="AC12" s="284"/>
      <c r="AD12" s="284"/>
      <c r="AE12" s="284"/>
      <c r="AF12" s="284"/>
      <c r="AG12" s="284"/>
      <c r="AH12" s="246"/>
      <c r="AI12" s="284"/>
      <c r="AJ12" s="15"/>
      <c r="AK12" s="284"/>
      <c r="AL12" s="220"/>
      <c r="AM12" s="220"/>
      <c r="AN12" s="284"/>
      <c r="AO12" s="284"/>
      <c r="AP12" s="284"/>
      <c r="AQ12" s="284"/>
      <c r="AR12" s="284"/>
      <c r="AS12" s="284"/>
      <c r="AT12" s="284"/>
      <c r="AU12" s="220"/>
      <c r="AV12" s="284"/>
      <c r="AW12" s="284"/>
      <c r="AX12" s="284"/>
      <c r="AY12" s="284"/>
      <c r="AZ12" s="284"/>
      <c r="BA12" s="284"/>
      <c r="BB12" s="284"/>
      <c r="BC12" s="284"/>
      <c r="BD12" s="284"/>
      <c r="BE12" s="285"/>
      <c r="BF12" s="285"/>
      <c r="BG12" s="285"/>
      <c r="BH12" s="285"/>
      <c r="BI12" s="285"/>
      <c r="BJ12" s="290"/>
      <c r="BK12" s="290"/>
      <c r="BL12" s="220"/>
      <c r="BM12" s="284"/>
      <c r="BN12" s="284"/>
      <c r="BO12" s="284"/>
      <c r="BP12" s="284"/>
      <c r="BQ12" s="284"/>
      <c r="BR12" s="284"/>
      <c r="BS12" s="284"/>
      <c r="BT12" s="284"/>
      <c r="BU12" s="284"/>
      <c r="BV12" s="284"/>
      <c r="BW12" s="284"/>
      <c r="BX12" s="284"/>
      <c r="BY12" s="284"/>
      <c r="BZ12" s="284"/>
      <c r="CA12" s="284"/>
      <c r="CB12" s="284"/>
      <c r="CC12" s="15"/>
      <c r="CD12" s="284"/>
      <c r="CE12" s="10"/>
      <c r="CF12" s="10"/>
      <c r="CG12" s="284"/>
      <c r="CH12" s="284"/>
      <c r="CI12" s="284"/>
      <c r="CJ12" s="284"/>
      <c r="CK12" s="284"/>
      <c r="CL12" s="284"/>
      <c r="CM12" s="284"/>
      <c r="CN12" s="284"/>
      <c r="CO12" s="284"/>
      <c r="CP12" s="284"/>
      <c r="CQ12" s="284"/>
      <c r="CR12" s="284"/>
      <c r="CS12" s="284"/>
      <c r="CT12" s="284"/>
    </row>
    <row r="13" spans="1:98" ht="64.5" thickBot="1" x14ac:dyDescent="0.25">
      <c r="A13" s="195" t="s">
        <v>993</v>
      </c>
      <c r="B13" s="229"/>
      <c r="C13" s="229"/>
      <c r="D13" s="94"/>
      <c r="E13" s="94"/>
      <c r="F13" s="94" t="s">
        <v>145</v>
      </c>
      <c r="G13" s="94" t="s">
        <v>350</v>
      </c>
      <c r="H13" s="94" t="s">
        <v>79</v>
      </c>
      <c r="I13" s="94" t="s">
        <v>331</v>
      </c>
      <c r="J13" s="94" t="s">
        <v>340</v>
      </c>
      <c r="K13" s="94" t="s">
        <v>263</v>
      </c>
      <c r="L13" s="94" t="s">
        <v>223</v>
      </c>
      <c r="M13" s="94" t="s">
        <v>423</v>
      </c>
      <c r="N13" s="94" t="s">
        <v>258</v>
      </c>
      <c r="O13" s="94" t="s">
        <v>226</v>
      </c>
      <c r="P13" s="94" t="s">
        <v>750</v>
      </c>
      <c r="Q13" s="94" t="s">
        <v>524</v>
      </c>
      <c r="R13" s="94" t="s">
        <v>195</v>
      </c>
      <c r="S13" s="94" t="s">
        <v>461</v>
      </c>
      <c r="T13" s="94" t="s">
        <v>393</v>
      </c>
      <c r="U13" s="94" t="s">
        <v>277</v>
      </c>
      <c r="V13" s="94" t="s">
        <v>452</v>
      </c>
      <c r="W13" s="94" t="s">
        <v>489</v>
      </c>
      <c r="X13" s="94" t="s">
        <v>261</v>
      </c>
      <c r="Y13" s="94" t="s">
        <v>674</v>
      </c>
      <c r="Z13" s="94" t="s">
        <v>675</v>
      </c>
      <c r="AA13" s="94" t="s">
        <v>115</v>
      </c>
      <c r="AB13" s="94" t="s">
        <v>364</v>
      </c>
      <c r="AC13" s="94" t="s">
        <v>464</v>
      </c>
      <c r="AD13" s="94" t="s">
        <v>446</v>
      </c>
      <c r="AE13" s="94" t="s">
        <v>428</v>
      </c>
      <c r="AF13" s="94" t="s">
        <v>189</v>
      </c>
      <c r="AG13" s="94" t="s">
        <v>135</v>
      </c>
      <c r="AH13" s="94" t="s">
        <v>128</v>
      </c>
      <c r="AI13" s="94" t="s">
        <v>496</v>
      </c>
      <c r="AJ13" s="94" t="s">
        <v>466</v>
      </c>
      <c r="AK13" s="94" t="s">
        <v>394</v>
      </c>
      <c r="AL13" s="94" t="s">
        <v>306</v>
      </c>
      <c r="AM13" s="94" t="s">
        <v>725</v>
      </c>
      <c r="AN13" s="94" t="s">
        <v>726</v>
      </c>
      <c r="AO13" s="94" t="s">
        <v>727</v>
      </c>
      <c r="AP13" s="94" t="s">
        <v>728</v>
      </c>
      <c r="AQ13" s="94" t="s">
        <v>729</v>
      </c>
      <c r="AR13" s="94" t="s">
        <v>730</v>
      </c>
      <c r="AS13" s="94" t="s">
        <v>731</v>
      </c>
      <c r="AT13" s="94" t="s">
        <v>1</v>
      </c>
      <c r="AU13" s="94" t="s">
        <v>170</v>
      </c>
      <c r="AV13" s="94" t="s">
        <v>139</v>
      </c>
      <c r="AW13" s="94" t="s">
        <v>27</v>
      </c>
      <c r="AX13" s="94" t="s">
        <v>555</v>
      </c>
      <c r="AY13" s="94" t="s">
        <v>264</v>
      </c>
      <c r="AZ13" s="94" t="s">
        <v>229</v>
      </c>
      <c r="BA13" s="94" t="s">
        <v>336</v>
      </c>
      <c r="BB13" s="94" t="s">
        <v>451</v>
      </c>
      <c r="BC13" s="94" t="s">
        <v>414</v>
      </c>
      <c r="BD13" s="139" t="s">
        <v>732</v>
      </c>
      <c r="BE13" s="139" t="s">
        <v>559</v>
      </c>
      <c r="BF13" s="139" t="s">
        <v>256</v>
      </c>
      <c r="BG13" s="139" t="s">
        <v>212</v>
      </c>
      <c r="BH13" s="139" t="s">
        <v>682</v>
      </c>
      <c r="BI13" s="139" t="s">
        <v>165</v>
      </c>
      <c r="BJ13" s="94" t="s">
        <v>535</v>
      </c>
      <c r="BK13" s="94" t="s">
        <v>40</v>
      </c>
      <c r="BL13" s="94" t="s">
        <v>47</v>
      </c>
      <c r="BM13" s="94" t="s">
        <v>193</v>
      </c>
      <c r="BN13" s="94" t="s">
        <v>733</v>
      </c>
      <c r="BO13" s="94" t="s">
        <v>312</v>
      </c>
      <c r="BP13" s="94" t="s">
        <v>441</v>
      </c>
      <c r="BQ13" s="94" t="s">
        <v>5</v>
      </c>
      <c r="BR13" s="94" t="s">
        <v>218</v>
      </c>
      <c r="BS13" s="94" t="s">
        <v>321</v>
      </c>
      <c r="BT13" s="94" t="s">
        <v>734</v>
      </c>
      <c r="BU13" s="94" t="s">
        <v>444</v>
      </c>
      <c r="BV13" s="94" t="s">
        <v>472</v>
      </c>
      <c r="BW13" s="94" t="s">
        <v>512</v>
      </c>
      <c r="BX13" s="94" t="s">
        <v>339</v>
      </c>
      <c r="BY13" s="94" t="s">
        <v>476</v>
      </c>
      <c r="BZ13" s="94" t="s">
        <v>735</v>
      </c>
      <c r="CA13" s="94" t="s">
        <v>550</v>
      </c>
      <c r="CB13" s="94" t="s">
        <v>82</v>
      </c>
      <c r="CC13" s="94" t="s">
        <v>435</v>
      </c>
      <c r="CD13" s="94" t="s">
        <v>373</v>
      </c>
      <c r="CE13" s="94" t="s">
        <v>587</v>
      </c>
      <c r="CF13" s="94" t="s">
        <v>247</v>
      </c>
      <c r="CG13" s="94" t="s">
        <v>203</v>
      </c>
      <c r="CH13" s="94" t="s">
        <v>273</v>
      </c>
      <c r="CI13" s="94" t="s">
        <v>4</v>
      </c>
      <c r="CJ13" s="94" t="s">
        <v>58</v>
      </c>
      <c r="CK13" s="94" t="s">
        <v>259</v>
      </c>
      <c r="CL13" s="94" t="s">
        <v>736</v>
      </c>
      <c r="CM13" s="94" t="s">
        <v>485</v>
      </c>
      <c r="CN13" s="94" t="s">
        <v>159</v>
      </c>
      <c r="CO13" s="94" t="s">
        <v>426</v>
      </c>
      <c r="CP13" s="94" t="s">
        <v>376</v>
      </c>
      <c r="CQ13" s="94" t="s">
        <v>584</v>
      </c>
      <c r="CR13" s="94" t="s">
        <v>114</v>
      </c>
      <c r="CS13" s="94" t="s">
        <v>588</v>
      </c>
      <c r="CT13" s="94" t="s">
        <v>314</v>
      </c>
    </row>
    <row r="14" spans="1:98" ht="14.25" thickTop="1" thickBot="1" x14ac:dyDescent="0.25">
      <c r="A14" s="69" t="s">
        <v>117</v>
      </c>
      <c r="B14" s="35" t="s">
        <v>265</v>
      </c>
      <c r="C14" s="35" t="s">
        <v>265</v>
      </c>
      <c r="D14" s="35" t="s">
        <v>265</v>
      </c>
      <c r="E14" s="35" t="s">
        <v>265</v>
      </c>
      <c r="F14" s="35" t="s">
        <v>265</v>
      </c>
      <c r="G14" s="35" t="s">
        <v>265</v>
      </c>
      <c r="H14" s="35" t="s">
        <v>265</v>
      </c>
      <c r="I14" s="35" t="s">
        <v>265</v>
      </c>
      <c r="J14" s="35" t="s">
        <v>265</v>
      </c>
      <c r="K14" s="35" t="s">
        <v>265</v>
      </c>
      <c r="L14" s="35" t="s">
        <v>265</v>
      </c>
      <c r="M14" s="35" t="s">
        <v>265</v>
      </c>
      <c r="N14" s="35" t="s">
        <v>265</v>
      </c>
      <c r="O14" s="35" t="s">
        <v>265</v>
      </c>
      <c r="P14" s="35" t="s">
        <v>265</v>
      </c>
      <c r="Q14" s="35" t="s">
        <v>265</v>
      </c>
      <c r="R14" s="35" t="s">
        <v>265</v>
      </c>
      <c r="S14" s="35" t="s">
        <v>265</v>
      </c>
      <c r="T14" s="35" t="s">
        <v>265</v>
      </c>
      <c r="U14" s="35" t="s">
        <v>265</v>
      </c>
      <c r="V14" s="35" t="s">
        <v>265</v>
      </c>
      <c r="W14" s="35" t="s">
        <v>265</v>
      </c>
      <c r="X14" s="35" t="s">
        <v>265</v>
      </c>
      <c r="Y14" s="35" t="s">
        <v>456</v>
      </c>
      <c r="Z14" s="35" t="s">
        <v>456</v>
      </c>
      <c r="AA14" s="35" t="s">
        <v>456</v>
      </c>
      <c r="AB14" s="35" t="s">
        <v>456</v>
      </c>
      <c r="AC14" s="35" t="s">
        <v>265</v>
      </c>
      <c r="AD14" s="35" t="s">
        <v>265</v>
      </c>
      <c r="AE14" s="35" t="s">
        <v>265</v>
      </c>
      <c r="AF14" s="35" t="s">
        <v>265</v>
      </c>
      <c r="AG14" s="35" t="s">
        <v>265</v>
      </c>
      <c r="AH14" s="35" t="s">
        <v>456</v>
      </c>
      <c r="AI14" s="35" t="s">
        <v>456</v>
      </c>
      <c r="AJ14" s="35" t="s">
        <v>456</v>
      </c>
      <c r="AK14" s="35" t="s">
        <v>456</v>
      </c>
      <c r="AL14" s="35" t="s">
        <v>265</v>
      </c>
      <c r="AM14" s="35" t="s">
        <v>265</v>
      </c>
      <c r="AN14" s="35" t="s">
        <v>265</v>
      </c>
      <c r="AO14" s="35" t="s">
        <v>265</v>
      </c>
      <c r="AP14" s="35" t="s">
        <v>265</v>
      </c>
      <c r="AQ14" s="35" t="s">
        <v>456</v>
      </c>
      <c r="AR14" s="35" t="s">
        <v>456</v>
      </c>
      <c r="AS14" s="35" t="s">
        <v>456</v>
      </c>
      <c r="AT14" s="35" t="s">
        <v>456</v>
      </c>
      <c r="AU14" s="35" t="s">
        <v>456</v>
      </c>
      <c r="AV14" s="35" t="s">
        <v>456</v>
      </c>
      <c r="AW14" s="35" t="s">
        <v>556</v>
      </c>
      <c r="AX14" s="35" t="s">
        <v>456</v>
      </c>
      <c r="AY14" s="35" t="s">
        <v>556</v>
      </c>
      <c r="AZ14" s="35" t="s">
        <v>456</v>
      </c>
      <c r="BA14" s="35" t="s">
        <v>456</v>
      </c>
      <c r="BB14" s="35" t="s">
        <v>456</v>
      </c>
      <c r="BC14" s="35" t="s">
        <v>456</v>
      </c>
      <c r="BD14" s="35" t="s">
        <v>265</v>
      </c>
      <c r="BE14" s="237" t="s">
        <v>456</v>
      </c>
      <c r="BF14" s="237" t="s">
        <v>456</v>
      </c>
      <c r="BG14" s="237" t="s">
        <v>456</v>
      </c>
      <c r="BH14" s="237" t="s">
        <v>456</v>
      </c>
      <c r="BI14" s="237" t="s">
        <v>456</v>
      </c>
      <c r="BJ14" s="35" t="s">
        <v>456</v>
      </c>
      <c r="BK14" s="35" t="s">
        <v>456</v>
      </c>
      <c r="BL14" s="35" t="s">
        <v>456</v>
      </c>
      <c r="BM14" s="35" t="s">
        <v>456</v>
      </c>
      <c r="BN14" s="35" t="s">
        <v>456</v>
      </c>
      <c r="BO14" s="35" t="s">
        <v>456</v>
      </c>
      <c r="BP14" s="35" t="s">
        <v>456</v>
      </c>
      <c r="BQ14" s="35" t="s">
        <v>456</v>
      </c>
      <c r="BR14" s="35" t="s">
        <v>456</v>
      </c>
      <c r="BS14" s="35" t="s">
        <v>456</v>
      </c>
      <c r="BT14" s="35" t="s">
        <v>456</v>
      </c>
      <c r="BU14" s="35" t="s">
        <v>456</v>
      </c>
      <c r="BV14" s="35" t="s">
        <v>456</v>
      </c>
      <c r="BW14" s="35" t="s">
        <v>456</v>
      </c>
      <c r="BX14" s="35" t="s">
        <v>456</v>
      </c>
      <c r="BY14" s="35" t="s">
        <v>456</v>
      </c>
      <c r="BZ14" s="35" t="s">
        <v>456</v>
      </c>
      <c r="CA14" s="35" t="s">
        <v>456</v>
      </c>
      <c r="CB14" s="35" t="s">
        <v>456</v>
      </c>
      <c r="CC14" s="35" t="s">
        <v>456</v>
      </c>
      <c r="CD14" s="35" t="s">
        <v>456</v>
      </c>
      <c r="CE14" s="35" t="s">
        <v>456</v>
      </c>
      <c r="CF14" s="35" t="s">
        <v>456</v>
      </c>
      <c r="CG14" s="35" t="s">
        <v>456</v>
      </c>
      <c r="CH14" s="35" t="s">
        <v>456</v>
      </c>
      <c r="CI14" s="35" t="s">
        <v>456</v>
      </c>
      <c r="CJ14" s="35" t="s">
        <v>456</v>
      </c>
      <c r="CK14" s="35" t="s">
        <v>456</v>
      </c>
      <c r="CL14" s="35" t="s">
        <v>456</v>
      </c>
      <c r="CM14" s="35" t="s">
        <v>456</v>
      </c>
      <c r="CN14" s="35" t="s">
        <v>456</v>
      </c>
      <c r="CO14" s="35" t="s">
        <v>456</v>
      </c>
      <c r="CP14" s="35" t="s">
        <v>456</v>
      </c>
      <c r="CQ14" s="35" t="s">
        <v>456</v>
      </c>
      <c r="CR14" s="35" t="s">
        <v>456</v>
      </c>
      <c r="CS14" s="35" t="s">
        <v>456</v>
      </c>
      <c r="CT14" s="35" t="s">
        <v>456</v>
      </c>
    </row>
    <row r="15" spans="1:98" ht="14.25" thickTop="1" thickBot="1" x14ac:dyDescent="0.25">
      <c r="A15" s="14" t="s">
        <v>526</v>
      </c>
      <c r="B15" s="60" t="s">
        <v>654</v>
      </c>
      <c r="C15" s="60" t="s">
        <v>510</v>
      </c>
      <c r="D15" s="60" t="s">
        <v>302</v>
      </c>
      <c r="E15" s="82" t="s">
        <v>400</v>
      </c>
      <c r="F15" s="82" t="s">
        <v>168</v>
      </c>
      <c r="G15" s="56" t="s">
        <v>310</v>
      </c>
      <c r="H15" s="56" t="s">
        <v>87</v>
      </c>
      <c r="I15" s="56" t="s">
        <v>228</v>
      </c>
      <c r="J15" s="56" t="s">
        <v>144</v>
      </c>
      <c r="K15" s="56" t="s">
        <v>429</v>
      </c>
      <c r="L15" s="56" t="s">
        <v>182</v>
      </c>
      <c r="M15" s="56" t="s">
        <v>298</v>
      </c>
      <c r="N15" s="56" t="s">
        <v>571</v>
      </c>
      <c r="O15" s="56" t="s">
        <v>156</v>
      </c>
      <c r="P15" s="56" t="s">
        <v>749</v>
      </c>
      <c r="Q15" s="56" t="s">
        <v>164</v>
      </c>
      <c r="R15" s="56" t="s">
        <v>403</v>
      </c>
      <c r="S15" s="56" t="s">
        <v>367</v>
      </c>
      <c r="T15" s="56" t="s">
        <v>105</v>
      </c>
      <c r="U15" s="56" t="s">
        <v>520</v>
      </c>
      <c r="V15" s="56" t="s">
        <v>469</v>
      </c>
      <c r="W15" s="56" t="s">
        <v>432</v>
      </c>
      <c r="X15" s="56" t="s">
        <v>111</v>
      </c>
      <c r="Y15" s="56" t="s">
        <v>289</v>
      </c>
      <c r="Z15" s="56" t="s">
        <v>308</v>
      </c>
      <c r="AA15" s="56" t="s">
        <v>411</v>
      </c>
      <c r="AB15" s="56" t="s">
        <v>425</v>
      </c>
      <c r="AC15" s="56" t="s">
        <v>431</v>
      </c>
      <c r="AD15" s="56" t="s">
        <v>15</v>
      </c>
      <c r="AE15" s="56" t="s">
        <v>551</v>
      </c>
      <c r="AF15" s="56" t="s">
        <v>9</v>
      </c>
      <c r="AG15" s="56" t="s">
        <v>566</v>
      </c>
      <c r="AH15" s="56" t="s">
        <v>412</v>
      </c>
      <c r="AI15" s="56" t="s">
        <v>369</v>
      </c>
      <c r="AJ15" s="56" t="s">
        <v>471</v>
      </c>
      <c r="AK15" s="56" t="s">
        <v>539</v>
      </c>
      <c r="AL15" s="202" t="s">
        <v>565</v>
      </c>
      <c r="AM15" s="202" t="s">
        <v>354</v>
      </c>
      <c r="AN15" s="202" t="s">
        <v>717</v>
      </c>
      <c r="AO15" s="202" t="s">
        <v>718</v>
      </c>
      <c r="AP15" s="202" t="s">
        <v>719</v>
      </c>
      <c r="AQ15" s="202" t="s">
        <v>133</v>
      </c>
      <c r="AR15" s="202" t="s">
        <v>232</v>
      </c>
      <c r="AS15" s="202" t="s">
        <v>56</v>
      </c>
      <c r="AT15" s="202" t="s">
        <v>162</v>
      </c>
      <c r="AU15" s="202" t="s">
        <v>93</v>
      </c>
      <c r="AV15" s="202" t="s">
        <v>198</v>
      </c>
      <c r="AW15" s="202" t="s">
        <v>249</v>
      </c>
      <c r="AX15" s="202" t="s">
        <v>152</v>
      </c>
      <c r="AY15" s="202" t="s">
        <v>513</v>
      </c>
      <c r="AZ15" s="202" t="s">
        <v>554</v>
      </c>
      <c r="BA15" s="202" t="s">
        <v>409</v>
      </c>
      <c r="BB15" s="202" t="s">
        <v>72</v>
      </c>
      <c r="BC15" s="202" t="s">
        <v>35</v>
      </c>
      <c r="BD15" s="202" t="s">
        <v>670</v>
      </c>
      <c r="BE15" s="146" t="s">
        <v>353</v>
      </c>
      <c r="BF15" s="146" t="s">
        <v>366</v>
      </c>
      <c r="BG15" s="146" t="s">
        <v>678</v>
      </c>
      <c r="BH15" s="146" t="s">
        <v>679</v>
      </c>
      <c r="BI15" s="146" t="s">
        <v>262</v>
      </c>
      <c r="BJ15" s="202" t="s">
        <v>255</v>
      </c>
      <c r="BK15" s="202" t="s">
        <v>151</v>
      </c>
      <c r="BL15" s="202" t="s">
        <v>21</v>
      </c>
      <c r="BM15" s="171" t="s">
        <v>563</v>
      </c>
      <c r="BN15" s="171" t="s">
        <v>358</v>
      </c>
      <c r="BO15" s="171" t="s">
        <v>319</v>
      </c>
      <c r="BP15" s="171" t="s">
        <v>207</v>
      </c>
      <c r="BQ15" s="171" t="s">
        <v>558</v>
      </c>
      <c r="BR15" s="202" t="s">
        <v>150</v>
      </c>
      <c r="BS15" s="171" t="s">
        <v>242</v>
      </c>
      <c r="BT15" s="171" t="s">
        <v>720</v>
      </c>
      <c r="BU15" s="171" t="s">
        <v>341</v>
      </c>
      <c r="BV15" s="171" t="s">
        <v>24</v>
      </c>
      <c r="BW15" s="171" t="s">
        <v>191</v>
      </c>
      <c r="BX15" s="171" t="s">
        <v>121</v>
      </c>
      <c r="BY15" s="171" t="s">
        <v>405</v>
      </c>
      <c r="BZ15" s="171" t="s">
        <v>721</v>
      </c>
      <c r="CA15" s="171" t="s">
        <v>48</v>
      </c>
      <c r="CB15" s="171" t="s">
        <v>500</v>
      </c>
      <c r="CC15" s="171" t="s">
        <v>388</v>
      </c>
      <c r="CD15" s="171" t="s">
        <v>491</v>
      </c>
      <c r="CE15" s="202" t="s">
        <v>483</v>
      </c>
      <c r="CF15" s="202" t="s">
        <v>531</v>
      </c>
      <c r="CG15" s="202" t="s">
        <v>269</v>
      </c>
      <c r="CH15" s="202" t="s">
        <v>413</v>
      </c>
      <c r="CI15" s="202" t="s">
        <v>251</v>
      </c>
      <c r="CJ15" s="202" t="s">
        <v>465</v>
      </c>
      <c r="CK15" s="202" t="s">
        <v>112</v>
      </c>
      <c r="CL15" s="202" t="s">
        <v>711</v>
      </c>
      <c r="CM15" s="202" t="s">
        <v>722</v>
      </c>
      <c r="CN15" s="202" t="s">
        <v>723</v>
      </c>
      <c r="CO15" s="202" t="s">
        <v>421</v>
      </c>
      <c r="CP15" s="202" t="s">
        <v>96</v>
      </c>
      <c r="CQ15" s="202" t="s">
        <v>0</v>
      </c>
      <c r="CR15" s="202" t="s">
        <v>344</v>
      </c>
      <c r="CS15" s="202" t="s">
        <v>395</v>
      </c>
      <c r="CT15" s="202" t="s">
        <v>499</v>
      </c>
    </row>
    <row r="16" spans="1:98" ht="13.5" thickTop="1" x14ac:dyDescent="0.2"/>
  </sheetData>
  <autoFilter ref="A15:CT22" xr:uid="{00000000-0009-0000-0000-000001000000}"/>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Q31"/>
  <sheetViews>
    <sheetView topLeftCell="FM1" zoomScale="80" zoomScaleNormal="80" workbookViewId="0">
      <selection activeCell="FX6" sqref="FX6"/>
    </sheetView>
  </sheetViews>
  <sheetFormatPr defaultColWidth="16.140625" defaultRowHeight="12.75" x14ac:dyDescent="0.2"/>
  <cols>
    <col min="1" max="1" width="26.28515625" customWidth="1"/>
    <col min="2" max="2" width="16.140625" customWidth="1"/>
    <col min="3" max="3" width="19.42578125" customWidth="1"/>
    <col min="4" max="4" width="8.85546875" customWidth="1"/>
    <col min="5" max="5" width="14" customWidth="1"/>
    <col min="6" max="6" width="15.28515625" customWidth="1"/>
    <col min="7" max="7" width="17.7109375" customWidth="1"/>
    <col min="8" max="8" width="15.85546875" customWidth="1"/>
    <col min="9" max="16" width="14.42578125" customWidth="1"/>
    <col min="17" max="18" width="20.28515625" customWidth="1"/>
    <col min="19" max="19" width="12.5703125" customWidth="1"/>
    <col min="20" max="21" width="14.7109375" customWidth="1"/>
    <col min="22" max="22" width="10.85546875" customWidth="1"/>
    <col min="23" max="23" width="12" customWidth="1"/>
    <col min="24" max="25" width="13.85546875" customWidth="1"/>
    <col min="26" max="27" width="15.85546875" customWidth="1"/>
    <col min="28" max="28" width="12.7109375" customWidth="1"/>
    <col min="29" max="29" width="14.28515625" customWidth="1"/>
    <col min="30" max="30" width="15.85546875" customWidth="1"/>
    <col min="31" max="32" width="17.85546875" customWidth="1"/>
    <col min="33" max="33" width="15.140625" customWidth="1"/>
    <col min="34" max="34" width="14.28515625" customWidth="1"/>
    <col min="35" max="35" width="13.5703125" customWidth="1"/>
    <col min="36" max="36" width="14.28515625" customWidth="1"/>
    <col min="37" max="37" width="12.5703125" customWidth="1"/>
    <col min="38" max="38" width="14.28515625" customWidth="1"/>
    <col min="39" max="39" width="13.42578125" customWidth="1"/>
    <col min="40" max="40" width="13.140625" customWidth="1"/>
    <col min="41" max="41" width="13" customWidth="1"/>
    <col min="42" max="42" width="15.7109375" customWidth="1"/>
    <col min="43" max="43" width="13.5703125" customWidth="1"/>
    <col min="44" max="44" width="16.5703125" customWidth="1"/>
    <col min="45" max="46" width="14.28515625" customWidth="1"/>
    <col min="47" max="47" width="17" customWidth="1"/>
    <col min="48" max="48" width="19.140625" customWidth="1"/>
    <col min="49" max="49" width="17.42578125" customWidth="1"/>
    <col min="50" max="50" width="14.28515625" customWidth="1"/>
    <col min="51" max="51" width="13.7109375" customWidth="1"/>
    <col min="52" max="52" width="16.85546875" customWidth="1"/>
    <col min="53" max="54" width="15.5703125" customWidth="1"/>
    <col min="55" max="55" width="19.5703125" customWidth="1"/>
    <col min="56" max="56" width="18.85546875" customWidth="1"/>
    <col min="57" max="58" width="14.42578125" customWidth="1"/>
    <col min="59" max="59" width="17.85546875" customWidth="1"/>
    <col min="60" max="61" width="19.42578125" customWidth="1"/>
    <col min="62" max="62" width="12.7109375" customWidth="1"/>
    <col min="63" max="63" width="18.28515625" customWidth="1"/>
    <col min="64" max="64" width="8.85546875" customWidth="1"/>
    <col min="65" max="65" width="13.85546875" customWidth="1"/>
    <col min="66" max="66" width="13.28515625" customWidth="1"/>
    <col min="67" max="67" width="14.42578125" customWidth="1"/>
    <col min="68" max="68" width="17.7109375" customWidth="1"/>
    <col min="69" max="69" width="18" customWidth="1"/>
    <col min="70" max="70" width="16" customWidth="1"/>
    <col min="71" max="71" width="15.7109375" customWidth="1"/>
    <col min="72" max="72" width="15" customWidth="1"/>
    <col min="73" max="73" width="16.5703125" customWidth="1"/>
    <col min="74" max="76" width="17.7109375" customWidth="1"/>
    <col min="77" max="77" width="20.140625" customWidth="1"/>
    <col min="78" max="78" width="19.42578125" customWidth="1"/>
    <col min="79" max="79" width="25.140625" customWidth="1"/>
    <col min="80" max="80" width="20.5703125" customWidth="1"/>
    <col min="81" max="81" width="22.28515625" customWidth="1"/>
    <col min="82" max="82" width="22.42578125" customWidth="1"/>
    <col min="83" max="83" width="16.5703125" customWidth="1"/>
    <col min="84" max="84" width="18.85546875" customWidth="1"/>
    <col min="85" max="85" width="18" customWidth="1"/>
    <col min="86" max="86" width="21.5703125" customWidth="1"/>
    <col min="87" max="87" width="24.5703125" customWidth="1"/>
    <col min="88" max="88" width="17.7109375" customWidth="1"/>
    <col min="89" max="89" width="19.140625" customWidth="1"/>
    <col min="90" max="90" width="12.28515625" customWidth="1"/>
    <col min="91" max="91" width="11.7109375" customWidth="1"/>
    <col min="92" max="92" width="10.140625" customWidth="1"/>
    <col min="93" max="95" width="14.140625" customWidth="1"/>
    <col min="96" max="99" width="13.7109375" customWidth="1"/>
    <col min="100" max="101" width="19.140625" customWidth="1"/>
    <col min="102" max="102" width="18.5703125" customWidth="1"/>
    <col min="103" max="105" width="20.140625" customWidth="1"/>
    <col min="106" max="107" width="21.7109375" customWidth="1"/>
    <col min="108" max="108" width="25.140625" customWidth="1"/>
    <col min="109" max="109" width="19" customWidth="1"/>
    <col min="110" max="110" width="16.140625" customWidth="1"/>
    <col min="111" max="111" width="17.140625" customWidth="1"/>
    <col min="112" max="112" width="23.7109375" bestFit="1" customWidth="1"/>
    <col min="113" max="113" width="17.140625" customWidth="1"/>
    <col min="114" max="114" width="22.140625" customWidth="1"/>
    <col min="115" max="115" width="28.28515625" customWidth="1"/>
    <col min="116" max="116" width="25.140625" customWidth="1"/>
    <col min="117" max="117" width="21.5703125" customWidth="1"/>
    <col min="118" max="118" width="25.7109375" customWidth="1"/>
    <col min="119" max="120" width="20.140625" customWidth="1"/>
    <col min="121" max="122" width="25.5703125" customWidth="1"/>
    <col min="123" max="126" width="21.5703125" customWidth="1"/>
    <col min="127" max="127" width="25.140625" customWidth="1"/>
    <col min="128" max="134" width="21.5703125" customWidth="1"/>
    <col min="135" max="135" width="24.140625" customWidth="1"/>
    <col min="136" max="137" width="24.28515625" customWidth="1"/>
    <col min="138" max="138" width="20.140625" customWidth="1"/>
    <col min="139" max="139" width="19.7109375" customWidth="1"/>
    <col min="140" max="140" width="25.7109375" customWidth="1"/>
    <col min="141" max="141" width="30.28515625" customWidth="1"/>
    <col min="142" max="142" width="22.42578125" customWidth="1"/>
    <col min="143" max="143" width="18.42578125" customWidth="1"/>
    <col min="144" max="144" width="32.42578125" customWidth="1"/>
    <col min="145" max="145" width="26.140625" customWidth="1"/>
    <col min="146" max="146" width="25.140625" customWidth="1"/>
    <col min="147" max="147" width="24.28515625" customWidth="1"/>
    <col min="148" max="148" width="26.28515625" customWidth="1"/>
    <col min="149" max="149" width="20.5703125" customWidth="1"/>
    <col min="150" max="150" width="20" customWidth="1"/>
    <col min="151" max="151" width="32.42578125" bestFit="1" customWidth="1"/>
    <col min="152" max="152" width="26.28515625" customWidth="1"/>
    <col min="153" max="153" width="29.7109375" customWidth="1"/>
    <col min="154" max="154" width="24" customWidth="1"/>
    <col min="155" max="155" width="23.85546875" customWidth="1"/>
    <col min="156" max="156" width="16.140625" customWidth="1"/>
    <col min="157" max="157" width="15.7109375" customWidth="1"/>
    <col min="158" max="158" width="18.5703125" customWidth="1"/>
    <col min="159" max="159" width="16.5703125" customWidth="1"/>
    <col min="160" max="160" width="14.7109375" customWidth="1"/>
    <col min="161" max="161" width="12.85546875" customWidth="1"/>
    <col min="162" max="162" width="14.28515625" customWidth="1"/>
    <col min="163" max="163" width="16.7109375" customWidth="1"/>
    <col min="164" max="164" width="21.140625" customWidth="1"/>
    <col min="165" max="165" width="18.42578125" customWidth="1"/>
    <col min="166" max="166" width="21.42578125" customWidth="1"/>
    <col min="167" max="167" width="16.7109375" customWidth="1"/>
    <col min="168" max="168" width="14.7109375" customWidth="1"/>
    <col min="169" max="170" width="19.85546875" customWidth="1"/>
    <col min="171" max="171" width="17.28515625" customWidth="1"/>
    <col min="172" max="172" width="21.7109375" customWidth="1"/>
    <col min="173" max="173" width="10.5703125" customWidth="1"/>
    <col min="174" max="175" width="16.140625" customWidth="1"/>
    <col min="176" max="176" width="11.42578125" customWidth="1"/>
    <col min="177" max="177" width="12" customWidth="1"/>
    <col min="178" max="178" width="19.140625" bestFit="1" customWidth="1"/>
    <col min="179" max="179" width="11.5703125" customWidth="1"/>
    <col min="180" max="180" width="22.140625" customWidth="1"/>
    <col min="181" max="181" width="15.42578125" customWidth="1"/>
    <col min="182" max="182" width="15" customWidth="1"/>
    <col min="183" max="183" width="15.7109375" customWidth="1"/>
    <col min="184" max="184" width="19.42578125" customWidth="1"/>
    <col min="185" max="185" width="17.85546875" customWidth="1"/>
    <col min="186" max="186" width="18.85546875" customWidth="1"/>
    <col min="187" max="187" width="15" customWidth="1"/>
    <col min="188" max="190" width="16.140625" customWidth="1"/>
    <col min="191" max="191" width="17.85546875" customWidth="1"/>
    <col min="192" max="193" width="16.140625" customWidth="1"/>
    <col min="194" max="194" width="17.28515625" customWidth="1"/>
    <col min="195" max="195" width="17.5703125" customWidth="1"/>
    <col min="196" max="196" width="17.140625" customWidth="1"/>
    <col min="197" max="197" width="17.85546875" customWidth="1"/>
    <col min="198" max="198" width="17.7109375" customWidth="1"/>
    <col min="199" max="199" width="18" customWidth="1"/>
  </cols>
  <sheetData>
    <row r="1" spans="1:199" ht="13.5" thickBot="1" x14ac:dyDescent="0.25">
      <c r="A1" s="69" t="s">
        <v>460</v>
      </c>
      <c r="B1" s="60" t="s">
        <v>654</v>
      </c>
      <c r="C1" s="60" t="s">
        <v>510</v>
      </c>
      <c r="D1" s="82" t="s">
        <v>400</v>
      </c>
      <c r="E1" s="60" t="s">
        <v>302</v>
      </c>
      <c r="F1" s="132" t="s">
        <v>28</v>
      </c>
      <c r="G1" s="132" t="s">
        <v>67</v>
      </c>
      <c r="H1" s="82" t="s">
        <v>168</v>
      </c>
      <c r="I1" s="56" t="s">
        <v>310</v>
      </c>
      <c r="J1" s="56" t="s">
        <v>87</v>
      </c>
      <c r="K1" s="56" t="s">
        <v>228</v>
      </c>
      <c r="L1" s="56" t="s">
        <v>144</v>
      </c>
      <c r="M1" s="56" t="s">
        <v>429</v>
      </c>
      <c r="N1" s="56" t="s">
        <v>182</v>
      </c>
      <c r="O1" s="56" t="s">
        <v>298</v>
      </c>
      <c r="P1" s="56" t="s">
        <v>571</v>
      </c>
      <c r="Q1" s="56" t="s">
        <v>156</v>
      </c>
      <c r="R1" s="56" t="s">
        <v>299</v>
      </c>
      <c r="S1" s="56" t="s">
        <v>164</v>
      </c>
      <c r="T1" s="56" t="s">
        <v>403</v>
      </c>
      <c r="U1" s="56" t="s">
        <v>367</v>
      </c>
      <c r="V1" s="56" t="s">
        <v>105</v>
      </c>
      <c r="W1" s="56" t="s">
        <v>520</v>
      </c>
      <c r="X1" s="56" t="s">
        <v>469</v>
      </c>
      <c r="Y1" s="56" t="s">
        <v>432</v>
      </c>
      <c r="Z1" s="56" t="s">
        <v>75</v>
      </c>
      <c r="AA1" s="56" t="s">
        <v>666</v>
      </c>
      <c r="AB1" s="56" t="s">
        <v>111</v>
      </c>
      <c r="AC1" s="56" t="s">
        <v>289</v>
      </c>
      <c r="AD1" s="56" t="s">
        <v>308</v>
      </c>
      <c r="AE1" s="56" t="s">
        <v>411</v>
      </c>
      <c r="AF1" s="56" t="s">
        <v>425</v>
      </c>
      <c r="AG1" s="56" t="s">
        <v>431</v>
      </c>
      <c r="AH1" s="56" t="s">
        <v>696</v>
      </c>
      <c r="AI1" s="56" t="s">
        <v>15</v>
      </c>
      <c r="AJ1" s="56" t="s">
        <v>551</v>
      </c>
      <c r="AK1" s="56" t="s">
        <v>9</v>
      </c>
      <c r="AL1" s="56" t="s">
        <v>566</v>
      </c>
      <c r="AM1" s="56" t="s">
        <v>412</v>
      </c>
      <c r="AN1" s="56" t="s">
        <v>369</v>
      </c>
      <c r="AO1" s="56" t="s">
        <v>348</v>
      </c>
      <c r="AP1" s="56" t="s">
        <v>244</v>
      </c>
      <c r="AQ1" s="56" t="s">
        <v>488</v>
      </c>
      <c r="AR1" s="56" t="s">
        <v>397</v>
      </c>
      <c r="AS1" s="56" t="s">
        <v>440</v>
      </c>
      <c r="AT1" s="56" t="s">
        <v>445</v>
      </c>
      <c r="AU1" s="202" t="s">
        <v>119</v>
      </c>
      <c r="AV1" s="202" t="s">
        <v>580</v>
      </c>
      <c r="AW1" s="202" t="s">
        <v>64</v>
      </c>
      <c r="AX1" s="56" t="s">
        <v>471</v>
      </c>
      <c r="AY1" s="56" t="s">
        <v>539</v>
      </c>
      <c r="AZ1" s="202" t="s">
        <v>318</v>
      </c>
      <c r="BA1" s="202" t="s">
        <v>257</v>
      </c>
      <c r="BB1" s="202" t="s">
        <v>751</v>
      </c>
      <c r="BC1" s="202" t="s">
        <v>55</v>
      </c>
      <c r="BD1" s="56" t="s">
        <v>522</v>
      </c>
      <c r="BE1" s="202" t="s">
        <v>370</v>
      </c>
      <c r="BF1" s="202" t="s">
        <v>752</v>
      </c>
      <c r="BG1" s="202" t="s">
        <v>585</v>
      </c>
      <c r="BH1" s="298" t="s">
        <v>603</v>
      </c>
      <c r="BI1" s="298" t="s">
        <v>604</v>
      </c>
      <c r="BJ1" s="202" t="s">
        <v>565</v>
      </c>
      <c r="BK1" s="202" t="s">
        <v>354</v>
      </c>
      <c r="BL1" s="202" t="s">
        <v>93</v>
      </c>
      <c r="BM1" s="202" t="s">
        <v>198</v>
      </c>
      <c r="BN1" s="202" t="s">
        <v>249</v>
      </c>
      <c r="BO1" s="202" t="s">
        <v>152</v>
      </c>
      <c r="BP1" s="202" t="s">
        <v>547</v>
      </c>
      <c r="BQ1" s="202" t="s">
        <v>490</v>
      </c>
      <c r="BR1" s="202" t="s">
        <v>209</v>
      </c>
      <c r="BS1" s="202" t="s">
        <v>163</v>
      </c>
      <c r="BT1" s="202" t="s">
        <v>200</v>
      </c>
      <c r="BU1" s="202" t="s">
        <v>54</v>
      </c>
      <c r="BV1" s="202" t="s">
        <v>133</v>
      </c>
      <c r="BW1" s="202" t="s">
        <v>232</v>
      </c>
      <c r="BX1" s="202" t="s">
        <v>56</v>
      </c>
      <c r="BY1" s="202" t="s">
        <v>434</v>
      </c>
      <c r="BZ1" s="202" t="s">
        <v>108</v>
      </c>
      <c r="CA1" s="306" t="s">
        <v>657</v>
      </c>
      <c r="CB1" s="202" t="s">
        <v>659</v>
      </c>
      <c r="CC1" s="202" t="s">
        <v>661</v>
      </c>
      <c r="CD1" s="202" t="s">
        <v>648</v>
      </c>
      <c r="CE1" s="202" t="s">
        <v>649</v>
      </c>
      <c r="CF1" s="202" t="s">
        <v>650</v>
      </c>
      <c r="CG1" s="202" t="s">
        <v>327</v>
      </c>
      <c r="CH1" s="202" t="s">
        <v>356</v>
      </c>
      <c r="CI1" s="202" t="s">
        <v>513</v>
      </c>
      <c r="CJ1" s="202" t="s">
        <v>554</v>
      </c>
      <c r="CK1" s="202" t="s">
        <v>409</v>
      </c>
      <c r="CL1" s="202" t="s">
        <v>72</v>
      </c>
      <c r="CM1" s="202" t="s">
        <v>35</v>
      </c>
      <c r="CN1" s="202" t="s">
        <v>118</v>
      </c>
      <c r="CO1" s="202" t="s">
        <v>254</v>
      </c>
      <c r="CP1" s="202" t="s">
        <v>396</v>
      </c>
      <c r="CQ1" s="202" t="s">
        <v>279</v>
      </c>
      <c r="CR1" s="202" t="s">
        <v>66</v>
      </c>
      <c r="CS1" s="202" t="s">
        <v>568</v>
      </c>
      <c r="CT1" s="202" t="s">
        <v>712</v>
      </c>
      <c r="CU1" s="202" t="s">
        <v>371</v>
      </c>
      <c r="CV1" s="202" t="s">
        <v>497</v>
      </c>
      <c r="CW1" s="202" t="s">
        <v>699</v>
      </c>
      <c r="CX1" s="202" t="s">
        <v>320</v>
      </c>
      <c r="CY1" s="202" t="s">
        <v>509</v>
      </c>
      <c r="CZ1" s="202" t="s">
        <v>186</v>
      </c>
      <c r="DA1" s="202" t="s">
        <v>517</v>
      </c>
      <c r="DB1" s="146" t="s">
        <v>291</v>
      </c>
      <c r="DC1" s="146" t="s">
        <v>353</v>
      </c>
      <c r="DD1" s="146" t="s">
        <v>366</v>
      </c>
      <c r="DE1" s="171" t="s">
        <v>501</v>
      </c>
      <c r="DF1" s="202" t="s">
        <v>21</v>
      </c>
      <c r="DG1" s="171" t="s">
        <v>323</v>
      </c>
      <c r="DH1" s="171" t="s">
        <v>447</v>
      </c>
      <c r="DI1" s="171" t="s">
        <v>742</v>
      </c>
      <c r="DJ1" s="146" t="s">
        <v>678</v>
      </c>
      <c r="DK1" s="146" t="s">
        <v>679</v>
      </c>
      <c r="DL1" s="146" t="s">
        <v>262</v>
      </c>
      <c r="DM1" s="202" t="s">
        <v>255</v>
      </c>
      <c r="DN1" s="202" t="s">
        <v>541</v>
      </c>
      <c r="DO1" s="202" t="s">
        <v>395</v>
      </c>
      <c r="DP1" s="202" t="s">
        <v>499</v>
      </c>
      <c r="DQ1" s="2" t="s">
        <v>65</v>
      </c>
      <c r="DR1" s="2" t="s">
        <v>267</v>
      </c>
      <c r="DS1" s="2" t="s">
        <v>13</v>
      </c>
      <c r="DT1" s="2" t="s">
        <v>463</v>
      </c>
      <c r="DU1" s="2" t="s">
        <v>11</v>
      </c>
      <c r="DV1" s="2" t="s">
        <v>577</v>
      </c>
      <c r="DW1" s="2" t="s">
        <v>113</v>
      </c>
      <c r="DX1" s="2" t="s">
        <v>294</v>
      </c>
      <c r="DY1" s="2" t="s">
        <v>131</v>
      </c>
      <c r="DZ1" s="2" t="s">
        <v>450</v>
      </c>
      <c r="EA1" s="2" t="s">
        <v>437</v>
      </c>
      <c r="EB1" s="2" t="s">
        <v>14</v>
      </c>
      <c r="EC1" s="2" t="s">
        <v>172</v>
      </c>
      <c r="ED1" s="202" t="s">
        <v>670</v>
      </c>
      <c r="EE1" s="202" t="s">
        <v>250</v>
      </c>
      <c r="EF1" s="202" t="s">
        <v>663</v>
      </c>
      <c r="EG1" s="202" t="s">
        <v>711</v>
      </c>
      <c r="EH1" s="202" t="s">
        <v>704</v>
      </c>
      <c r="EI1" s="202" t="s">
        <v>0</v>
      </c>
      <c r="EJ1" s="202" t="s">
        <v>344</v>
      </c>
      <c r="EK1" s="171" t="s">
        <v>173</v>
      </c>
      <c r="EL1" s="171" t="s">
        <v>680</v>
      </c>
      <c r="EM1" s="171" t="s">
        <v>681</v>
      </c>
      <c r="EN1" s="171" t="s">
        <v>479</v>
      </c>
      <c r="EO1" s="171" t="s">
        <v>286</v>
      </c>
      <c r="EP1" s="171" t="s">
        <v>127</v>
      </c>
      <c r="EQ1" s="171" t="s">
        <v>552</v>
      </c>
      <c r="ER1" s="171" t="s">
        <v>194</v>
      </c>
      <c r="ES1" s="171" t="s">
        <v>19</v>
      </c>
      <c r="ET1" s="171" t="s">
        <v>408</v>
      </c>
      <c r="EU1" s="171" t="s">
        <v>563</v>
      </c>
      <c r="EV1" s="171" t="s">
        <v>358</v>
      </c>
      <c r="EW1" s="171" t="s">
        <v>319</v>
      </c>
      <c r="EX1" s="171" t="s">
        <v>207</v>
      </c>
      <c r="EY1" s="171" t="s">
        <v>558</v>
      </c>
      <c r="EZ1" s="202" t="s">
        <v>150</v>
      </c>
      <c r="FA1" s="171" t="s">
        <v>242</v>
      </c>
      <c r="FB1" s="171" t="s">
        <v>504</v>
      </c>
      <c r="FC1" s="171" t="s">
        <v>341</v>
      </c>
      <c r="FD1" s="171" t="s">
        <v>24</v>
      </c>
      <c r="FE1" s="171" t="s">
        <v>191</v>
      </c>
      <c r="FF1" s="171" t="s">
        <v>121</v>
      </c>
      <c r="FG1" s="171" t="s">
        <v>405</v>
      </c>
      <c r="FH1" s="171" t="s">
        <v>300</v>
      </c>
      <c r="FI1" s="171" t="s">
        <v>48</v>
      </c>
      <c r="FJ1" s="171" t="s">
        <v>500</v>
      </c>
      <c r="FK1" s="171" t="s">
        <v>388</v>
      </c>
      <c r="FL1" s="171" t="s">
        <v>491</v>
      </c>
      <c r="FM1" s="202" t="s">
        <v>567</v>
      </c>
      <c r="FN1" s="202" t="s">
        <v>126</v>
      </c>
      <c r="FO1" s="171" t="s">
        <v>528</v>
      </c>
      <c r="FP1" s="202" t="s">
        <v>483</v>
      </c>
      <c r="FQ1" s="202" t="s">
        <v>531</v>
      </c>
      <c r="FR1" s="202" t="s">
        <v>201</v>
      </c>
      <c r="FS1" s="202" t="s">
        <v>325</v>
      </c>
      <c r="FT1" s="202" t="s">
        <v>707</v>
      </c>
      <c r="FU1" s="202" t="s">
        <v>708</v>
      </c>
      <c r="FV1" s="202" t="s">
        <v>710</v>
      </c>
      <c r="FW1" s="202" t="s">
        <v>269</v>
      </c>
      <c r="FX1" s="202" t="s">
        <v>413</v>
      </c>
      <c r="FY1" s="202" t="s">
        <v>251</v>
      </c>
      <c r="FZ1" s="202" t="s">
        <v>465</v>
      </c>
      <c r="GA1" s="202" t="s">
        <v>51</v>
      </c>
      <c r="GB1" s="56" t="s">
        <v>283</v>
      </c>
      <c r="GC1" s="202" t="s">
        <v>542</v>
      </c>
      <c r="GD1" s="56" t="s">
        <v>576</v>
      </c>
      <c r="GE1" s="202" t="s">
        <v>112</v>
      </c>
      <c r="GF1" s="202" t="s">
        <v>363</v>
      </c>
      <c r="GG1" s="202" t="s">
        <v>185</v>
      </c>
      <c r="GH1" s="202" t="s">
        <v>345</v>
      </c>
      <c r="GI1" s="202" t="s">
        <v>180</v>
      </c>
      <c r="GJ1" s="202" t="s">
        <v>421</v>
      </c>
      <c r="GK1" s="202" t="s">
        <v>96</v>
      </c>
      <c r="GL1" s="202" t="s">
        <v>590</v>
      </c>
      <c r="GM1" s="202" t="s">
        <v>592</v>
      </c>
      <c r="GN1" s="202" t="s">
        <v>593</v>
      </c>
      <c r="GO1" s="202" t="s">
        <v>594</v>
      </c>
      <c r="GP1" s="202" t="s">
        <v>595</v>
      </c>
      <c r="GQ1" s="202" t="s">
        <v>596</v>
      </c>
    </row>
    <row r="2" spans="1:199" s="15" customFormat="1" ht="13.5" thickTop="1" x14ac:dyDescent="0.2">
      <c r="A2" s="69" t="s">
        <v>211</v>
      </c>
      <c r="B2" s="214">
        <v>22361100</v>
      </c>
      <c r="C2" s="181" t="s">
        <v>511</v>
      </c>
      <c r="D2" s="181" t="s">
        <v>487</v>
      </c>
      <c r="E2" s="181"/>
      <c r="F2" s="84" t="s">
        <v>249</v>
      </c>
      <c r="G2" s="84" t="s">
        <v>160</v>
      </c>
      <c r="H2" s="181"/>
      <c r="I2" s="204"/>
      <c r="J2" s="204"/>
      <c r="K2" s="181"/>
      <c r="L2" s="204"/>
      <c r="M2" s="204"/>
      <c r="N2" s="204"/>
      <c r="O2" s="204"/>
      <c r="P2" s="204"/>
      <c r="Q2" s="204" t="s">
        <v>442</v>
      </c>
      <c r="R2" s="181" t="s">
        <v>387</v>
      </c>
      <c r="S2" s="204" t="s">
        <v>419</v>
      </c>
      <c r="T2" s="31" t="s">
        <v>116</v>
      </c>
      <c r="U2" s="31"/>
      <c r="V2" s="31" t="s">
        <v>419</v>
      </c>
      <c r="W2" s="203">
        <v>15049</v>
      </c>
      <c r="X2" s="203">
        <v>15890</v>
      </c>
      <c r="Y2" s="203"/>
      <c r="Z2" s="203">
        <f>IF(AND(G2="V",OR(F2="XRD",F2="QPSA")),IF(AND(F2="XRD",OR(V2="S",V2="D",V2="W")),"NULL",IF(NOT(ISBLANK(X2)),X2,DATE(YEAR(W2)+IF(S2="M",4,-4),MONTH(W2),DAY(W2)))),IF(Q2="Y",Y2,IF(ISBLANK(X2),"NULL",X2)))</f>
        <v>15890</v>
      </c>
      <c r="AA2" s="203">
        <f>IF(Z2="null",DATE(YEAR(W2)+IF(S2="M",4,-4),MONTH(W2),DAY(W2)),Z2)</f>
        <v>15890</v>
      </c>
      <c r="AB2" s="203">
        <v>25430</v>
      </c>
      <c r="AC2" s="32">
        <f>DATE(YEAR(W2)+21,MONTH(W2),DAY(W2))</f>
        <v>22719</v>
      </c>
      <c r="AD2" s="32">
        <f>DATE(YEAR(AB2)+1,MONTH(AB2),DAY(AB2))</f>
        <v>25795</v>
      </c>
      <c r="AE2" s="32">
        <f t="shared" ref="AE2" si="0">MAX(AC2,AD2)</f>
        <v>25795</v>
      </c>
      <c r="AF2" s="32" t="e">
        <f ca="1">NRD(MIN(DATE(2008,12,31),AE2),0)</f>
        <v>#NAME?</v>
      </c>
      <c r="AG2" s="32">
        <v>26390</v>
      </c>
      <c r="AH2" s="32">
        <v>39813</v>
      </c>
      <c r="AI2" s="32">
        <v>39721</v>
      </c>
      <c r="AJ2" s="32"/>
      <c r="AK2" s="32"/>
      <c r="AL2" s="32"/>
      <c r="AM2" s="259" t="e">
        <f ca="1">MAX(NRD(W2,65),NRD(AF2,5))</f>
        <v>#NAME?</v>
      </c>
      <c r="AN2" s="304" t="e">
        <f ca="1">ATT(W2,AM2)</f>
        <v>#NAME?</v>
      </c>
      <c r="AO2" s="260" t="e">
        <f ca="1">SERVYCA(AF2,MIN(AI2,AH2),1000)</f>
        <v>#NAME?</v>
      </c>
      <c r="AP2" s="261">
        <v>33</v>
      </c>
      <c r="AQ2" s="261" t="e">
        <f ca="1">SERVYCA(AB2,MIN(AI2,AH2,DATE(2010,4,13)),1000)</f>
        <v>#NAME?</v>
      </c>
      <c r="AR2" s="234">
        <v>3596.18</v>
      </c>
      <c r="AS2" s="234">
        <f>AR2</f>
        <v>3596.18</v>
      </c>
      <c r="AT2" s="32">
        <f>DATE(YEAR(W2)+18,MONTH(W2),DAY(W2))</f>
        <v>21623</v>
      </c>
      <c r="AU2" s="112" t="e">
        <f ca="1">SERVYCA(AB2,MIN(AI2,DOPT),1000)</f>
        <v>#NAME?</v>
      </c>
      <c r="AV2" s="33" t="e">
        <f ca="1">IF(AU2&gt;=5,1,0)</f>
        <v>#NAME?</v>
      </c>
      <c r="AW2" s="44" t="e">
        <f ca="1">ROUND(AS2*AV2,2)</f>
        <v>#NAME?</v>
      </c>
      <c r="AX2" s="31" t="e">
        <f ca="1">anb(W2,DOPT)</f>
        <v>#NAME?</v>
      </c>
      <c r="AY2" s="31" t="e">
        <f ca="1">IF(Z2="NULL","NULL",IF(Z2&gt;DOPT,0,anb(Z2,DOPT)))</f>
        <v>#NAME?</v>
      </c>
      <c r="AZ2" s="172">
        <v>4789.7700000000004</v>
      </c>
      <c r="BA2" s="59" t="e">
        <f ca="1">MAX(AM2,NRD(DOPT,0))</f>
        <v>#NAME?</v>
      </c>
      <c r="BB2" s="59" t="e">
        <f ca="1">MAX(BA2,NRD(DOPT,0))</f>
        <v>#NAME?</v>
      </c>
      <c r="BC2" s="91" t="e">
        <f ca="1">IF(AM2&lt;DOPT,AX2,AN2)</f>
        <v>#NAME?</v>
      </c>
      <c r="BD2" s="203" t="e">
        <f ca="1">RBD(C2,DOPT,"P",W2,AI2,AJ2,"N",Q2)</f>
        <v>#NAME?</v>
      </c>
      <c r="BE2" s="59" t="e">
        <f ca="1">IF(AU2&gt;=10,NRD(W2,60),AM2)</f>
        <v>#NAME?</v>
      </c>
      <c r="BF2" s="59" t="e">
        <f ca="1">MAX(BE2,NRD(DOPT,0))</f>
        <v>#NAME?</v>
      </c>
      <c r="BG2" s="76" t="e">
        <f ca="1">IF(NRD(W2,60)&lt;DOPT,AX2,anb(W2,BE2))</f>
        <v>#NAME?</v>
      </c>
      <c r="BH2" s="299"/>
      <c r="BI2" s="299" t="str">
        <f>IF(BH2="Y",BE2,"NULL")</f>
        <v>NULL</v>
      </c>
      <c r="BJ2" s="59">
        <v>38473</v>
      </c>
      <c r="BK2" s="59">
        <v>39234</v>
      </c>
      <c r="BL2" s="44" t="e">
        <f ca="1">BL(DOPT,AB2,AI2,"N","Y","Y",C2,BC2,AW2)</f>
        <v>#NAME?</v>
      </c>
      <c r="BM2" s="86" t="e">
        <f ca="1">XRA2(BL2,MIN(AN2,BG2),AN2,DOPT,W2,IF(Z2="NULL",0,Z2),C2,D2,0,"")</f>
        <v>#NAME?</v>
      </c>
      <c r="BN2" s="59" t="e">
        <f ca="1">IF(OR(F2="DORNSF",F2="DOR"),BJ2,NRD(W2,BM2))</f>
        <v>#NAME?</v>
      </c>
      <c r="BO2" s="76" t="e">
        <f ca="1">IF(Z2="NULL","NULL",anb(Z2,BN2))</f>
        <v>#NAME?</v>
      </c>
      <c r="BP2" s="193" t="s">
        <v>511</v>
      </c>
      <c r="BQ2" s="193" t="s">
        <v>216</v>
      </c>
      <c r="BR2" s="31">
        <f t="shared" ref="BR2" si="1">0</f>
        <v>0</v>
      </c>
      <c r="BS2" s="33">
        <v>0.5</v>
      </c>
      <c r="BT2" s="31">
        <v>0</v>
      </c>
      <c r="BU2" s="31">
        <v>0</v>
      </c>
      <c r="BV2" s="130" t="s">
        <v>59</v>
      </c>
      <c r="BW2" s="130" t="s">
        <v>387</v>
      </c>
      <c r="BX2" s="130" t="s">
        <v>109</v>
      </c>
      <c r="BY2" s="86" t="e">
        <f ca="1">IF(AND(BV2="5",COMPM(BJ2,BK2)&lt;BX2),BV2,IF(AND(AJ2&gt;0,BV2="9"),2,"NULL"))</f>
        <v>#NAME?</v>
      </c>
      <c r="BZ2" s="86" t="e">
        <f ca="1">IF(AND(BV2="5",COMPM(BJ2,BK2)&lt;BX2),COMPM(BK2,DATE(YEAR(BJ2)+(BX2/12),MONTH(BJ2)-1,1)),"NULL")</f>
        <v>#NAME?</v>
      </c>
      <c r="CA2" s="307" t="str">
        <f>IF(AND(OR(V2="U",V2="M"),OR(CI2="9",CI2="0")),"9",IF(CI2="5","5","2"))</f>
        <v>9</v>
      </c>
      <c r="CB2" s="305">
        <f>IF(OR(CA2="9",CA2="0"),0.5,0)</f>
        <v>0.5</v>
      </c>
      <c r="CC2" s="31" t="str">
        <f>IF(CA2="5",BX2-BZ2,"0")</f>
        <v>0</v>
      </c>
      <c r="CD2" s="86" t="s">
        <v>511</v>
      </c>
      <c r="CE2" s="31" t="str">
        <f>CC2</f>
        <v>0</v>
      </c>
      <c r="CF2" s="31" t="e">
        <f ca="1">IF(BZ2="NULL","0",BZ2)</f>
        <v>#NAME?</v>
      </c>
      <c r="CG2" s="31">
        <v>1</v>
      </c>
      <c r="CH2" s="86">
        <v>3</v>
      </c>
      <c r="CI2" s="31" t="str">
        <f>IF(OR(AND(OR(AND(F2="XRD",G2="V"),F2="RBD"),OR(V2="M",V2="U")),AND(F2="DOR",OR(CH2="3",CH2="1"),OR(BV2="9",BV2="0"))),BQ2,IF(OR(F2="QPSA",AND(OR(F2="ERD",F2="EURD",F2="NRD",F2="RETRO"),V2="M",IF(OR(F2="ERD",F2="EURD",F2="NRD",F2="RETRO"),FX2="A",1),NOT(ISBLANK(AJ2)),OR(ISBLANK(AK2),AK2&gt;AJ2)),AND(OR(F2="DOR",F2="DORNSF"),CG2="Y")),CA2,IF(AND(F2="DOR",BV2="5"),BV2,BP2)))</f>
        <v>9</v>
      </c>
      <c r="CJ2" s="33">
        <f>IF(OR(AND(OR(AND(F2="XRD",G2="V"),F2="RBD"),OR(V2="M",V2="U")),AND(F2="DOR",OR(CH2="1",CH2="3"),OR(BV2="9",BV2="0"))),BS2,IF(OR(F2="QPSA",AND(OR(F2="ERD",F2="EURD",F2="NRD",F2="RETRO"),V2="M",IF(OR(F2="ERD",F2="EURD",F2="NRD",F2="RETRO"),FX2="A",1),NOT(ISBLANK(AJ2)),OR(ISBLANK(AK2),AK2&gt;AJ2)),AND(OR(F2="DORNSF",F2="DOR"),CG2="Y")),CB2,IF(AND(F2="DOR",BV2="5"),BW2,BR2)))</f>
        <v>0.5</v>
      </c>
      <c r="CK2" s="31">
        <f>IF(OR(AND(OR(AND(F2="XRD",G2="V"),F2="RBD"),OR(V2="M",V2="U")),AND(F2="DOR",CH2="3",OR(BV2="9",BV2="0"))),BU2,IF(OR(F2="QPSA",AND(OR(F2="ERD",F2="EURD",F2="NRD",F2="RETRO"),V2="M",IF(OR(F2="ERD",F2="EURD",F2="NRD",F2="RETRO"),FX2="A",1),NOT(ISBLANK(AJ2)),OR(ISBLANK(AK2),AK2&gt;AJ2)),AND(OR(F2="DORNSF",F2="DOR"),CG2="Y")),CC2,IF(AND(F2="DOR",BV2="5"),IF(AJ2&gt;0,BZ2,BX2),BT2)))</f>
        <v>0</v>
      </c>
      <c r="CL2" s="31" t="e">
        <f ca="1">BM2</f>
        <v>#NAME?</v>
      </c>
      <c r="CM2" s="31">
        <v>999</v>
      </c>
      <c r="CN2" s="31" t="e">
        <f ca="1">IF(BN2&lt;AM2,COMPM(BN2,AM2),0)</f>
        <v>#NAME?</v>
      </c>
      <c r="CO2" s="320" t="e">
        <f ca="1">VLOOKUP(CN2,ERF_Table,2,FALSE)</f>
        <v>#NAME?</v>
      </c>
      <c r="CP2" s="76" t="e">
        <f ca="1">anb(W2,BN2)</f>
        <v>#NAME?</v>
      </c>
      <c r="CQ2" s="76" t="e">
        <f ca="1">IF(OR(Z2="NULL",ISBLANK(Z2)),"NULL",anb(Z2,BN2))</f>
        <v>#NAME?</v>
      </c>
      <c r="CR2" s="99" t="e">
        <f ca="1">IF(CI2="2",1,ROUND(BFCFAEQ("SLA",BR2,BT2,0,IF(OR(CI2="9",CI2="0"),"JSC","SLA"),CJ2,CK2,0,CP2,IF(CQ2="NULL",0,CQ2),S2,IF(AND(ISBLANK(T2),S2="M"),"F","M"),0.065,"GM71","GM71","MP","","","",""),4))</f>
        <v>#NAME?</v>
      </c>
      <c r="CS2" s="112" t="e">
        <f ca="1">COMPM(AM2,MAX(AM2,BN2))</f>
        <v>#NAME?</v>
      </c>
      <c r="CT2" s="99" t="e">
        <f ca="1">IF(AI2&gt;AM2,ROUND(LRFAEQ(0.065,S2,AN2,COMPM(AM2,AI2),BT2,"GM71","GM71","MP","Y",,,AN2),4),"NULL")</f>
        <v>#NAME?</v>
      </c>
      <c r="CU2" s="99" t="e">
        <f ca="1">IF(AI2&gt;AM2,ROUND(LRFAEQ(0.065,S2,AN2,CS2,BT2,"GM71","GM71","MP","Y",,,AN2)/CT2,4),ROUND(LRFAEQ(0.065,S2,AN2,CS2,BT2,"GM71","GM71","MP","N",,,AN2),4))</f>
        <v>#NAME?</v>
      </c>
      <c r="CV2" s="264" t="e">
        <f ca="1">ROUND(AW2*CO2*CR2*CU2,2)</f>
        <v>#NAME?</v>
      </c>
      <c r="CW2" s="264" t="e">
        <f ca="1">ROUND(AW2*CO2*CU2,2)</f>
        <v>#NAME?</v>
      </c>
      <c r="CX2" s="31" t="e">
        <f ca="1">IF(DATE(YEAR($W2)+65,MONTH($W2),DAY($W2))&lt;BN2,0,COMPM(BN2,DATE(YEAR($W2)+65,MONTH($W2),DAY($W2))))</f>
        <v>#NAME?</v>
      </c>
      <c r="CY2" s="114" t="e">
        <f ca="1">PBGCERF(CX2)</f>
        <v>#NAME?</v>
      </c>
      <c r="CZ2" s="31" t="e">
        <f ca="1">IF(DATE(YEAR($W2)+65,MONTH($W2),DAY($W2))&gt;=BN2,0,COMPM(DATE(YEAR($W2)+65,MONTH($W2),DAY($W2)),BN2))</f>
        <v>#NAME?</v>
      </c>
      <c r="DA2" s="114" t="e">
        <f ca="1">PBGCLRF(65+CZ2/12)</f>
        <v>#NAME?</v>
      </c>
      <c r="DB2" s="143" t="e">
        <f ca="1">ROUND(PBGCBFCF2("SLA",0,0,IF(OR(CI2="0",CI2="9"),"JSC","SLA"),CJ2,CK2,CP2,IF(CQ2="NULL",0,CQ2)),4)</f>
        <v>#NAME?</v>
      </c>
      <c r="DC2" s="7" t="e">
        <f t="shared" ref="DC2" ca="1" si="2">ROUND(PBGC_MAX*CY2*DA2*DB2,2)</f>
        <v>#NAME?</v>
      </c>
      <c r="DD2" s="7" t="e">
        <f ca="1">MIN(CV2,DC2)</f>
        <v>#NAME?</v>
      </c>
      <c r="DE2" s="99" t="e">
        <f ca="1">IF(OR(AJ2&gt;DOPT,AND(Z2&gt;DOPT,CG2="N")),0,QPSAPVF("MP","SLA",DOPT,R2,S2,IF(S2="M","F","M"),AX2,CP2,IF(AY2="NULL",AX2+IF(S2="M",-4,4),AY2),IF(BO2="NULL",CP2+IF(S2="M",-4,4),CQ2),CE2,CF2,0))</f>
        <v>#NAME?</v>
      </c>
      <c r="DF2" s="114" t="e">
        <f ca="1">ROUND(NPVF2("MP",IF(CI2="9","JSC","SLA"),"N",Annuity_Rates,S2,AX2,BM2,IF(BO2="NULL",0,BO2),CJ2,CK2,0,DOPT,DOPT,"P","","",R2),4)</f>
        <v>#NAME?</v>
      </c>
      <c r="DG2" s="99" t="e">
        <f ca="1">IF(AX2&gt;=BM2,0,ROUND(1-lx(IF(S2="M","2M13","2F13"),S2,BM2)/lx(IF(S2="M","2M13","2F13"),S2,AX2),4))</f>
        <v>#NAME?</v>
      </c>
      <c r="DH2" s="313">
        <f>IF(AND(G2="V",V2="S"),ROUND(DD2*DF2*12*DG2,0),0)</f>
        <v>0</v>
      </c>
      <c r="DI2" s="265">
        <f>IF(V2="S",ROUND(DH2/(DF2*12),2),0)</f>
        <v>0</v>
      </c>
      <c r="DJ2" s="265">
        <f>0</f>
        <v>0</v>
      </c>
      <c r="DK2" s="236">
        <f>PC6_4022C_AR</f>
        <v>0.17230000000000001</v>
      </c>
      <c r="DL2" s="7">
        <f>IF(V2="S",ROUND((DH2*DK2)/(DF2*12),2),0)</f>
        <v>0</v>
      </c>
      <c r="DM2" s="44" t="e">
        <f ca="1">DD2+DL2</f>
        <v>#NAME?</v>
      </c>
      <c r="DN2" s="44" t="e">
        <f ca="1">IF(OR(CI2="9",CI2="0"),ROUND(DM2*CJ2,2),0)</f>
        <v>#NAME?</v>
      </c>
      <c r="DO2" s="44" t="e">
        <f ca="1">IF(OR(AND(F2="XRD",G2="V"),CV2&lt;=DC2),"NULL","The benefits PBGC guarantees are limited by federal pension law to PBGC's maximum monthly amount that was in effect on the date of plan termination.  This amount is adjusted to reflect the participant's age and form of annuity.")</f>
        <v>#NAME?</v>
      </c>
      <c r="DP2" s="44" t="str">
        <f>IF(OR(AND(F2="XRD",G2="V"),DL2=0),"NULL","Under Section 4022(c) of ERISA, PBGC has allocated additional funds to non-guaranteed benefits based on PBGC's experience in recovering on claims against plan sponsors. PBGC has, therefore, increased your monthly benefit, as shown below.")</f>
        <v>NULL</v>
      </c>
      <c r="DQ2" s="151" t="e">
        <f ca="1">IF(OR(AND(F2="XRD",G2="V"),CH2="0",CH2="1",CH2="2",AND(NOT(ISBLANK(AJ2)),AJ2&lt;BN2,D2="1",DN2="NULL"),AND(V2="S",Q2="N"),D2&lt;&gt;"1"),"NULL",DM2/CR2)</f>
        <v>#NAME?</v>
      </c>
      <c r="DR2" s="151" t="e">
        <f ca="1">IF(OR(AND(F2="XRD",G2="V"),CH2="0",CH2="1",CH2="2",AND(NOT(ISBLANK(AJ2)),AJ2&lt;BN2,D2="1",DN2="NULL")),"NULL",IF(OR(D2="4",AND(NOT(ISBLANK(AJ2)),AJ2&lt;=BN2)),PBGCOFA(DOPT,Z2,0,0,"N",BN2,"MP","SLA",0,0,0,IF(D2="1",DN2,DM2),0,0,"VALUE",0,0,0,0,0,0,0),PBGCOFA(DOPT,W2,0,0,"N",BN2,"MP","SLA",0,IF(F2="DORNSF",CK2,BT2),0,DM2/CR2,0,0,"VALUE",0,0,0,0,0,0,0)))</f>
        <v>#NAME?</v>
      </c>
      <c r="DS2" s="151" t="e">
        <f ca="1">IF(OR(AND(F2="XRD",G2="V"),CH2="0",CH2="1",CH2="2",AND(NOT(ISBLANK(AJ2)),AJ2&lt;BN2,D2="1",DN2="NULL")),"NULL",IF(OR(D2="4",AND(NOT(ISBLANK(AJ2)),AJ2&lt;=BN2)),PBGCOFA(DOPT,Z2,0,0,"N",BN2,"MP","SLA",0,0,0,IF(D2="1",DN2,DM2),0,0,"SLA",0,0,0,0,0,0,0),PBGCOFA(DOPT,W2,0,0,"N",BN2,"MP","SLA",0,IF(F2="DORNSF",CK2,BT2),0,DM2/CR2,0,0,"SLA",0,0,0,0,0,0,0)))</f>
        <v>#NAME?</v>
      </c>
      <c r="DT2" s="169" t="e">
        <f ca="1">IF(OR(AND(F2="XRD",G2="V"),CH2="0",CH2="1",CH2="2",AND(NOT(ISBLANK(AJ2)),AJ2&lt;BN2,D2="1",DN2="NULL")),"NULL",IF(OR(D2="4",AND(NOT(ISBLANK(AJ2)),AJ2&lt;=BN2)),PBGCOFA(DOPT,Z2,0,0,"N",BN2,"MP","SLA",0,0,0,IF(D2="1",DN2,DM2),0,0,"5CC",0,0,0,0,0,0,0),PBGCOFA(DOPT,W2,0,0,"N",BN2,"MP","SLA",0,IF(F2="DORNSF",CK2,BT2),0,DS2,0,0,"5CC",0,0,0,0,0,0,0)))</f>
        <v>#NAME?</v>
      </c>
      <c r="DU2" s="169" t="e">
        <f ca="1">IF(OR(AND(F2="XRD",G2="V"),CH2="0",CH2="1",CH2="2",AND(NOT(ISBLANK(AJ2)),AJ2&lt;BN2,D2="1",DN2="NULL")),"NULL",IF(OR(D2="4",AND(NOT(ISBLANK(AJ2)),AJ2&lt;=BN2)),PBGCOFA(DOPT,Z2,0,0,"N",BN2,"MP","SLA",0,0,0,IF(D2="1",DN2,DM2),0,0,"10CC",0,0,0,0,0,0,0),PBGCOFA(DOPT,W2,0,0,"N",BN2,"MP","SLA",0,IF(F2="DORNSF",CK2,BT2),0,DS2,0,0,"10CC",0,0,0,0,0,0,0)))</f>
        <v>#NAME?</v>
      </c>
      <c r="DV2" s="169" t="e">
        <f ca="1">IF(OR(AND(F2="XRD",G2="V"),CH2="0",CH2="1",CH2="2",AND(NOT(ISBLANK(AJ2)),AJ2&lt;BN2,D2="1",DN2="NULL")),"NULL",IF(OR(D2="4",AND(NOT(ISBLANK(AJ2)),AJ2&lt;=BN2)),PBGCOFA(DOPT,Z2,0,0,"N",BN2,"MP","SLA",0,0,0,IF(D2="1",DN2,DM2),0,0,"15CC",0,0,0,0,0,0,0),PBGCOFA(DOPT,W2,0,0,"N",BN2,"MP","SLA",0,IF(F2="DORNSF",CK2,BT2),0,DS2,0,0,"15CC",0,0,0,0,0,0,0)))</f>
        <v>#NAME?</v>
      </c>
      <c r="DW2" s="169" t="str">
        <f>IF(OR(AND(F2="XRD",G2="V"),CH2="0",CH2="1",CH2="2"),"NULL",IF(AND(OR(BV2="9",BV2="0"),D2="1",OR(ISBLANK(AJ2),AJ2&gt;BN2)),PBGCOFA(DOPT,W2,IF(RIGHT(F2,5)="NMFSP",Z2,X2),Y2,Q2,BN2,"MP","JSC",BS2,BU2,0,DM2,0,DS2,"VALUE",0,0,0,0,0,0,0),"NULL"))</f>
        <v>NULL</v>
      </c>
      <c r="DX2" s="151" t="str">
        <f>IF(OR(AND(F2="XRD",G2="V"),CH2="0",CH2="1",CH2="2"),"NULL",IF(AND(OR(BV2="9",BV2="0"),D2="1",OR(ISBLANK(AJ2),AJ2&gt;BN2)),PBGCOFA(DOPT,W2,IF(RIGHT(F2,5)="NMFSP",Z2,X2),Y2,Q2,BN2,"MP","JSC",BS2,BU2,0,DM2,0,DS2,"JS50",0,0,0,0,0,0,0),"NULL"))</f>
        <v>NULL</v>
      </c>
      <c r="DY2" s="169" t="str">
        <f t="shared" ref="DY2" si="3">IF(DX2="NULL","NULL",ROUND(DX2*0.5,2))</f>
        <v>NULL</v>
      </c>
      <c r="DZ2" s="151" t="str">
        <f>IF(OR(AND(F2="XRD",G2="V"),CH2="0",CH2="1",CH2="2"),"NULL",IF(AND(OR(BV2="9",BV2="0"),D2="1",OR(ISBLANK(AJ2),AJ2&gt;BN2)),PBGCOFA(DOPT,W2,IF(RIGHT(F2,5)="NMFSP",Z2,X2),Y2,Q2,BN2,"MP","JSC",BS2,BU2,0,DM2,0,DS2,"JS75",0,0,0,0,0,0,0),"NULL"))</f>
        <v>NULL</v>
      </c>
      <c r="EA2" s="169" t="str">
        <f t="shared" ref="EA2" si="4">IF(DZ2="NULL","NULL",ROUND(DZ2*0.75,2))</f>
        <v>NULL</v>
      </c>
      <c r="EB2" s="169" t="str">
        <f>IF(OR(AND(F2="XRD",G2="V"),CH2="0",CH2="1",CH2="2"),"NULL",IF(AND(OR(BV2="9",BV2="0"),D2="1",OR(ISBLANK(AJ2),AJ2&gt;BN2)),PBGCOFA(DOPT,W2,IF(RIGHT(F2,5)="NMFSP",Z2,X2),Y2,Q2,BN2,"MP","JSC",BS2,BU2,0,DM2,0,DS2,"JS100",0,0,0,0,0,0,0),"NULL"))</f>
        <v>NULL</v>
      </c>
      <c r="EC2" s="169" t="str">
        <f>IF(OR(AND(F2="XRD",G2="V"),CH2="0",CH2="1",CH2="2"),"NULL",IF(AND(OR(BV2="9",BV2="0"),D2="1",OR(ISBLANK(AJ2),AJ2&gt;BN2),DS2&lt;&gt;"NULL"),PBGCOFA(DOPT,W2,IF(RIGHT(F2,5)="NMFSP",Z2,X2),Y2,Q2,BN2,"MP","JSC",BS2,BU2,0,DM2,0,DS2,"JSPOP",0,0,0,0,0,0,0),"NULL"))</f>
        <v>NULL</v>
      </c>
      <c r="ED2" s="44"/>
      <c r="EE2" s="44"/>
      <c r="EF2" s="264" t="str">
        <f>IF(AND(F2="DOR",G2="V",OR(AND(CH2="1",BV2="9"),AND(CH2="0",BV2="2"))),DM2,IF(OR(AND(F2="XRD",G2="V"),ISBLANK(CH2),CH2&lt;&gt;"3"),"NULL",IF(CG2="Y",IF(BY2="2",DS2,IF(BZ2=60,DT2,IF(BZ2=120,DU2,DV2))),IF(BV2="2",DS2,IF(BV2="0",EC2,IF(BW2=0.5,DX2,IF(BW2=0.75,DZ2,IF(BW2=1,EB2,IF(BX2=60,DT2,IF(BX2=120,DU2,DV2))))))))))</f>
        <v>NULL</v>
      </c>
      <c r="EG2" s="264" t="str">
        <f>IF(BV2="0",CW2,"NULL")</f>
        <v>NULL</v>
      </c>
      <c r="EH2" s="264" t="str">
        <f>IF(AND(F2="XRD",G2="V"),"NULL",IF(CG2="Y",IF(BY2=2,"Straight Life Annuity",TEXT(BZ2/12,"0")&amp;"-Year Certain-and-Continuous Annuity"),IF(BV2="2","Straight Life Annuity",IF(BV2="5",TEXT(BX2/12,"0")&amp;"-Year Certain-and-Continuous Annuity",IF(BV2="0","Joint-and-50% Survivor Popup Annuity","Joint-and-"&amp;TEXT(BW2*100,"00")&amp;"% Survivor Annuity")))))</f>
        <v>NULL</v>
      </c>
      <c r="EI2" s="44" t="str">
        <f>IF(OR(AND(F2="XRD",G2="V"),ISBLANK(ED2)),"NULL",IF(AND(IF(ISBLANK(EE2),ED2,EE2)&gt;IF(OR(NOT(ISBLANK(EE2)),EF2="NULL"),IF(DN2="NULL",DM2,DN2),EF2),IF(ISBLANK(EE2),ED2,EE2)-IF(OR(NOT(ISBLANK(EE2)),EF2="NULL"),IF(DN2="NULL",DM2,DN2),EF2)&gt;=5),"D",IF(AND(IF(ISBLANK(EE2),ED2,EE2)&gt;IF(OR(NOT(ISBLANK(EE2)),EF2="NULL"),IF(DN2="NULL",DM2,DN2),EF2),IF(ISBLANK(EE2),ED2,EE2)-IF(OR(NOT(ISBLANK(EE2)),EF2="NULL"),IF(DN2="NULL",DM2,DN2),EF2)&lt;5),"N",IF(IF(ISBLANK(EE2),ED2,EE2)=IF(OR(NOT(ISBLANK(EE2)),EF2="NULL"),IF(DN2="NULL",DM2,DN2),EF2),"M","I"))))</f>
        <v>NULL</v>
      </c>
      <c r="EJ2" s="44" t="str">
        <f>IF(OR(AND(F2="XRD",G2="V"),ISBLANK(ED2)),"NULL",IF(EI2="D","Your current monthly benefit of $"&amp;TEXT(IF(ISBLANK(EE2),ED2,EE2),"0.00")&amp;" will decrease to $"&amp;TEXT(IF(OR(NOT(ISBLANK(EE2)),EF2="NULL"),IF(DN2="NULL",DM2,DN2),EF2),"0.00")&amp;" because of the limitations placed on the monthly benefit payable at DOPT.  See the Benefit Calculation section for further details.",IF(EI2="N","Your current monthly benefit of $"&amp;TEXT(IF(ISBLANK(EE2),ED2,EE2),"0.00")&amp;" will not change. Although the amount of the PBGC monthly benefit shown above is slightly less than the amount you are currently receiving, we will not change the amount of your current monthly benefit",IF(EI2="I","Your current monthly benefit of $"&amp;TEXT(IF(ISBLANK(EE2),ED2,EE2),"0.00")&amp;" will increase to $"&amp;TEXT(IF(OR(NOT(ISBLANK(EE2)),EF2="NULL"),IF(DN2="NULL",DM2,DN2),EF2),"0.00")&amp;".","Your current monthly benefit of $"&amp;TEXT(IF(ISBLANK(EE2),ED2,EE2),"0.00")&amp;" will not change."))))</f>
        <v>NULL</v>
      </c>
      <c r="EK2" s="168" t="e">
        <f ca="1">ROUND(DD2*DF2*12,0)</f>
        <v>#NAME?</v>
      </c>
      <c r="EL2" s="168">
        <f>0</f>
        <v>0</v>
      </c>
      <c r="EM2" s="168">
        <f>0</f>
        <v>0</v>
      </c>
      <c r="EN2" s="168" t="e">
        <f t="shared" ref="EN2" ca="1" si="5">EK2+EL2</f>
        <v>#NAME?</v>
      </c>
      <c r="EO2" s="168" t="e">
        <f ca="1">ROUND(DL2*DF2*12,0)</f>
        <v>#NAME?</v>
      </c>
      <c r="EP2" s="168" t="e">
        <f t="shared" ref="EP2" ca="1" si="6">EK2+EO2</f>
        <v>#NAME?</v>
      </c>
      <c r="EQ2" s="168" t="e">
        <f t="shared" ref="EQ2" ca="1" si="7">IF(CI2="9",ROUND(DD2*CB2*DE2*12,0),0)</f>
        <v>#NAME?</v>
      </c>
      <c r="ER2" s="168" t="e">
        <f ca="1">EQ2+EM2</f>
        <v>#NAME?</v>
      </c>
      <c r="ES2" s="168">
        <f>0</f>
        <v>0</v>
      </c>
      <c r="ET2" s="168" t="e">
        <f ca="1">EQ2+ES2</f>
        <v>#NAME?</v>
      </c>
      <c r="EU2" s="20" t="e">
        <f ca="1">EK2+EQ2</f>
        <v>#NAME?</v>
      </c>
      <c r="EV2" s="20">
        <f>DH2</f>
        <v>0</v>
      </c>
      <c r="EW2" s="48" t="e">
        <f ca="1">EU2+EV2</f>
        <v>#NAME?</v>
      </c>
      <c r="EX2" s="48" t="e">
        <f ca="1">EO2+ES2</f>
        <v>#NAME?</v>
      </c>
      <c r="EY2" s="48" t="e">
        <f ca="1">EU2+EX2</f>
        <v>#NAME?</v>
      </c>
      <c r="EZ2" s="17">
        <f t="shared" ref="EZ2" si="8">Load_Percent</f>
        <v>1.11E-2</v>
      </c>
      <c r="FA2" s="20" t="e">
        <f t="shared" ref="FA2" ca="1" si="9">ROUND(EU2*EZ2,0)</f>
        <v>#NAME?</v>
      </c>
      <c r="FB2" s="20">
        <f>ROUND(EV2*EZ2,0)</f>
        <v>0</v>
      </c>
      <c r="FC2" s="48">
        <f>FB2</f>
        <v>0</v>
      </c>
      <c r="FD2" s="48" t="e">
        <f t="shared" ref="FD2" ca="1" si="10">FA2+FC2</f>
        <v>#NAME?</v>
      </c>
      <c r="FE2" s="48" t="e">
        <f ca="1">ROUND(EX2*EZ2,0)</f>
        <v>#NAME?</v>
      </c>
      <c r="FF2" s="48" t="e">
        <f ca="1">FA2+FE2</f>
        <v>#NAME?</v>
      </c>
      <c r="FG2" s="48" t="e">
        <f ca="1">EU2+FA2</f>
        <v>#NAME?</v>
      </c>
      <c r="FH2" s="48">
        <f>DH2+FB2</f>
        <v>0</v>
      </c>
      <c r="FI2" s="48">
        <f>EV2+FC2</f>
        <v>0</v>
      </c>
      <c r="FJ2" s="48" t="e">
        <f ca="1">FG2+FI2</f>
        <v>#NAME?</v>
      </c>
      <c r="FK2" s="48" t="e">
        <f t="shared" ref="FK2" ca="1" si="11">EX2+FE2</f>
        <v>#NAME?</v>
      </c>
      <c r="FL2" s="48" t="e">
        <f ca="1">FG2+FK2</f>
        <v>#NAME?</v>
      </c>
      <c r="FM2" s="99" t="e">
        <f ca="1">IF(CI2="2",1,ROUND(BFCFAEQ("SLA",BR2,BT2,0,IF(OR(CI2="9",CI2="0"),"JSC","SLA"),CJ2,CK2,0,CP2,CP2,S2,IF(S2="M","F","M"),0.065,"GM71","GM71","MP","","","",""),4))</f>
        <v>#NAME?</v>
      </c>
      <c r="FN2" s="114">
        <f>IF(OR(CI2="2",NOT(ISBLANK(X2))),1,ROUND(FM2/CR2,4))</f>
        <v>1</v>
      </c>
      <c r="FO2" s="44" t="e">
        <f ca="1">ROUND(DM2*FN2,2)</f>
        <v>#NAME?</v>
      </c>
      <c r="FP2" s="31" t="e">
        <f ca="1">ROUND(NPVF2("MP",IF(CI2="9","JSC","SLA"),"O",LS_Rates,S2,AX2,BM2,IF(ISBLANK(X2),BM2,IF(BO2="NULL",0,BO2)),CJ2,CK2,0,DOPT,DOPT,"P","",""),4)</f>
        <v>#NAME?</v>
      </c>
      <c r="FQ2" s="185" t="e">
        <f ca="1">ROUND(12*FP2*FO2,0)</f>
        <v>#NAME?</v>
      </c>
      <c r="FR2" s="248" t="str">
        <f>IF(CG2="Y",ROUND(NPVF2("MP","SLA","O",LS_Rates,IF(S2="M","F","M"),AY2,BO2,0,0,0,0,DOPT,DOPT,"P","",""),4),"NULL")</f>
        <v>NULL</v>
      </c>
      <c r="FS2" s="39" t="str">
        <f>IF(CG2="Y",ROUND(DN2*FR2*12,0),"NULL")</f>
        <v>NULL</v>
      </c>
      <c r="FT2" s="185"/>
      <c r="FU2" s="185">
        <v>733000</v>
      </c>
      <c r="FV2" s="185" t="e">
        <f ca="1">IF(FU2&gt;0,MAX(FQ2-FU2,0),"NULL")</f>
        <v>#NAME?</v>
      </c>
      <c r="FW2" s="31" t="e">
        <f ca="1">IF(FQ2&lt;=5000,"Y","N")</f>
        <v>#NAME?</v>
      </c>
      <c r="FX2" s="31" t="e">
        <f t="shared" ref="FX2" ca="1" si="12">IF(FQ2&gt;5000,"A","L")</f>
        <v>#NAME?</v>
      </c>
      <c r="FY2" s="185" t="e">
        <f ca="1">ROUND(EY2*AX2,0)</f>
        <v>#NAME?</v>
      </c>
      <c r="FZ2" s="185" t="e">
        <f ca="1">ROUND(EY2*BM2,0)</f>
        <v>#NAME?</v>
      </c>
      <c r="GA2" s="59" t="e">
        <f ca="1">MIN(MAX(NRD(TODAY(),0),BE2),BD2)</f>
        <v>#NAME?</v>
      </c>
      <c r="GB2" s="203">
        <v>73020</v>
      </c>
      <c r="GC2" s="59" t="e">
        <f ca="1">MIN(MAX(NRD(TODAY(),0),BA2),BD2)</f>
        <v>#NAME?</v>
      </c>
      <c r="GD2" s="203">
        <v>73020</v>
      </c>
      <c r="GE2" s="185" t="e">
        <f ca="1">IF(D2="2","SB",IF(BN2&lt;AM2,"ER","NR"))</f>
        <v>#NAME?</v>
      </c>
      <c r="GF2" s="44" t="str">
        <f>"Y"</f>
        <v>Y</v>
      </c>
      <c r="GG2" s="44" t="str">
        <f>IF(OR(G2="R",ISBLANK(BJ2)),"Y","N")</f>
        <v>N</v>
      </c>
      <c r="GH2" s="44" t="str">
        <f>IF(GF2="N","N",IF(OR(G2="R",ISBLANK(BJ2)),"Y","N"))</f>
        <v>N</v>
      </c>
      <c r="GI2" s="86">
        <v>0</v>
      </c>
      <c r="GJ2" s="3" t="s">
        <v>140</v>
      </c>
      <c r="GK2" s="3" t="s">
        <v>140</v>
      </c>
      <c r="GL2" s="3" t="s">
        <v>442</v>
      </c>
      <c r="GM2" s="3" t="s">
        <v>442</v>
      </c>
      <c r="GN2" s="3" t="s">
        <v>442</v>
      </c>
      <c r="GO2" s="3" t="s">
        <v>442</v>
      </c>
      <c r="GP2" s="3" t="s">
        <v>442</v>
      </c>
      <c r="GQ2" s="3" t="s">
        <v>442</v>
      </c>
    </row>
    <row r="3" spans="1:199" ht="13.5" thickBot="1" x14ac:dyDescent="0.25">
      <c r="A3" s="14"/>
      <c r="B3" s="138"/>
      <c r="C3" s="138"/>
      <c r="D3" s="138"/>
      <c r="E3" s="138"/>
      <c r="F3" s="138"/>
      <c r="G3" s="157"/>
      <c r="H3" s="157"/>
      <c r="I3" s="157"/>
      <c r="J3" s="157"/>
      <c r="K3" s="157"/>
      <c r="L3" s="157"/>
      <c r="M3" s="157"/>
      <c r="N3" s="157"/>
      <c r="O3" s="157"/>
      <c r="P3" s="157"/>
      <c r="Q3" s="157"/>
      <c r="R3" s="57"/>
      <c r="S3" s="57"/>
      <c r="T3" s="57"/>
      <c r="U3" s="43"/>
      <c r="V3" s="43"/>
      <c r="W3" s="43"/>
      <c r="X3" s="43"/>
      <c r="Y3" s="233"/>
      <c r="Z3" s="233"/>
      <c r="AA3" s="233"/>
      <c r="AB3" s="233"/>
      <c r="AC3" s="233"/>
      <c r="AD3" s="43"/>
      <c r="AE3" s="57"/>
      <c r="AF3" s="57"/>
      <c r="AG3" s="57"/>
      <c r="AH3" s="57"/>
      <c r="AI3" s="57"/>
      <c r="AJ3" s="57"/>
      <c r="AK3" s="4"/>
      <c r="AL3" s="4"/>
      <c r="AM3" s="57"/>
      <c r="AN3" s="119"/>
      <c r="AO3" s="57"/>
      <c r="AP3" s="57"/>
      <c r="AQ3" s="239"/>
      <c r="AR3" s="55"/>
      <c r="AS3" s="241"/>
      <c r="AT3" s="241"/>
      <c r="AU3" s="241"/>
      <c r="AV3" s="55"/>
      <c r="AW3" s="241"/>
      <c r="AX3" s="241"/>
      <c r="AY3" s="57"/>
      <c r="AZ3" s="145"/>
      <c r="BA3" s="57"/>
      <c r="BB3" s="57"/>
      <c r="BC3" s="57"/>
      <c r="BD3" s="239"/>
      <c r="BE3" s="239"/>
      <c r="BF3" s="239"/>
      <c r="BG3" s="239"/>
      <c r="BH3" s="300"/>
      <c r="BI3" s="300"/>
      <c r="BJ3" s="239"/>
      <c r="BK3" s="239"/>
      <c r="BL3" s="239"/>
      <c r="BM3" s="239"/>
      <c r="BN3" s="239"/>
      <c r="BO3" s="239"/>
      <c r="BP3" s="239"/>
      <c r="BQ3" s="239"/>
      <c r="BR3" s="239"/>
      <c r="BS3" s="239"/>
      <c r="BT3" s="239"/>
      <c r="BU3" s="239"/>
      <c r="BV3" s="239"/>
      <c r="BW3" s="239"/>
      <c r="BX3" s="239"/>
      <c r="BY3" s="239"/>
      <c r="BZ3" s="239"/>
      <c r="CA3" s="308"/>
      <c r="CB3" s="239"/>
      <c r="CC3" s="239"/>
      <c r="CD3" s="239"/>
      <c r="CE3" s="239"/>
      <c r="CF3" s="239"/>
      <c r="CG3" s="239"/>
      <c r="CH3" s="239"/>
      <c r="CI3" s="239"/>
      <c r="CJ3" s="239"/>
      <c r="CK3" s="239"/>
      <c r="CL3" s="239"/>
      <c r="CM3" s="239"/>
      <c r="CN3" s="239"/>
      <c r="CO3" s="239"/>
      <c r="CP3" s="239"/>
      <c r="CQ3" s="239"/>
      <c r="CR3" s="239"/>
      <c r="CS3" s="239"/>
      <c r="CT3" s="239"/>
      <c r="CU3" s="239"/>
      <c r="CV3" s="239"/>
      <c r="CW3" s="239"/>
      <c r="CX3" s="239"/>
      <c r="CY3" s="239"/>
      <c r="CZ3" s="239"/>
      <c r="DA3" s="239"/>
      <c r="DB3" s="239"/>
      <c r="DC3" s="239"/>
      <c r="DD3" s="239"/>
      <c r="DE3" s="239"/>
      <c r="DF3" s="239"/>
      <c r="DG3" s="239"/>
      <c r="DH3" s="239"/>
      <c r="DI3" s="239"/>
      <c r="DJ3" s="239"/>
      <c r="DK3" s="239"/>
      <c r="DL3" s="239"/>
      <c r="DM3" s="239"/>
      <c r="DN3" s="239"/>
      <c r="DO3" s="239"/>
      <c r="DP3" s="239"/>
      <c r="DQ3" s="239"/>
      <c r="DR3" s="239"/>
      <c r="DS3" s="239"/>
      <c r="DT3" s="239"/>
      <c r="DU3" s="239"/>
      <c r="DV3" s="239"/>
      <c r="DW3" s="239"/>
      <c r="DX3" s="239"/>
      <c r="DY3" s="239"/>
      <c r="DZ3" s="239"/>
      <c r="EA3" s="239"/>
      <c r="EB3" s="239"/>
      <c r="EC3" s="239"/>
      <c r="ED3" s="239"/>
      <c r="EE3" s="239"/>
      <c r="EF3" s="239"/>
      <c r="EG3" s="239"/>
      <c r="EH3" s="239"/>
      <c r="EI3" s="239"/>
      <c r="EJ3" s="239"/>
      <c r="EK3" s="239"/>
      <c r="EL3" s="239"/>
      <c r="EM3" s="239"/>
      <c r="EN3" s="239"/>
      <c r="EO3" s="239"/>
      <c r="EP3" s="239"/>
      <c r="EQ3" s="239"/>
      <c r="ER3" s="239"/>
      <c r="ES3" s="239"/>
      <c r="ET3" s="239"/>
      <c r="EU3" s="239"/>
      <c r="EV3" s="239"/>
      <c r="EW3" s="239"/>
      <c r="EX3" s="239"/>
      <c r="EY3" s="239"/>
      <c r="EZ3" s="239"/>
      <c r="FA3" s="239"/>
      <c r="FB3" s="239"/>
      <c r="FC3" s="239"/>
      <c r="FD3" s="239"/>
      <c r="FE3" s="239"/>
      <c r="FF3" s="239"/>
      <c r="FG3" s="239"/>
      <c r="FH3" s="239"/>
      <c r="FI3" s="239"/>
      <c r="FJ3" s="239"/>
      <c r="FK3" s="239"/>
      <c r="FL3" s="239"/>
      <c r="FM3" s="239"/>
      <c r="FN3" s="239"/>
      <c r="FO3" s="239"/>
      <c r="FP3" s="239"/>
      <c r="FQ3" s="239"/>
      <c r="FR3" s="239"/>
      <c r="FS3" s="239"/>
      <c r="FT3" s="239"/>
      <c r="FU3" s="239"/>
      <c r="FV3" s="239"/>
      <c r="FW3" s="239"/>
      <c r="FX3" s="239"/>
      <c r="FY3" s="239"/>
      <c r="FZ3" s="239"/>
      <c r="GA3" s="239"/>
      <c r="GB3" s="239"/>
      <c r="GC3" s="145"/>
      <c r="GD3" s="145"/>
      <c r="GE3" s="239"/>
      <c r="GF3" s="239"/>
      <c r="GG3" s="239"/>
      <c r="GH3" s="239"/>
      <c r="GI3" s="239"/>
      <c r="GJ3" s="239"/>
      <c r="GK3" s="239"/>
      <c r="GL3" s="239"/>
      <c r="GM3" s="239"/>
      <c r="GN3" s="239"/>
      <c r="GO3" s="239"/>
      <c r="GP3" s="239"/>
      <c r="GQ3" s="239"/>
    </row>
    <row r="4" spans="1:199" ht="13.5" thickTop="1" x14ac:dyDescent="0.2">
      <c r="A4" s="69"/>
      <c r="B4" s="181"/>
      <c r="C4" s="181"/>
      <c r="D4" s="181"/>
      <c r="E4" s="181"/>
      <c r="F4" s="8"/>
      <c r="G4" s="8"/>
      <c r="H4" s="204"/>
      <c r="I4" s="204"/>
      <c r="J4" s="204"/>
      <c r="K4" s="204"/>
      <c r="L4" s="204"/>
      <c r="M4" s="204"/>
      <c r="N4" s="204"/>
      <c r="O4" s="204"/>
      <c r="P4" s="204"/>
      <c r="Q4" s="204"/>
      <c r="R4" s="31"/>
      <c r="S4" s="31"/>
      <c r="T4" s="31"/>
      <c r="U4" s="203"/>
      <c r="V4" s="203"/>
      <c r="W4" s="203"/>
      <c r="X4" s="203"/>
      <c r="Y4" s="32"/>
      <c r="Z4" s="32"/>
      <c r="AA4" s="32"/>
      <c r="AB4" s="32"/>
      <c r="AC4" s="32"/>
      <c r="AD4" s="203"/>
      <c r="AE4" s="31"/>
      <c r="AF4" s="31"/>
      <c r="AG4" s="31"/>
      <c r="AH4" s="31"/>
      <c r="AI4" s="31"/>
      <c r="AJ4" s="31"/>
      <c r="AK4" s="59"/>
      <c r="AL4" s="59"/>
      <c r="AM4" s="31"/>
      <c r="AN4" s="33"/>
      <c r="AO4" s="31"/>
      <c r="AP4" s="31"/>
      <c r="AQ4" s="44"/>
      <c r="AR4" s="99"/>
      <c r="AS4" s="48"/>
      <c r="AT4" s="48"/>
      <c r="AU4" s="48"/>
      <c r="AV4" s="99"/>
      <c r="AW4" s="48"/>
      <c r="AX4" s="48"/>
      <c r="AY4" s="31"/>
      <c r="AZ4" s="185"/>
      <c r="BA4" s="31"/>
      <c r="BB4" s="31"/>
      <c r="BC4" s="31"/>
      <c r="BD4" s="44"/>
      <c r="BE4" s="44"/>
      <c r="BF4" s="44"/>
      <c r="BG4" s="44"/>
      <c r="BH4" s="301"/>
      <c r="BI4" s="301"/>
      <c r="BJ4" s="44"/>
      <c r="BK4" s="44"/>
      <c r="BL4" s="44"/>
      <c r="BM4" s="44"/>
      <c r="BN4" s="44"/>
      <c r="BO4" s="44"/>
      <c r="BP4" s="44"/>
      <c r="BQ4" s="44"/>
      <c r="BR4" s="44"/>
      <c r="BS4" s="44"/>
      <c r="BT4" s="44"/>
      <c r="BU4" s="44"/>
      <c r="BV4" s="44"/>
      <c r="BW4" s="44"/>
      <c r="BX4" s="44"/>
      <c r="BY4" s="44"/>
      <c r="BZ4" s="44"/>
      <c r="CA4" s="309"/>
      <c r="CB4" s="161"/>
      <c r="CC4" s="161"/>
      <c r="CD4" s="161"/>
      <c r="CE4" s="161"/>
      <c r="CF4" s="161"/>
      <c r="CG4" s="44"/>
      <c r="CH4" s="86"/>
      <c r="CI4" s="44"/>
      <c r="CJ4" s="44"/>
      <c r="CK4" s="44"/>
      <c r="CL4" s="44"/>
      <c r="CM4" s="44"/>
      <c r="CN4" s="44"/>
      <c r="CO4" s="44"/>
      <c r="CP4" s="44"/>
      <c r="CQ4" s="44"/>
      <c r="CR4" s="44"/>
      <c r="CS4" s="44"/>
      <c r="CT4" s="44"/>
      <c r="CU4" s="44"/>
      <c r="CV4" s="44"/>
      <c r="CW4" s="161"/>
      <c r="CX4" s="44"/>
      <c r="CY4" s="44"/>
      <c r="CZ4" s="44"/>
      <c r="DA4" s="44"/>
      <c r="DB4" s="44"/>
      <c r="DC4" s="44"/>
      <c r="DD4" s="44"/>
      <c r="DE4" s="99"/>
      <c r="DF4" s="264"/>
      <c r="DG4" s="161"/>
      <c r="DH4" s="161"/>
      <c r="DI4" s="161"/>
      <c r="DJ4" s="234"/>
      <c r="DK4" s="161"/>
      <c r="DL4" s="44"/>
      <c r="DM4" s="44"/>
      <c r="DN4" s="44"/>
      <c r="DO4" s="44"/>
      <c r="DP4" s="44"/>
      <c r="DQ4" s="44"/>
      <c r="DR4" s="44"/>
      <c r="DS4" s="44"/>
      <c r="DT4" s="44"/>
      <c r="DU4" s="44"/>
      <c r="DV4" s="44"/>
      <c r="DW4" s="44"/>
      <c r="DX4" s="44"/>
      <c r="DY4" s="44"/>
      <c r="DZ4" s="44"/>
      <c r="EA4" s="44"/>
      <c r="EB4" s="44"/>
      <c r="EC4" s="44"/>
      <c r="ED4" s="44"/>
      <c r="EE4" s="44"/>
      <c r="EF4" s="264"/>
      <c r="EG4" s="264"/>
      <c r="EH4" s="44"/>
      <c r="EI4" s="44"/>
      <c r="EJ4" s="44"/>
      <c r="EK4" s="278"/>
      <c r="EL4" s="279"/>
      <c r="EM4" s="168"/>
      <c r="EN4" s="44"/>
      <c r="EO4" s="44"/>
      <c r="EP4" s="44"/>
      <c r="EQ4" s="275"/>
      <c r="ER4" s="275"/>
      <c r="ES4" s="275"/>
      <c r="ET4" s="275"/>
      <c r="EU4" s="44"/>
      <c r="EV4" s="44"/>
      <c r="EW4" s="44"/>
      <c r="EX4" s="44"/>
      <c r="EY4" s="44"/>
      <c r="EZ4" s="266"/>
      <c r="FA4" s="266"/>
      <c r="FB4" s="266"/>
      <c r="FC4" s="266"/>
      <c r="FD4" s="266"/>
      <c r="FE4" s="266"/>
      <c r="FF4" s="266"/>
      <c r="FG4" s="44"/>
      <c r="FH4" s="44"/>
      <c r="FI4" s="44"/>
      <c r="FJ4" s="44"/>
      <c r="FK4" s="44"/>
      <c r="FL4" s="44"/>
      <c r="FM4" s="99"/>
      <c r="FN4" s="44"/>
      <c r="FO4" s="44"/>
      <c r="FP4" s="44"/>
      <c r="FQ4" s="44"/>
      <c r="FR4" s="44"/>
      <c r="FS4" s="44"/>
      <c r="FT4" s="314"/>
      <c r="FU4" s="314"/>
      <c r="FV4" s="314"/>
      <c r="FW4" s="44"/>
      <c r="FX4" s="44"/>
      <c r="FY4" s="44"/>
      <c r="FZ4" s="44"/>
      <c r="GA4" s="44"/>
      <c r="GB4" s="44"/>
      <c r="GC4" s="185"/>
      <c r="GD4" s="185"/>
      <c r="GE4" s="44"/>
      <c r="GF4" s="44"/>
      <c r="GG4" s="44"/>
      <c r="GH4" s="44"/>
      <c r="GI4" s="44"/>
      <c r="GJ4" s="44"/>
      <c r="GK4" s="44"/>
      <c r="GL4" s="44"/>
      <c r="GM4" s="44"/>
      <c r="GN4" s="44"/>
      <c r="GO4" s="44"/>
      <c r="GP4" s="44"/>
      <c r="GQ4" s="44"/>
    </row>
    <row r="5" spans="1:199" x14ac:dyDescent="0.2">
      <c r="A5" s="199"/>
      <c r="B5" s="214"/>
      <c r="D5" s="15"/>
      <c r="E5" s="15"/>
      <c r="F5" s="8"/>
      <c r="G5" s="8"/>
      <c r="H5" s="15"/>
      <c r="I5" s="15"/>
      <c r="J5" s="15"/>
      <c r="K5" s="15"/>
      <c r="L5" s="15"/>
      <c r="M5" s="15"/>
      <c r="N5" s="15"/>
      <c r="O5" s="15"/>
      <c r="P5" s="15"/>
      <c r="Q5" s="15"/>
      <c r="R5" s="15"/>
      <c r="S5" s="54"/>
      <c r="T5" s="54"/>
      <c r="U5" s="54"/>
      <c r="V5" s="54"/>
      <c r="W5" s="54"/>
      <c r="X5" s="54"/>
      <c r="Y5" s="54"/>
      <c r="Z5" s="54"/>
      <c r="AA5" s="54"/>
      <c r="AB5" s="54"/>
      <c r="AC5" s="15"/>
      <c r="AD5" s="15"/>
      <c r="AE5" s="15"/>
      <c r="AF5" s="15"/>
      <c r="AG5" s="15"/>
      <c r="AH5" s="15"/>
      <c r="AI5" s="15"/>
      <c r="AJ5" s="15"/>
      <c r="AK5" s="15"/>
      <c r="AL5" s="15"/>
      <c r="AM5" s="54"/>
      <c r="AN5" s="54"/>
      <c r="AO5" s="15"/>
      <c r="AP5" s="15"/>
      <c r="AQ5" s="15"/>
      <c r="AR5" s="15"/>
      <c r="AS5" s="15"/>
      <c r="AT5" s="15"/>
      <c r="AU5" s="54"/>
      <c r="AV5" s="54"/>
      <c r="AW5" s="15"/>
      <c r="AX5" s="54"/>
      <c r="AY5" s="54"/>
      <c r="AZ5" s="161"/>
      <c r="BA5" s="21"/>
      <c r="BB5" s="21"/>
      <c r="BC5" s="21"/>
      <c r="BD5" s="54"/>
      <c r="BE5" s="21"/>
      <c r="BF5" s="21"/>
      <c r="BG5" s="21"/>
      <c r="BH5" s="302"/>
      <c r="BI5" s="302"/>
      <c r="BJ5" s="21"/>
      <c r="BK5" s="21"/>
      <c r="BL5" s="15"/>
      <c r="BM5" s="54"/>
      <c r="BN5" s="54"/>
      <c r="BO5" s="54"/>
      <c r="BP5" s="15"/>
      <c r="BQ5" s="15"/>
      <c r="BR5" s="54"/>
      <c r="BS5" s="54"/>
      <c r="BT5" s="54"/>
      <c r="BU5" s="54"/>
      <c r="BV5" s="15"/>
      <c r="BW5" s="15"/>
      <c r="BX5" s="15"/>
      <c r="BY5" s="15"/>
      <c r="BZ5" s="15"/>
      <c r="CA5" s="309"/>
      <c r="CB5" s="161"/>
      <c r="CC5" s="161"/>
      <c r="CD5" s="161"/>
      <c r="CE5" s="161"/>
      <c r="CF5" s="161"/>
      <c r="CG5" s="54"/>
      <c r="CH5" s="21"/>
      <c r="CI5" s="54"/>
      <c r="CJ5" s="54"/>
      <c r="CK5" s="54"/>
      <c r="CL5" s="54"/>
      <c r="CM5" s="54"/>
      <c r="CN5" s="54"/>
      <c r="CO5" s="54"/>
      <c r="CP5" s="54"/>
      <c r="CQ5" s="54"/>
      <c r="CR5" s="54"/>
      <c r="CS5" s="54"/>
      <c r="CT5" s="54"/>
      <c r="CU5" s="54"/>
      <c r="CV5" s="54"/>
      <c r="CW5" s="161"/>
      <c r="CX5" s="21"/>
      <c r="CY5" s="21"/>
      <c r="CZ5" s="21"/>
      <c r="DA5" s="21"/>
      <c r="DB5" s="161"/>
      <c r="DC5" s="161"/>
      <c r="DD5" s="161"/>
      <c r="DE5" s="99"/>
      <c r="DF5" s="264"/>
      <c r="DG5" s="161"/>
      <c r="DH5" s="161"/>
      <c r="DI5" s="161"/>
      <c r="DJ5" s="161"/>
      <c r="DK5" s="161"/>
      <c r="DL5" s="161"/>
      <c r="DM5" s="21"/>
      <c r="DN5" s="21"/>
      <c r="DO5" s="54"/>
      <c r="DP5" s="54"/>
      <c r="DQ5" s="247"/>
      <c r="DR5" s="247"/>
      <c r="DS5" s="282"/>
      <c r="DT5" s="247"/>
      <c r="DU5" s="247"/>
      <c r="DV5" s="247"/>
      <c r="DW5" s="247"/>
      <c r="DX5" s="247"/>
      <c r="DY5" s="247"/>
      <c r="DZ5" s="247"/>
      <c r="EA5" s="247"/>
      <c r="EB5" s="247"/>
      <c r="EC5" s="247"/>
      <c r="ED5" s="21"/>
      <c r="EE5" s="21"/>
      <c r="EF5" s="54"/>
      <c r="EG5" s="54"/>
      <c r="EH5" s="54"/>
      <c r="EI5" s="54"/>
      <c r="EJ5" s="54"/>
      <c r="EK5" s="15"/>
      <c r="EL5" s="161"/>
      <c r="EM5" s="275"/>
      <c r="EN5" s="15"/>
      <c r="EO5" s="15"/>
      <c r="EP5" s="15"/>
      <c r="EQ5" s="275"/>
      <c r="ER5" s="275"/>
      <c r="ES5" s="275"/>
      <c r="ET5" s="275"/>
      <c r="EU5" s="15"/>
      <c r="EV5" s="15"/>
      <c r="EW5" s="15"/>
      <c r="EX5" s="15"/>
      <c r="EY5" s="15"/>
      <c r="EZ5" s="267"/>
      <c r="FA5" s="268"/>
      <c r="FB5" s="268"/>
      <c r="FC5" s="268"/>
      <c r="FD5" s="268"/>
      <c r="FE5" s="268"/>
      <c r="FF5" s="268"/>
      <c r="FG5" s="15"/>
      <c r="FH5" s="15"/>
      <c r="FI5" s="15"/>
      <c r="FJ5" s="15"/>
      <c r="FK5" s="15"/>
      <c r="FL5" s="15"/>
      <c r="FM5" s="54"/>
      <c r="FN5" s="54"/>
      <c r="FO5" s="15"/>
      <c r="FP5" s="54"/>
      <c r="FQ5" s="54"/>
      <c r="FR5" s="54"/>
      <c r="FS5" s="54"/>
      <c r="FT5" s="315"/>
      <c r="FU5" s="315"/>
      <c r="FV5" s="315"/>
      <c r="FW5" s="54"/>
      <c r="FX5" s="54"/>
      <c r="FY5" s="54"/>
      <c r="FZ5" s="54"/>
      <c r="GA5" s="21"/>
      <c r="GB5" s="54"/>
      <c r="GC5" s="59"/>
      <c r="GD5" s="54"/>
      <c r="GE5" s="54"/>
      <c r="GF5" s="54"/>
      <c r="GG5" s="54"/>
      <c r="GH5" s="54"/>
      <c r="GI5" s="54"/>
      <c r="GJ5" s="54"/>
      <c r="GK5" s="54"/>
      <c r="GL5" s="15"/>
      <c r="GM5" s="15"/>
      <c r="GN5" s="15"/>
      <c r="GO5" s="15"/>
      <c r="GP5" s="15"/>
      <c r="GQ5" s="15"/>
    </row>
    <row r="6" spans="1:199" x14ac:dyDescent="0.2">
      <c r="A6" s="199"/>
      <c r="B6" s="167"/>
      <c r="D6" s="15"/>
      <c r="E6" s="15"/>
      <c r="F6" s="8"/>
      <c r="G6" s="8"/>
      <c r="H6" s="15"/>
      <c r="I6" s="15"/>
      <c r="J6" s="15"/>
      <c r="K6" s="15"/>
      <c r="L6" s="15"/>
      <c r="M6" s="15"/>
      <c r="N6" s="15"/>
      <c r="O6" s="15"/>
      <c r="P6" s="15"/>
      <c r="Q6" s="15"/>
      <c r="R6" s="15"/>
      <c r="S6" s="15"/>
      <c r="T6" s="15"/>
      <c r="U6" s="15"/>
      <c r="V6" s="15"/>
      <c r="W6" s="230"/>
      <c r="X6" s="230"/>
      <c r="Y6" s="15"/>
      <c r="Z6" s="15"/>
      <c r="AA6" s="15"/>
      <c r="AB6" s="15"/>
      <c r="AC6" s="230"/>
      <c r="AD6" s="230"/>
      <c r="AE6" s="230"/>
      <c r="AF6" s="230"/>
      <c r="AG6" s="230"/>
      <c r="AH6" s="230"/>
      <c r="AI6" s="15"/>
      <c r="AJ6" s="15"/>
      <c r="AK6" s="15"/>
      <c r="AL6" s="15"/>
      <c r="AM6" s="203"/>
      <c r="AN6" s="15"/>
      <c r="AO6" s="15"/>
      <c r="AP6" s="15"/>
      <c r="AQ6" s="15"/>
      <c r="AR6" s="15"/>
      <c r="AS6" s="15"/>
      <c r="AT6" s="15"/>
      <c r="AU6" s="15"/>
      <c r="AV6" s="15"/>
      <c r="AW6" s="15"/>
      <c r="AX6" s="15"/>
      <c r="AY6" s="15"/>
      <c r="AZ6" s="161"/>
      <c r="BA6" s="102"/>
      <c r="BB6" s="102"/>
      <c r="BC6" s="102"/>
      <c r="BD6" s="15"/>
      <c r="BE6" s="102"/>
      <c r="BF6" s="102"/>
      <c r="BG6" s="102"/>
      <c r="BH6" s="296"/>
      <c r="BI6" s="296"/>
      <c r="BJ6" s="102"/>
      <c r="BK6" s="102"/>
      <c r="BL6" s="15"/>
      <c r="BM6" s="15"/>
      <c r="BN6" s="15"/>
      <c r="BO6" s="15"/>
      <c r="BP6" s="15"/>
      <c r="BQ6" s="15"/>
      <c r="BR6" s="15"/>
      <c r="BS6" s="15"/>
      <c r="BT6" s="15"/>
      <c r="BU6" s="15"/>
      <c r="BV6" s="15"/>
      <c r="BW6" s="15"/>
      <c r="BX6" s="15"/>
      <c r="BY6" s="15"/>
      <c r="BZ6" s="15"/>
      <c r="CA6" s="310"/>
      <c r="CC6" s="161"/>
      <c r="CD6" s="161"/>
      <c r="CE6" s="161"/>
      <c r="CF6" s="161"/>
      <c r="CG6" s="15"/>
      <c r="CH6" s="102"/>
      <c r="CI6" s="15"/>
      <c r="CJ6" s="15"/>
      <c r="CK6" s="15"/>
      <c r="CL6" s="15"/>
      <c r="CM6" s="15"/>
      <c r="CN6" s="15"/>
      <c r="CO6" s="10"/>
      <c r="CP6" s="10"/>
      <c r="CQ6" s="10"/>
      <c r="CR6" s="99"/>
      <c r="CS6" s="10"/>
      <c r="CT6" s="10"/>
      <c r="CU6" s="10"/>
      <c r="CV6" s="10"/>
      <c r="CW6" s="161"/>
      <c r="CX6" s="263"/>
      <c r="CY6" s="263"/>
      <c r="CZ6" s="102"/>
      <c r="DA6" s="102"/>
      <c r="DB6" s="161"/>
      <c r="DC6" s="161"/>
      <c r="DD6" s="161"/>
      <c r="DE6" s="99"/>
      <c r="DF6" s="264"/>
      <c r="DG6" s="161"/>
      <c r="DH6" s="161"/>
      <c r="DI6" s="161"/>
      <c r="DJ6" s="265"/>
      <c r="DK6" s="161"/>
      <c r="DL6" s="7"/>
      <c r="DM6" s="102"/>
      <c r="DN6" s="102"/>
      <c r="DO6" s="15"/>
      <c r="DP6" s="15"/>
      <c r="DQ6" s="228"/>
      <c r="DR6" s="228"/>
      <c r="DS6" s="228"/>
      <c r="DT6" s="228"/>
      <c r="DU6" s="228"/>
      <c r="DV6" s="228"/>
      <c r="DW6" s="228"/>
      <c r="DX6" s="228"/>
      <c r="DY6" s="228"/>
      <c r="DZ6" s="228"/>
      <c r="EA6" s="228"/>
      <c r="EB6" s="228"/>
      <c r="EC6" s="228"/>
      <c r="ED6" s="102"/>
      <c r="EE6" s="102"/>
      <c r="EF6" s="15"/>
      <c r="EG6" s="15"/>
      <c r="EH6" s="15"/>
      <c r="EI6" s="15"/>
      <c r="EJ6" s="15"/>
      <c r="EK6" s="15"/>
      <c r="EL6" s="280"/>
      <c r="EM6" s="275"/>
      <c r="EN6" s="15"/>
      <c r="EO6" s="15"/>
      <c r="EP6" s="15"/>
      <c r="EQ6" s="281"/>
      <c r="ER6" s="275"/>
      <c r="ES6" s="275"/>
      <c r="ET6" s="275"/>
      <c r="EU6" s="15"/>
      <c r="EV6" s="15"/>
      <c r="EW6" s="15"/>
      <c r="EX6" s="15"/>
      <c r="EY6" s="15"/>
      <c r="EZ6" s="269"/>
      <c r="FA6" s="268"/>
      <c r="FB6" s="268"/>
      <c r="FC6" s="268"/>
      <c r="FD6" s="268"/>
      <c r="FE6" s="268"/>
      <c r="FF6" s="268"/>
      <c r="FG6" s="15"/>
      <c r="FH6" s="15"/>
      <c r="FI6" s="15"/>
      <c r="FJ6" s="15"/>
      <c r="FK6" s="15"/>
      <c r="FL6" s="15"/>
      <c r="FM6" s="10"/>
      <c r="FN6" s="10"/>
      <c r="FO6" s="15"/>
      <c r="FP6" s="10"/>
      <c r="FQ6" s="10"/>
      <c r="FR6" s="15"/>
      <c r="FS6" s="15"/>
      <c r="FT6" s="316"/>
      <c r="FU6" s="316"/>
      <c r="FV6" s="316"/>
      <c r="FW6" s="15"/>
      <c r="FX6" s="15"/>
      <c r="FY6" s="15"/>
      <c r="FZ6" s="15"/>
      <c r="GA6" s="102"/>
      <c r="GB6" s="15"/>
      <c r="GC6" s="102"/>
      <c r="GD6" s="15"/>
      <c r="GE6" s="15"/>
      <c r="GF6" s="15"/>
      <c r="GG6" s="15"/>
      <c r="GH6" s="15"/>
      <c r="GI6" s="15"/>
      <c r="GJ6" s="15"/>
      <c r="GK6" s="15"/>
      <c r="GL6" s="54"/>
      <c r="GM6" s="54"/>
      <c r="GN6" s="54"/>
      <c r="GO6" s="54"/>
      <c r="GP6" s="54"/>
      <c r="GQ6" s="54"/>
    </row>
    <row r="7" spans="1:199" x14ac:dyDescent="0.2">
      <c r="A7" s="199"/>
      <c r="B7" s="130"/>
      <c r="D7" s="15"/>
      <c r="E7" s="15"/>
      <c r="F7" s="8"/>
      <c r="G7" s="8"/>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61"/>
      <c r="BA7" s="102"/>
      <c r="BB7" s="102"/>
      <c r="BC7" s="102"/>
      <c r="BD7" s="15"/>
      <c r="BE7" s="102"/>
      <c r="BF7" s="102"/>
      <c r="BG7" s="102"/>
      <c r="BH7" s="296"/>
      <c r="BI7" s="296"/>
      <c r="BJ7" s="102"/>
      <c r="BK7" s="102"/>
      <c r="BL7" s="15"/>
      <c r="BM7" s="15"/>
      <c r="BN7" s="15"/>
      <c r="BO7" s="15"/>
      <c r="BP7" s="15"/>
      <c r="BQ7" s="15"/>
      <c r="BR7" s="15"/>
      <c r="BS7" s="15"/>
      <c r="BT7" s="15"/>
      <c r="BU7" s="15"/>
      <c r="BV7" s="15"/>
      <c r="BW7" s="15"/>
      <c r="BX7" s="15"/>
      <c r="BY7" s="15"/>
      <c r="BZ7" s="15"/>
      <c r="CA7" s="309"/>
      <c r="CB7" s="161"/>
      <c r="CC7" s="161"/>
      <c r="CD7" s="161"/>
      <c r="CE7" s="161"/>
      <c r="CF7" s="161"/>
      <c r="CG7" s="15"/>
      <c r="CH7" s="102"/>
      <c r="CI7" s="15"/>
      <c r="CJ7" s="15"/>
      <c r="CK7" s="15"/>
      <c r="CL7" s="15"/>
      <c r="CM7" s="15"/>
      <c r="CN7" s="15"/>
      <c r="CO7" s="10"/>
      <c r="CP7" s="10"/>
      <c r="CQ7" s="10"/>
      <c r="CR7" s="10"/>
      <c r="CS7" s="10"/>
      <c r="CT7" s="10"/>
      <c r="CU7" s="10"/>
      <c r="CV7" s="10"/>
      <c r="CW7" s="161"/>
      <c r="CX7" s="102"/>
      <c r="CY7" s="102"/>
      <c r="CZ7" s="102"/>
      <c r="DA7" s="102"/>
      <c r="DB7" s="161"/>
      <c r="DC7" s="161"/>
      <c r="DD7" s="161"/>
      <c r="DE7" s="99"/>
      <c r="DF7" s="264"/>
      <c r="DG7" s="161"/>
      <c r="DH7" s="161"/>
      <c r="DI7" s="161"/>
      <c r="DJ7" s="161"/>
      <c r="DK7" s="161"/>
      <c r="DL7" s="161"/>
      <c r="DM7" s="102"/>
      <c r="DN7" s="102"/>
      <c r="DO7" s="15"/>
      <c r="DP7" s="15"/>
      <c r="DQ7" s="228"/>
      <c r="DR7" s="228"/>
      <c r="DS7" s="228"/>
      <c r="DT7" s="228"/>
      <c r="DU7" s="228"/>
      <c r="DV7" s="228"/>
      <c r="DW7" s="228"/>
      <c r="DX7" s="228"/>
      <c r="DY7" s="228"/>
      <c r="DZ7" s="228"/>
      <c r="EA7" s="228"/>
      <c r="EB7" s="228"/>
      <c r="EC7" s="228"/>
      <c r="ED7" s="102"/>
      <c r="EE7" s="102"/>
      <c r="EF7" s="15"/>
      <c r="EG7" s="15"/>
      <c r="EH7" s="15"/>
      <c r="EI7" s="15"/>
      <c r="EJ7" s="15"/>
      <c r="EL7" s="168"/>
      <c r="EM7" s="275"/>
      <c r="EN7" s="15"/>
      <c r="EO7" s="15"/>
      <c r="EP7" s="15"/>
      <c r="EQ7" s="275"/>
      <c r="ER7" s="275"/>
      <c r="ES7" s="275"/>
      <c r="ET7" s="275"/>
      <c r="EU7" s="15"/>
      <c r="EV7" s="15"/>
      <c r="EW7" s="15"/>
      <c r="EX7" s="15"/>
      <c r="EY7" s="15"/>
      <c r="EZ7" s="269"/>
      <c r="FA7" s="268"/>
      <c r="FB7" s="268"/>
      <c r="FC7" s="268"/>
      <c r="FD7" s="268"/>
      <c r="FE7" s="268"/>
      <c r="FF7" s="268"/>
      <c r="FG7" s="15"/>
      <c r="FH7" s="15"/>
      <c r="FI7" s="15"/>
      <c r="FJ7" s="15"/>
      <c r="FK7" s="15"/>
      <c r="FL7" s="15"/>
      <c r="FM7" s="15"/>
      <c r="FN7" s="15"/>
      <c r="FO7" s="15"/>
      <c r="FP7" s="10"/>
      <c r="FQ7" s="10"/>
      <c r="FR7" s="15"/>
      <c r="FS7" s="15"/>
      <c r="FT7" s="316"/>
      <c r="FU7" s="316"/>
      <c r="FV7" s="316"/>
      <c r="FW7" s="15"/>
      <c r="FX7" s="15"/>
      <c r="FY7" s="15"/>
      <c r="FZ7" s="15"/>
      <c r="GA7" s="102"/>
      <c r="GB7" s="15"/>
      <c r="GC7" s="102"/>
      <c r="GD7" s="15"/>
      <c r="GE7" s="15"/>
      <c r="GF7" s="15"/>
      <c r="GG7" s="15"/>
      <c r="GH7" s="15"/>
      <c r="GI7" s="15"/>
      <c r="GJ7" s="15"/>
      <c r="GK7" s="15"/>
      <c r="GL7" s="15"/>
      <c r="GM7" s="15"/>
      <c r="GN7" s="15"/>
      <c r="GO7" s="15"/>
      <c r="GP7" s="15"/>
      <c r="GQ7" s="15"/>
    </row>
    <row r="8" spans="1:199" x14ac:dyDescent="0.2">
      <c r="A8" s="199"/>
      <c r="B8" s="218"/>
      <c r="D8" s="15"/>
      <c r="E8" s="15"/>
      <c r="F8" s="8"/>
      <c r="G8" s="8"/>
      <c r="H8" s="15"/>
      <c r="I8" s="15"/>
      <c r="J8" s="15"/>
      <c r="K8" s="15"/>
      <c r="L8" s="15"/>
      <c r="M8" s="15"/>
      <c r="N8" s="15"/>
      <c r="O8" s="15"/>
      <c r="P8" s="15"/>
      <c r="Q8" s="15"/>
      <c r="R8" s="15"/>
      <c r="S8" s="54"/>
      <c r="T8" s="54"/>
      <c r="U8" s="54"/>
      <c r="V8" s="54"/>
      <c r="W8" s="54"/>
      <c r="X8" s="54"/>
      <c r="Y8" s="54"/>
      <c r="Z8" s="54"/>
      <c r="AA8" s="54"/>
      <c r="AB8" s="54"/>
      <c r="AC8" s="15"/>
      <c r="AD8" s="15"/>
      <c r="AE8" s="15"/>
      <c r="AF8" s="15"/>
      <c r="AG8" s="15"/>
      <c r="AH8" s="15"/>
      <c r="AI8" s="15"/>
      <c r="AJ8" s="15"/>
      <c r="AK8" s="15"/>
      <c r="AL8" s="15"/>
      <c r="AM8" s="54"/>
      <c r="AN8" s="54"/>
      <c r="AO8" s="15"/>
      <c r="AP8" s="15"/>
      <c r="AQ8" s="15"/>
      <c r="AR8" s="15"/>
      <c r="AS8" s="15"/>
      <c r="AT8" s="15"/>
      <c r="AU8" s="54"/>
      <c r="AV8" s="54"/>
      <c r="AW8" s="15"/>
      <c r="AX8" s="54"/>
      <c r="AY8" s="54"/>
      <c r="AZ8" s="102"/>
      <c r="BA8" s="21"/>
      <c r="BB8" s="21"/>
      <c r="BC8" s="21"/>
      <c r="BD8" s="54"/>
      <c r="BE8" s="21"/>
      <c r="BF8" s="21"/>
      <c r="BG8" s="21"/>
      <c r="BH8" s="302"/>
      <c r="BI8" s="302"/>
      <c r="BJ8" s="21"/>
      <c r="BK8" s="21"/>
      <c r="BL8" s="15"/>
      <c r="BM8" s="54"/>
      <c r="BN8" s="54"/>
      <c r="BO8" s="54"/>
      <c r="BP8" s="15"/>
      <c r="BQ8" s="15"/>
      <c r="BR8" s="54"/>
      <c r="BS8" s="54"/>
      <c r="BT8" s="54"/>
      <c r="BU8" s="54"/>
      <c r="BV8" s="15"/>
      <c r="BW8" s="15"/>
      <c r="BX8" s="15"/>
      <c r="BY8" s="15"/>
      <c r="BZ8" s="15"/>
      <c r="CA8" s="309"/>
      <c r="CB8" s="161"/>
      <c r="CC8" s="161"/>
      <c r="CD8" s="161"/>
      <c r="CE8" s="161"/>
      <c r="CF8" s="161"/>
      <c r="CG8" s="54"/>
      <c r="CH8" s="21"/>
      <c r="CI8" s="54"/>
      <c r="CJ8" s="54"/>
      <c r="CK8" s="54"/>
      <c r="CL8" s="54"/>
      <c r="CM8" s="54"/>
      <c r="CN8" s="54"/>
      <c r="CO8" s="137"/>
      <c r="CP8" s="137"/>
      <c r="CQ8" s="137"/>
      <c r="CR8" s="137"/>
      <c r="CS8" s="137"/>
      <c r="CT8" s="137"/>
      <c r="CU8" s="137"/>
      <c r="CV8" s="137"/>
      <c r="CW8" s="161"/>
      <c r="CX8" s="21"/>
      <c r="CY8" s="21"/>
      <c r="CZ8" s="21"/>
      <c r="DA8" s="21"/>
      <c r="DB8" s="102"/>
      <c r="DC8" s="102"/>
      <c r="DD8" s="102"/>
      <c r="DE8" s="161"/>
      <c r="DF8" s="137"/>
      <c r="DG8" s="161"/>
      <c r="DH8" s="161"/>
      <c r="DI8" s="161"/>
      <c r="DJ8" s="161"/>
      <c r="DK8" s="161"/>
      <c r="DL8" s="102"/>
      <c r="DM8" s="21"/>
      <c r="DN8" s="21"/>
      <c r="DO8" s="54"/>
      <c r="DP8" s="54"/>
      <c r="DQ8" s="247"/>
      <c r="DR8" s="247"/>
      <c r="DS8" s="247"/>
      <c r="DT8" s="247"/>
      <c r="DU8" s="247"/>
      <c r="DV8" s="247"/>
      <c r="DW8" s="247"/>
      <c r="DX8" s="247"/>
      <c r="DY8" s="247"/>
      <c r="DZ8" s="247"/>
      <c r="EA8" s="247"/>
      <c r="EB8" s="247"/>
      <c r="EC8" s="247"/>
      <c r="ED8" s="21"/>
      <c r="EE8" s="21"/>
      <c r="EF8" s="54"/>
      <c r="EG8" s="54"/>
      <c r="EH8" s="54"/>
      <c r="EI8" s="54"/>
      <c r="EJ8" s="54"/>
      <c r="EK8" s="15"/>
      <c r="EL8" s="161"/>
      <c r="EM8" s="275"/>
      <c r="EN8" s="15"/>
      <c r="EO8" s="15"/>
      <c r="EP8" s="15"/>
      <c r="EQ8" s="275"/>
      <c r="ER8" s="275"/>
      <c r="ES8" s="275"/>
      <c r="ET8" s="275"/>
      <c r="EU8" s="15"/>
      <c r="EV8" s="15"/>
      <c r="EW8" s="15"/>
      <c r="EX8" s="15"/>
      <c r="EY8" s="15"/>
      <c r="EZ8" s="270"/>
      <c r="FA8" s="268"/>
      <c r="FB8" s="268"/>
      <c r="FC8" s="268"/>
      <c r="FD8" s="268"/>
      <c r="FE8" s="268"/>
      <c r="FF8" s="268"/>
      <c r="FG8" s="15"/>
      <c r="FH8" s="15"/>
      <c r="FI8" s="15"/>
      <c r="FJ8" s="15"/>
      <c r="FK8" s="15"/>
      <c r="FL8" s="15"/>
      <c r="FM8" s="54"/>
      <c r="FN8" s="54"/>
      <c r="FO8" s="15"/>
      <c r="FP8" s="137"/>
      <c r="FQ8" s="137"/>
      <c r="FR8" s="54"/>
      <c r="FS8" s="54"/>
      <c r="FT8" s="317"/>
      <c r="FU8" s="317"/>
      <c r="FV8" s="317"/>
      <c r="FW8" s="54"/>
      <c r="FX8" s="54"/>
      <c r="FY8" s="54"/>
      <c r="FZ8" s="54"/>
      <c r="GA8" s="21"/>
      <c r="GB8" s="54"/>
      <c r="GC8" s="21"/>
      <c r="GD8" s="54"/>
      <c r="GE8" s="54"/>
      <c r="GF8" s="54"/>
      <c r="GG8" s="54"/>
      <c r="GH8" s="54"/>
      <c r="GI8" s="54"/>
      <c r="GJ8" s="54"/>
      <c r="GK8" s="54"/>
      <c r="GL8" s="15"/>
      <c r="GM8" s="15"/>
      <c r="GN8" s="15"/>
      <c r="GO8" s="15"/>
      <c r="GP8" s="15"/>
      <c r="GQ8" s="15"/>
    </row>
    <row r="9" spans="1:199" ht="13.5" thickBot="1" x14ac:dyDescent="0.25">
      <c r="A9" s="199"/>
      <c r="B9" s="15"/>
      <c r="D9" s="15"/>
      <c r="E9" s="15"/>
      <c r="F9" s="8"/>
      <c r="G9" s="8"/>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296"/>
      <c r="BI9" s="296"/>
      <c r="BJ9" s="15"/>
      <c r="BK9" s="15"/>
      <c r="BL9" s="15"/>
      <c r="BM9" s="15"/>
      <c r="BN9" s="15"/>
      <c r="BO9" s="15"/>
      <c r="BP9" s="15"/>
      <c r="BQ9" s="15"/>
      <c r="BR9" s="15"/>
      <c r="BS9" s="15"/>
      <c r="BT9" s="15"/>
      <c r="BU9" s="15"/>
      <c r="BV9" s="15"/>
      <c r="BW9" s="15"/>
      <c r="BX9" s="15"/>
      <c r="BY9" s="15"/>
      <c r="BZ9" s="15"/>
      <c r="CA9" s="309"/>
      <c r="CB9" s="161"/>
      <c r="CC9" s="161"/>
      <c r="CD9" s="161"/>
      <c r="CE9" s="161"/>
      <c r="CF9" s="161"/>
      <c r="CG9" s="15"/>
      <c r="CH9" s="15"/>
      <c r="CI9" s="15"/>
      <c r="CJ9" s="15"/>
      <c r="CK9" s="15"/>
      <c r="CL9" s="15"/>
      <c r="CM9" s="15"/>
      <c r="CN9" s="15"/>
      <c r="CO9" s="15"/>
      <c r="CP9" s="15"/>
      <c r="CQ9" s="15"/>
      <c r="CR9" s="15"/>
      <c r="CS9" s="15"/>
      <c r="CT9" s="15"/>
      <c r="CU9" s="15"/>
      <c r="CV9" s="15"/>
      <c r="CW9" s="161"/>
      <c r="CX9" s="15"/>
      <c r="CY9" s="15"/>
      <c r="CZ9" s="15"/>
      <c r="DA9" s="15"/>
      <c r="DB9" s="15"/>
      <c r="DC9" s="15"/>
      <c r="DD9" s="15"/>
      <c r="DE9" s="161"/>
      <c r="DF9" s="15"/>
      <c r="DG9" s="161"/>
      <c r="DH9" s="161"/>
      <c r="DI9" s="161"/>
      <c r="DJ9" s="161"/>
      <c r="DK9" s="161"/>
      <c r="DL9" s="15"/>
      <c r="DM9" s="15"/>
      <c r="DN9" s="15"/>
      <c r="DO9" s="15"/>
      <c r="DP9" s="15"/>
      <c r="DQ9" s="8"/>
      <c r="DR9" s="8"/>
      <c r="DS9" s="8"/>
      <c r="DT9" s="8"/>
      <c r="DU9" s="8"/>
      <c r="DV9" s="8"/>
      <c r="DW9" s="8"/>
      <c r="DX9" s="8"/>
      <c r="DY9" s="8"/>
      <c r="DZ9" s="8"/>
      <c r="EA9" s="8"/>
      <c r="EB9" s="8"/>
      <c r="EC9" s="8"/>
      <c r="ED9" s="15"/>
      <c r="EE9" s="15"/>
      <c r="EF9" s="15"/>
      <c r="EG9" s="15"/>
      <c r="EH9" s="15"/>
      <c r="EI9" s="15"/>
      <c r="EJ9" s="15"/>
      <c r="EK9" s="15"/>
      <c r="EL9" s="161"/>
      <c r="EM9" s="275"/>
      <c r="EN9" s="15"/>
      <c r="EO9" s="15"/>
      <c r="EP9" s="15"/>
      <c r="EQ9" s="275"/>
      <c r="ER9" s="275"/>
      <c r="ES9" s="275"/>
      <c r="ET9" s="275"/>
      <c r="EU9" s="15"/>
      <c r="EV9" s="15"/>
      <c r="EW9" s="15"/>
      <c r="EX9" s="15"/>
      <c r="EY9" s="15"/>
      <c r="EZ9" s="268"/>
      <c r="FA9" s="268"/>
      <c r="FB9" s="268"/>
      <c r="FC9" s="268"/>
      <c r="FD9" s="268"/>
      <c r="FE9" s="268"/>
      <c r="FF9" s="268"/>
      <c r="FG9" s="15"/>
      <c r="FH9" s="15"/>
      <c r="FI9" s="15"/>
      <c r="FJ9" s="15"/>
      <c r="FK9" s="15"/>
      <c r="FL9" s="15"/>
      <c r="FM9" s="15"/>
      <c r="FN9" s="15"/>
      <c r="FO9" s="15"/>
      <c r="FP9" s="15"/>
      <c r="FQ9" s="15"/>
      <c r="FR9" s="15"/>
      <c r="FS9" s="15"/>
      <c r="FT9" s="318"/>
      <c r="FU9" s="318"/>
      <c r="FV9" s="318"/>
      <c r="FW9" s="15"/>
      <c r="FX9" s="15"/>
      <c r="FY9" s="15"/>
      <c r="FZ9" s="15"/>
      <c r="GA9" s="15"/>
      <c r="GB9" s="15"/>
      <c r="GC9" s="15"/>
      <c r="GD9" s="15"/>
      <c r="GE9" s="15"/>
      <c r="GF9" s="15"/>
      <c r="GG9" s="15"/>
      <c r="GH9" s="15"/>
      <c r="GI9" s="15"/>
      <c r="GJ9" s="15"/>
      <c r="GK9" s="15"/>
      <c r="GL9" s="54"/>
      <c r="GM9" s="54"/>
      <c r="GN9" s="54"/>
      <c r="GO9" s="54"/>
      <c r="GP9" s="54"/>
      <c r="GQ9" s="54"/>
    </row>
    <row r="10" spans="1:199" ht="14.25" thickTop="1" thickBot="1" x14ac:dyDescent="0.25">
      <c r="A10" s="199" t="s">
        <v>76</v>
      </c>
      <c r="B10" s="35" t="s">
        <v>265</v>
      </c>
      <c r="C10" s="35" t="s">
        <v>265</v>
      </c>
      <c r="D10" s="35" t="s">
        <v>265</v>
      </c>
      <c r="E10" s="35" t="s">
        <v>265</v>
      </c>
      <c r="F10" s="72" t="s">
        <v>442</v>
      </c>
      <c r="G10" s="72" t="s">
        <v>556</v>
      </c>
      <c r="H10" s="35" t="s">
        <v>265</v>
      </c>
      <c r="I10" s="35" t="s">
        <v>265</v>
      </c>
      <c r="J10" s="35" t="s">
        <v>265</v>
      </c>
      <c r="K10" s="35" t="s">
        <v>265</v>
      </c>
      <c r="L10" s="35" t="s">
        <v>265</v>
      </c>
      <c r="M10" s="35" t="s">
        <v>265</v>
      </c>
      <c r="N10" s="35" t="s">
        <v>265</v>
      </c>
      <c r="O10" s="35" t="s">
        <v>265</v>
      </c>
      <c r="P10" s="35" t="s">
        <v>265</v>
      </c>
      <c r="Q10" s="35" t="s">
        <v>265</v>
      </c>
      <c r="R10" s="35" t="s">
        <v>265</v>
      </c>
      <c r="S10" s="35" t="s">
        <v>265</v>
      </c>
      <c r="T10" s="35" t="s">
        <v>265</v>
      </c>
      <c r="U10" s="35" t="s">
        <v>265</v>
      </c>
      <c r="V10" s="35" t="s">
        <v>265</v>
      </c>
      <c r="W10" s="35" t="s">
        <v>265</v>
      </c>
      <c r="X10" s="35" t="s">
        <v>265</v>
      </c>
      <c r="Y10" s="35" t="s">
        <v>265</v>
      </c>
      <c r="Z10" s="35" t="s">
        <v>456</v>
      </c>
      <c r="AA10" s="35" t="s">
        <v>556</v>
      </c>
      <c r="AB10" s="35" t="s">
        <v>265</v>
      </c>
      <c r="AC10" s="35" t="s">
        <v>456</v>
      </c>
      <c r="AD10" s="35" t="s">
        <v>456</v>
      </c>
      <c r="AE10" s="35" t="s">
        <v>456</v>
      </c>
      <c r="AF10" s="35" t="s">
        <v>456</v>
      </c>
      <c r="AG10" s="35" t="s">
        <v>265</v>
      </c>
      <c r="AH10" s="35" t="s">
        <v>456</v>
      </c>
      <c r="AI10" s="35" t="s">
        <v>265</v>
      </c>
      <c r="AJ10" s="35" t="s">
        <v>265</v>
      </c>
      <c r="AK10" s="35" t="s">
        <v>265</v>
      </c>
      <c r="AL10" s="35" t="s">
        <v>265</v>
      </c>
      <c r="AM10" s="35" t="s">
        <v>456</v>
      </c>
      <c r="AN10" s="35" t="s">
        <v>456</v>
      </c>
      <c r="AO10" s="35" t="s">
        <v>456</v>
      </c>
      <c r="AP10" s="35" t="s">
        <v>265</v>
      </c>
      <c r="AQ10" s="35" t="s">
        <v>456</v>
      </c>
      <c r="AR10" s="35" t="s">
        <v>265</v>
      </c>
      <c r="AS10" s="35" t="s">
        <v>456</v>
      </c>
      <c r="AT10" s="35" t="s">
        <v>456</v>
      </c>
      <c r="AU10" s="35" t="s">
        <v>456</v>
      </c>
      <c r="AV10" s="35" t="s">
        <v>456</v>
      </c>
      <c r="AW10" s="35" t="s">
        <v>456</v>
      </c>
      <c r="AX10" s="35" t="s">
        <v>456</v>
      </c>
      <c r="AY10" s="35" t="s">
        <v>456</v>
      </c>
      <c r="AZ10" s="237" t="s">
        <v>456</v>
      </c>
      <c r="BA10" s="35" t="s">
        <v>456</v>
      </c>
      <c r="BB10" s="35" t="s">
        <v>456</v>
      </c>
      <c r="BC10" s="35" t="s">
        <v>456</v>
      </c>
      <c r="BD10" s="35" t="s">
        <v>456</v>
      </c>
      <c r="BE10" s="35" t="s">
        <v>456</v>
      </c>
      <c r="BF10" s="35" t="s">
        <v>456</v>
      </c>
      <c r="BG10" s="35" t="s">
        <v>456</v>
      </c>
      <c r="BH10" s="297" t="s">
        <v>265</v>
      </c>
      <c r="BI10" s="297" t="s">
        <v>456</v>
      </c>
      <c r="BJ10" s="35" t="s">
        <v>265</v>
      </c>
      <c r="BK10" s="35" t="s">
        <v>265</v>
      </c>
      <c r="BL10" s="35" t="s">
        <v>456</v>
      </c>
      <c r="BM10" s="35" t="s">
        <v>456</v>
      </c>
      <c r="BN10" s="35" t="s">
        <v>556</v>
      </c>
      <c r="BO10" s="35" t="s">
        <v>456</v>
      </c>
      <c r="BP10" s="35" t="s">
        <v>456</v>
      </c>
      <c r="BQ10" s="35" t="s">
        <v>456</v>
      </c>
      <c r="BR10" s="35" t="s">
        <v>456</v>
      </c>
      <c r="BS10" s="35" t="s">
        <v>456</v>
      </c>
      <c r="BT10" s="35" t="s">
        <v>456</v>
      </c>
      <c r="BU10" s="35" t="s">
        <v>456</v>
      </c>
      <c r="BV10" s="35" t="s">
        <v>265</v>
      </c>
      <c r="BW10" s="35" t="s">
        <v>265</v>
      </c>
      <c r="BX10" s="35" t="s">
        <v>265</v>
      </c>
      <c r="BY10" s="35" t="s">
        <v>456</v>
      </c>
      <c r="BZ10" s="35" t="s">
        <v>456</v>
      </c>
      <c r="CA10" s="311" t="s">
        <v>456</v>
      </c>
      <c r="CB10" s="35" t="s">
        <v>456</v>
      </c>
      <c r="CC10" s="35" t="s">
        <v>456</v>
      </c>
      <c r="CD10" s="35" t="s">
        <v>456</v>
      </c>
      <c r="CE10" s="35" t="s">
        <v>456</v>
      </c>
      <c r="CF10" s="35" t="s">
        <v>456</v>
      </c>
      <c r="CG10" s="35" t="s">
        <v>265</v>
      </c>
      <c r="CH10" s="35" t="s">
        <v>265</v>
      </c>
      <c r="CI10" s="35" t="s">
        <v>556</v>
      </c>
      <c r="CJ10" s="35" t="s">
        <v>556</v>
      </c>
      <c r="CK10" s="35" t="s">
        <v>556</v>
      </c>
      <c r="CL10" s="35" t="s">
        <v>456</v>
      </c>
      <c r="CM10" s="35" t="s">
        <v>456</v>
      </c>
      <c r="CN10" s="35" t="s">
        <v>456</v>
      </c>
      <c r="CO10" s="35" t="s">
        <v>456</v>
      </c>
      <c r="CP10" s="35" t="s">
        <v>456</v>
      </c>
      <c r="CQ10" s="35" t="s">
        <v>456</v>
      </c>
      <c r="CR10" s="35" t="s">
        <v>456</v>
      </c>
      <c r="CS10" s="35" t="s">
        <v>456</v>
      </c>
      <c r="CT10" s="35" t="s">
        <v>456</v>
      </c>
      <c r="CU10" s="35" t="s">
        <v>456</v>
      </c>
      <c r="CV10" s="35" t="s">
        <v>456</v>
      </c>
      <c r="CW10" s="35" t="s">
        <v>456</v>
      </c>
      <c r="CX10" s="35" t="s">
        <v>456</v>
      </c>
      <c r="CY10" s="35" t="s">
        <v>456</v>
      </c>
      <c r="CZ10" s="35" t="s">
        <v>456</v>
      </c>
      <c r="DA10" s="35" t="s">
        <v>456</v>
      </c>
      <c r="DB10" s="237" t="s">
        <v>456</v>
      </c>
      <c r="DC10" s="237" t="s">
        <v>456</v>
      </c>
      <c r="DD10" s="237" t="s">
        <v>456</v>
      </c>
      <c r="DE10" s="35" t="s">
        <v>456</v>
      </c>
      <c r="DF10" s="35" t="s">
        <v>456</v>
      </c>
      <c r="DG10" s="35" t="s">
        <v>456</v>
      </c>
      <c r="DH10" s="35" t="s">
        <v>456</v>
      </c>
      <c r="DI10" s="35" t="s">
        <v>456</v>
      </c>
      <c r="DJ10" s="237" t="s">
        <v>456</v>
      </c>
      <c r="DK10" s="237" t="s">
        <v>456</v>
      </c>
      <c r="DL10" s="237" t="s">
        <v>456</v>
      </c>
      <c r="DM10" s="35" t="s">
        <v>456</v>
      </c>
      <c r="DN10" s="35" t="s">
        <v>456</v>
      </c>
      <c r="DO10" s="35" t="s">
        <v>456</v>
      </c>
      <c r="DP10" s="35" t="s">
        <v>456</v>
      </c>
      <c r="DQ10" s="72" t="s">
        <v>569</v>
      </c>
      <c r="DR10" s="72" t="s">
        <v>569</v>
      </c>
      <c r="DS10" s="72" t="s">
        <v>569</v>
      </c>
      <c r="DT10" s="72" t="s">
        <v>569</v>
      </c>
      <c r="DU10" s="72" t="s">
        <v>569</v>
      </c>
      <c r="DV10" s="72" t="s">
        <v>569</v>
      </c>
      <c r="DW10" s="72" t="s">
        <v>456</v>
      </c>
      <c r="DX10" s="72" t="s">
        <v>456</v>
      </c>
      <c r="DY10" s="72" t="s">
        <v>456</v>
      </c>
      <c r="DZ10" s="72" t="s">
        <v>456</v>
      </c>
      <c r="EA10" s="72" t="s">
        <v>456</v>
      </c>
      <c r="EB10" s="72" t="s">
        <v>456</v>
      </c>
      <c r="EC10" s="72" t="s">
        <v>456</v>
      </c>
      <c r="ED10" s="35" t="s">
        <v>265</v>
      </c>
      <c r="EE10" s="35" t="s">
        <v>265</v>
      </c>
      <c r="EF10" s="35" t="s">
        <v>442</v>
      </c>
      <c r="EG10" s="35" t="s">
        <v>456</v>
      </c>
      <c r="EH10" s="35" t="s">
        <v>442</v>
      </c>
      <c r="EI10" s="35" t="s">
        <v>442</v>
      </c>
      <c r="EJ10" s="35" t="s">
        <v>442</v>
      </c>
      <c r="EK10" s="35" t="s">
        <v>456</v>
      </c>
      <c r="EL10" s="35" t="s">
        <v>456</v>
      </c>
      <c r="EM10" s="35" t="s">
        <v>456</v>
      </c>
      <c r="EN10" s="35" t="s">
        <v>456</v>
      </c>
      <c r="EO10" s="35" t="s">
        <v>456</v>
      </c>
      <c r="EP10" s="35" t="s">
        <v>456</v>
      </c>
      <c r="EQ10" s="35" t="s">
        <v>456</v>
      </c>
      <c r="ER10" s="35" t="s">
        <v>456</v>
      </c>
      <c r="ES10" s="35" t="s">
        <v>456</v>
      </c>
      <c r="ET10" s="35" t="s">
        <v>456</v>
      </c>
      <c r="EU10" s="35" t="s">
        <v>456</v>
      </c>
      <c r="EV10" s="35" t="s">
        <v>456</v>
      </c>
      <c r="EW10" s="35" t="s">
        <v>456</v>
      </c>
      <c r="EX10" s="35" t="s">
        <v>456</v>
      </c>
      <c r="EY10" s="35" t="s">
        <v>456</v>
      </c>
      <c r="EZ10" s="35" t="s">
        <v>456</v>
      </c>
      <c r="FA10" s="35" t="s">
        <v>456</v>
      </c>
      <c r="FB10" s="35" t="s">
        <v>456</v>
      </c>
      <c r="FC10" s="35" t="s">
        <v>456</v>
      </c>
      <c r="FD10" s="35" t="s">
        <v>456</v>
      </c>
      <c r="FE10" s="35" t="s">
        <v>456</v>
      </c>
      <c r="FF10" s="35" t="s">
        <v>456</v>
      </c>
      <c r="FG10" s="35" t="s">
        <v>456</v>
      </c>
      <c r="FH10" s="35" t="s">
        <v>456</v>
      </c>
      <c r="FI10" s="35" t="s">
        <v>456</v>
      </c>
      <c r="FJ10" s="35" t="s">
        <v>456</v>
      </c>
      <c r="FK10" s="35" t="s">
        <v>456</v>
      </c>
      <c r="FL10" s="35" t="s">
        <v>456</v>
      </c>
      <c r="FM10" s="35" t="s">
        <v>456</v>
      </c>
      <c r="FN10" s="35" t="s">
        <v>456</v>
      </c>
      <c r="FO10" s="35" t="s">
        <v>456</v>
      </c>
      <c r="FP10" s="35" t="s">
        <v>456</v>
      </c>
      <c r="FQ10" s="35" t="s">
        <v>556</v>
      </c>
      <c r="FR10" s="35" t="s">
        <v>265</v>
      </c>
      <c r="FS10" s="35" t="s">
        <v>265</v>
      </c>
      <c r="FT10" s="35" t="s">
        <v>265</v>
      </c>
      <c r="FU10" s="35" t="s">
        <v>265</v>
      </c>
      <c r="FV10" s="35" t="s">
        <v>456</v>
      </c>
      <c r="FW10" s="35" t="s">
        <v>456</v>
      </c>
      <c r="FX10" s="35" t="s">
        <v>456</v>
      </c>
      <c r="FY10" s="35" t="s">
        <v>456</v>
      </c>
      <c r="FZ10" s="35" t="s">
        <v>456</v>
      </c>
      <c r="GA10" s="35" t="s">
        <v>456</v>
      </c>
      <c r="GB10" s="35" t="s">
        <v>456</v>
      </c>
      <c r="GC10" s="35" t="s">
        <v>456</v>
      </c>
      <c r="GD10" s="35" t="s">
        <v>456</v>
      </c>
      <c r="GE10" s="35" t="s">
        <v>456</v>
      </c>
      <c r="GF10" s="35" t="s">
        <v>456</v>
      </c>
      <c r="GG10" s="35" t="s">
        <v>456</v>
      </c>
      <c r="GH10" s="35" t="s">
        <v>456</v>
      </c>
      <c r="GI10" s="35" t="s">
        <v>456</v>
      </c>
      <c r="GJ10" s="35" t="s">
        <v>456</v>
      </c>
      <c r="GK10" s="35" t="s">
        <v>456</v>
      </c>
      <c r="GL10" s="35" t="s">
        <v>456</v>
      </c>
      <c r="GM10" s="35" t="s">
        <v>456</v>
      </c>
      <c r="GN10" s="35" t="s">
        <v>456</v>
      </c>
      <c r="GO10" s="35" t="s">
        <v>456</v>
      </c>
      <c r="GP10" s="35" t="s">
        <v>456</v>
      </c>
      <c r="GQ10" s="35" t="s">
        <v>456</v>
      </c>
    </row>
    <row r="11" spans="1:199" ht="14.25" thickTop="1" thickBot="1" x14ac:dyDescent="0.25">
      <c r="A11" s="199" t="s">
        <v>99</v>
      </c>
      <c r="B11" s="60" t="s">
        <v>654</v>
      </c>
      <c r="C11" s="60" t="s">
        <v>510</v>
      </c>
      <c r="D11" s="82" t="s">
        <v>400</v>
      </c>
      <c r="E11" s="60" t="s">
        <v>302</v>
      </c>
      <c r="F11" s="132" t="s">
        <v>28</v>
      </c>
      <c r="G11" s="132" t="s">
        <v>67</v>
      </c>
      <c r="H11" s="82" t="s">
        <v>168</v>
      </c>
      <c r="I11" s="56" t="s">
        <v>310</v>
      </c>
      <c r="J11" s="56" t="s">
        <v>87</v>
      </c>
      <c r="K11" s="56" t="s">
        <v>228</v>
      </c>
      <c r="L11" s="56" t="s">
        <v>144</v>
      </c>
      <c r="M11" s="56" t="s">
        <v>429</v>
      </c>
      <c r="N11" s="56" t="s">
        <v>182</v>
      </c>
      <c r="O11" s="56" t="s">
        <v>298</v>
      </c>
      <c r="P11" s="56" t="s">
        <v>571</v>
      </c>
      <c r="Q11" s="56" t="s">
        <v>156</v>
      </c>
      <c r="R11" s="56" t="s">
        <v>299</v>
      </c>
      <c r="S11" s="56" t="s">
        <v>164</v>
      </c>
      <c r="T11" s="56" t="s">
        <v>403</v>
      </c>
      <c r="U11" s="56" t="s">
        <v>367</v>
      </c>
      <c r="V11" s="56" t="s">
        <v>105</v>
      </c>
      <c r="W11" s="56" t="s">
        <v>520</v>
      </c>
      <c r="X11" s="56" t="s">
        <v>469</v>
      </c>
      <c r="Y11" s="56" t="s">
        <v>432</v>
      </c>
      <c r="Z11" s="56" t="s">
        <v>75</v>
      </c>
      <c r="AA11" s="56" t="s">
        <v>666</v>
      </c>
      <c r="AB11" s="56" t="s">
        <v>111</v>
      </c>
      <c r="AC11" s="56" t="s">
        <v>289</v>
      </c>
      <c r="AD11" s="56" t="s">
        <v>308</v>
      </c>
      <c r="AE11" s="56" t="s">
        <v>411</v>
      </c>
      <c r="AF11" s="56" t="s">
        <v>425</v>
      </c>
      <c r="AG11" s="56" t="s">
        <v>431</v>
      </c>
      <c r="AH11" s="56" t="s">
        <v>696</v>
      </c>
      <c r="AI11" s="56" t="s">
        <v>15</v>
      </c>
      <c r="AJ11" s="56" t="s">
        <v>551</v>
      </c>
      <c r="AK11" s="56" t="s">
        <v>9</v>
      </c>
      <c r="AL11" s="56" t="s">
        <v>566</v>
      </c>
      <c r="AM11" s="56" t="s">
        <v>412</v>
      </c>
      <c r="AN11" s="56" t="s">
        <v>369</v>
      </c>
      <c r="AO11" s="56" t="s">
        <v>348</v>
      </c>
      <c r="AP11" s="56" t="s">
        <v>244</v>
      </c>
      <c r="AQ11" s="56" t="s">
        <v>488</v>
      </c>
      <c r="AR11" s="56" t="s">
        <v>397</v>
      </c>
      <c r="AS11" s="56" t="s">
        <v>440</v>
      </c>
      <c r="AT11" s="56" t="s">
        <v>445</v>
      </c>
      <c r="AU11" s="202" t="s">
        <v>119</v>
      </c>
      <c r="AV11" s="202" t="s">
        <v>580</v>
      </c>
      <c r="AW11" s="202" t="s">
        <v>64</v>
      </c>
      <c r="AX11" s="56" t="s">
        <v>471</v>
      </c>
      <c r="AY11" s="56" t="s">
        <v>539</v>
      </c>
      <c r="AZ11" s="202" t="s">
        <v>318</v>
      </c>
      <c r="BA11" s="202" t="s">
        <v>257</v>
      </c>
      <c r="BB11" s="202" t="s">
        <v>751</v>
      </c>
      <c r="BC11" s="202" t="s">
        <v>55</v>
      </c>
      <c r="BD11" s="56" t="s">
        <v>522</v>
      </c>
      <c r="BE11" s="202" t="s">
        <v>370</v>
      </c>
      <c r="BF11" s="202" t="s">
        <v>752</v>
      </c>
      <c r="BG11" s="202" t="s">
        <v>585</v>
      </c>
      <c r="BH11" s="298" t="s">
        <v>603</v>
      </c>
      <c r="BI11" s="298" t="s">
        <v>604</v>
      </c>
      <c r="BJ11" s="202" t="s">
        <v>565</v>
      </c>
      <c r="BK11" s="202" t="s">
        <v>354</v>
      </c>
      <c r="BL11" s="202" t="s">
        <v>93</v>
      </c>
      <c r="BM11" s="202" t="s">
        <v>198</v>
      </c>
      <c r="BN11" s="202" t="s">
        <v>249</v>
      </c>
      <c r="BO11" s="202" t="s">
        <v>152</v>
      </c>
      <c r="BP11" s="202" t="s">
        <v>547</v>
      </c>
      <c r="BQ11" s="202" t="s">
        <v>490</v>
      </c>
      <c r="BR11" s="202" t="s">
        <v>209</v>
      </c>
      <c r="BS11" s="202" t="s">
        <v>163</v>
      </c>
      <c r="BT11" s="202" t="s">
        <v>200</v>
      </c>
      <c r="BU11" s="202" t="s">
        <v>54</v>
      </c>
      <c r="BV11" s="202" t="s">
        <v>133</v>
      </c>
      <c r="BW11" s="202" t="s">
        <v>232</v>
      </c>
      <c r="BX11" s="202" t="s">
        <v>56</v>
      </c>
      <c r="BY11" s="202" t="s">
        <v>434</v>
      </c>
      <c r="BZ11" s="202" t="s">
        <v>108</v>
      </c>
      <c r="CA11" s="306" t="s">
        <v>657</v>
      </c>
      <c r="CB11" s="202" t="s">
        <v>659</v>
      </c>
      <c r="CC11" s="202" t="s">
        <v>661</v>
      </c>
      <c r="CD11" s="202" t="s">
        <v>648</v>
      </c>
      <c r="CE11" s="202" t="s">
        <v>649</v>
      </c>
      <c r="CF11" s="202" t="s">
        <v>650</v>
      </c>
      <c r="CG11" s="202" t="s">
        <v>327</v>
      </c>
      <c r="CH11" s="202" t="s">
        <v>356</v>
      </c>
      <c r="CI11" s="202" t="s">
        <v>513</v>
      </c>
      <c r="CJ11" s="202" t="s">
        <v>554</v>
      </c>
      <c r="CK11" s="202" t="s">
        <v>409</v>
      </c>
      <c r="CL11" s="202" t="s">
        <v>72</v>
      </c>
      <c r="CM11" s="202" t="s">
        <v>35</v>
      </c>
      <c r="CN11" s="202" t="s">
        <v>118</v>
      </c>
      <c r="CO11" s="202" t="s">
        <v>254</v>
      </c>
      <c r="CP11" s="202" t="s">
        <v>396</v>
      </c>
      <c r="CQ11" s="202" t="s">
        <v>279</v>
      </c>
      <c r="CR11" s="202" t="s">
        <v>66</v>
      </c>
      <c r="CS11" s="202" t="s">
        <v>568</v>
      </c>
      <c r="CT11" s="202" t="s">
        <v>712</v>
      </c>
      <c r="CU11" s="202" t="s">
        <v>371</v>
      </c>
      <c r="CV11" s="202" t="s">
        <v>497</v>
      </c>
      <c r="CW11" s="202" t="s">
        <v>699</v>
      </c>
      <c r="CX11" s="202" t="s">
        <v>320</v>
      </c>
      <c r="CY11" s="202" t="s">
        <v>509</v>
      </c>
      <c r="CZ11" s="202" t="s">
        <v>186</v>
      </c>
      <c r="DA11" s="202" t="s">
        <v>517</v>
      </c>
      <c r="DB11" s="146" t="s">
        <v>291</v>
      </c>
      <c r="DC11" s="146" t="s">
        <v>353</v>
      </c>
      <c r="DD11" s="146" t="s">
        <v>366</v>
      </c>
      <c r="DE11" s="171" t="s">
        <v>501</v>
      </c>
      <c r="DF11" s="202" t="s">
        <v>21</v>
      </c>
      <c r="DG11" s="171" t="s">
        <v>323</v>
      </c>
      <c r="DH11" s="171" t="s">
        <v>447</v>
      </c>
      <c r="DI11" s="171" t="s">
        <v>742</v>
      </c>
      <c r="DJ11" s="146" t="s">
        <v>678</v>
      </c>
      <c r="DK11" s="146" t="s">
        <v>679</v>
      </c>
      <c r="DL11" s="146" t="s">
        <v>262</v>
      </c>
      <c r="DM11" s="202" t="s">
        <v>255</v>
      </c>
      <c r="DN11" s="202" t="s">
        <v>541</v>
      </c>
      <c r="DO11" s="202" t="s">
        <v>395</v>
      </c>
      <c r="DP11" s="202" t="s">
        <v>499</v>
      </c>
      <c r="DQ11" s="2" t="s">
        <v>65</v>
      </c>
      <c r="DR11" s="2" t="s">
        <v>267</v>
      </c>
      <c r="DS11" s="2" t="s">
        <v>13</v>
      </c>
      <c r="DT11" s="2" t="s">
        <v>463</v>
      </c>
      <c r="DU11" s="2" t="s">
        <v>11</v>
      </c>
      <c r="DV11" s="2" t="s">
        <v>577</v>
      </c>
      <c r="DW11" s="2" t="s">
        <v>113</v>
      </c>
      <c r="DX11" s="2" t="s">
        <v>294</v>
      </c>
      <c r="DY11" s="2" t="s">
        <v>131</v>
      </c>
      <c r="DZ11" s="2" t="s">
        <v>450</v>
      </c>
      <c r="EA11" s="2" t="s">
        <v>437</v>
      </c>
      <c r="EB11" s="2" t="s">
        <v>14</v>
      </c>
      <c r="EC11" s="2" t="s">
        <v>172</v>
      </c>
      <c r="ED11" s="202" t="s">
        <v>670</v>
      </c>
      <c r="EE11" s="202" t="s">
        <v>250</v>
      </c>
      <c r="EF11" s="202" t="s">
        <v>663</v>
      </c>
      <c r="EG11" s="202" t="s">
        <v>711</v>
      </c>
      <c r="EH11" s="202" t="s">
        <v>704</v>
      </c>
      <c r="EI11" s="202" t="s">
        <v>0</v>
      </c>
      <c r="EJ11" s="202" t="s">
        <v>344</v>
      </c>
      <c r="EK11" s="171" t="s">
        <v>173</v>
      </c>
      <c r="EL11" s="171" t="s">
        <v>680</v>
      </c>
      <c r="EM11" s="171" t="s">
        <v>681</v>
      </c>
      <c r="EN11" s="171" t="s">
        <v>479</v>
      </c>
      <c r="EO11" s="171" t="s">
        <v>286</v>
      </c>
      <c r="EP11" s="171" t="s">
        <v>127</v>
      </c>
      <c r="EQ11" s="171" t="s">
        <v>552</v>
      </c>
      <c r="ER11" s="171" t="s">
        <v>194</v>
      </c>
      <c r="ES11" s="171" t="s">
        <v>19</v>
      </c>
      <c r="ET11" s="171" t="s">
        <v>408</v>
      </c>
      <c r="EU11" s="171" t="s">
        <v>563</v>
      </c>
      <c r="EV11" s="171" t="s">
        <v>358</v>
      </c>
      <c r="EW11" s="171" t="s">
        <v>319</v>
      </c>
      <c r="EX11" s="171" t="s">
        <v>207</v>
      </c>
      <c r="EY11" s="171" t="s">
        <v>558</v>
      </c>
      <c r="EZ11" s="202" t="s">
        <v>150</v>
      </c>
      <c r="FA11" s="171" t="s">
        <v>242</v>
      </c>
      <c r="FB11" s="171" t="s">
        <v>504</v>
      </c>
      <c r="FC11" s="171" t="s">
        <v>341</v>
      </c>
      <c r="FD11" s="171" t="s">
        <v>24</v>
      </c>
      <c r="FE11" s="171" t="s">
        <v>191</v>
      </c>
      <c r="FF11" s="171" t="s">
        <v>121</v>
      </c>
      <c r="FG11" s="171" t="s">
        <v>405</v>
      </c>
      <c r="FH11" s="171" t="s">
        <v>300</v>
      </c>
      <c r="FI11" s="171" t="s">
        <v>48</v>
      </c>
      <c r="FJ11" s="171" t="s">
        <v>500</v>
      </c>
      <c r="FK11" s="171" t="s">
        <v>388</v>
      </c>
      <c r="FL11" s="171" t="s">
        <v>491</v>
      </c>
      <c r="FM11" s="202" t="s">
        <v>567</v>
      </c>
      <c r="FN11" s="202" t="s">
        <v>126</v>
      </c>
      <c r="FO11" s="171" t="s">
        <v>528</v>
      </c>
      <c r="FP11" s="202" t="s">
        <v>483</v>
      </c>
      <c r="FQ11" s="202" t="s">
        <v>531</v>
      </c>
      <c r="FR11" s="202" t="s">
        <v>201</v>
      </c>
      <c r="FS11" s="202" t="s">
        <v>325</v>
      </c>
      <c r="FT11" s="202" t="s">
        <v>707</v>
      </c>
      <c r="FU11" s="202" t="s">
        <v>708</v>
      </c>
      <c r="FV11" s="202" t="s">
        <v>710</v>
      </c>
      <c r="FW11" s="202" t="s">
        <v>269</v>
      </c>
      <c r="FX11" s="202" t="s">
        <v>413</v>
      </c>
      <c r="FY11" s="202" t="s">
        <v>251</v>
      </c>
      <c r="FZ11" s="202" t="s">
        <v>465</v>
      </c>
      <c r="GA11" s="202" t="s">
        <v>51</v>
      </c>
      <c r="GB11" s="56" t="s">
        <v>283</v>
      </c>
      <c r="GC11" s="202" t="s">
        <v>542</v>
      </c>
      <c r="GD11" s="56" t="s">
        <v>576</v>
      </c>
      <c r="GE11" s="202" t="s">
        <v>112</v>
      </c>
      <c r="GF11" s="202" t="s">
        <v>363</v>
      </c>
      <c r="GG11" s="202" t="s">
        <v>185</v>
      </c>
      <c r="GH11" s="202" t="s">
        <v>345</v>
      </c>
      <c r="GI11" s="202" t="s">
        <v>180</v>
      </c>
      <c r="GJ11" s="202" t="s">
        <v>421</v>
      </c>
      <c r="GK11" s="202" t="s">
        <v>96</v>
      </c>
      <c r="GL11" s="202" t="s">
        <v>590</v>
      </c>
      <c r="GM11" s="202" t="s">
        <v>592</v>
      </c>
      <c r="GN11" s="202" t="s">
        <v>593</v>
      </c>
      <c r="GO11" s="202" t="s">
        <v>594</v>
      </c>
      <c r="GP11" s="202" t="s">
        <v>595</v>
      </c>
      <c r="GQ11" s="202" t="s">
        <v>596</v>
      </c>
    </row>
    <row r="12" spans="1:199" ht="14.25" thickTop="1" thickBot="1" x14ac:dyDescent="0.25">
      <c r="A12" s="199" t="s">
        <v>655</v>
      </c>
      <c r="B12" s="35" t="s">
        <v>265</v>
      </c>
      <c r="C12" s="35" t="s">
        <v>265</v>
      </c>
      <c r="D12" s="35" t="s">
        <v>265</v>
      </c>
      <c r="E12" s="35" t="s">
        <v>265</v>
      </c>
      <c r="F12" s="72" t="s">
        <v>442</v>
      </c>
      <c r="G12" s="72" t="s">
        <v>556</v>
      </c>
      <c r="H12" s="35" t="s">
        <v>265</v>
      </c>
      <c r="I12" s="35" t="s">
        <v>265</v>
      </c>
      <c r="J12" s="35" t="s">
        <v>265</v>
      </c>
      <c r="K12" s="35" t="s">
        <v>265</v>
      </c>
      <c r="L12" s="35" t="s">
        <v>265</v>
      </c>
      <c r="M12" s="35" t="s">
        <v>265</v>
      </c>
      <c r="N12" s="35" t="s">
        <v>265</v>
      </c>
      <c r="O12" s="35" t="s">
        <v>265</v>
      </c>
      <c r="P12" s="35" t="s">
        <v>265</v>
      </c>
      <c r="Q12" s="35" t="s">
        <v>265</v>
      </c>
      <c r="R12" s="35" t="s">
        <v>265</v>
      </c>
      <c r="S12" s="35" t="s">
        <v>265</v>
      </c>
      <c r="T12" s="35" t="s">
        <v>265</v>
      </c>
      <c r="U12" s="35" t="s">
        <v>265</v>
      </c>
      <c r="V12" s="35" t="s">
        <v>442</v>
      </c>
      <c r="W12" s="35" t="s">
        <v>265</v>
      </c>
      <c r="X12" s="35" t="s">
        <v>265</v>
      </c>
      <c r="Y12" s="35" t="s">
        <v>265</v>
      </c>
      <c r="Z12" s="35" t="s">
        <v>442</v>
      </c>
      <c r="AA12" s="35" t="s">
        <v>556</v>
      </c>
      <c r="AB12" s="35" t="s">
        <v>265</v>
      </c>
      <c r="AC12" s="35" t="s">
        <v>265</v>
      </c>
      <c r="AD12" s="35" t="s">
        <v>265</v>
      </c>
      <c r="AE12" s="35" t="s">
        <v>265</v>
      </c>
      <c r="AF12" s="35" t="s">
        <v>265</v>
      </c>
      <c r="AG12" s="35" t="s">
        <v>265</v>
      </c>
      <c r="AH12" s="35" t="s">
        <v>265</v>
      </c>
      <c r="AI12" s="35" t="s">
        <v>265</v>
      </c>
      <c r="AJ12" s="35" t="s">
        <v>265</v>
      </c>
      <c r="AK12" s="35" t="s">
        <v>265</v>
      </c>
      <c r="AL12" s="35" t="s">
        <v>265</v>
      </c>
      <c r="AM12" s="35" t="s">
        <v>456</v>
      </c>
      <c r="AN12" s="35" t="s">
        <v>456</v>
      </c>
      <c r="AO12" s="35" t="s">
        <v>265</v>
      </c>
      <c r="AP12" s="35" t="s">
        <v>265</v>
      </c>
      <c r="AQ12" s="35" t="s">
        <v>265</v>
      </c>
      <c r="AR12" s="35" t="s">
        <v>265</v>
      </c>
      <c r="AS12" s="35" t="s">
        <v>265</v>
      </c>
      <c r="AT12" s="35" t="s">
        <v>265</v>
      </c>
      <c r="AU12" s="35" t="s">
        <v>265</v>
      </c>
      <c r="AV12" s="35" t="s">
        <v>265</v>
      </c>
      <c r="AW12" s="35" t="s">
        <v>265</v>
      </c>
      <c r="AX12" s="35" t="s">
        <v>265</v>
      </c>
      <c r="AY12" s="35" t="s">
        <v>442</v>
      </c>
      <c r="AZ12" s="237" t="s">
        <v>265</v>
      </c>
      <c r="BA12" s="35" t="s">
        <v>265</v>
      </c>
      <c r="BB12" s="35" t="s">
        <v>265</v>
      </c>
      <c r="BC12" s="35" t="s">
        <v>265</v>
      </c>
      <c r="BD12" s="35" t="s">
        <v>265</v>
      </c>
      <c r="BE12" s="35" t="s">
        <v>265</v>
      </c>
      <c r="BF12" s="35" t="s">
        <v>265</v>
      </c>
      <c r="BG12" s="35" t="s">
        <v>265</v>
      </c>
      <c r="BH12" s="297" t="s">
        <v>265</v>
      </c>
      <c r="BI12" s="297" t="s">
        <v>265</v>
      </c>
      <c r="BJ12" s="35" t="s">
        <v>265</v>
      </c>
      <c r="BK12" s="35" t="s">
        <v>265</v>
      </c>
      <c r="BL12" s="35" t="s">
        <v>265</v>
      </c>
      <c r="BM12" s="35" t="s">
        <v>265</v>
      </c>
      <c r="BN12" s="35" t="s">
        <v>265</v>
      </c>
      <c r="BO12" s="35" t="s">
        <v>442</v>
      </c>
      <c r="BP12" s="35" t="s">
        <v>265</v>
      </c>
      <c r="BQ12" s="35" t="s">
        <v>265</v>
      </c>
      <c r="BR12" s="35" t="s">
        <v>265</v>
      </c>
      <c r="BS12" s="35" t="s">
        <v>265</v>
      </c>
      <c r="BT12" s="35" t="s">
        <v>265</v>
      </c>
      <c r="BU12" s="35" t="s">
        <v>265</v>
      </c>
      <c r="BV12" s="35"/>
      <c r="BW12" s="35"/>
      <c r="BX12" s="35"/>
      <c r="BY12" s="35"/>
      <c r="BZ12" s="35"/>
      <c r="CA12" s="311"/>
      <c r="CB12" s="35"/>
      <c r="CC12" s="35"/>
      <c r="CD12" s="35"/>
      <c r="CE12" s="35"/>
      <c r="CF12" s="35"/>
      <c r="CG12" s="35" t="s">
        <v>265</v>
      </c>
      <c r="CH12" s="35" t="s">
        <v>265</v>
      </c>
      <c r="CI12" s="35" t="s">
        <v>265</v>
      </c>
      <c r="CJ12" s="35" t="s">
        <v>265</v>
      </c>
      <c r="CK12" s="35" t="s">
        <v>265</v>
      </c>
      <c r="CL12" s="35" t="s">
        <v>265</v>
      </c>
      <c r="CM12" s="35" t="s">
        <v>265</v>
      </c>
      <c r="CN12" s="35" t="s">
        <v>442</v>
      </c>
      <c r="CO12" s="35" t="s">
        <v>442</v>
      </c>
      <c r="CP12" s="35" t="s">
        <v>442</v>
      </c>
      <c r="CQ12" s="35" t="s">
        <v>442</v>
      </c>
      <c r="CR12" s="35" t="s">
        <v>442</v>
      </c>
      <c r="CS12" s="35" t="s">
        <v>442</v>
      </c>
      <c r="CT12" s="35" t="s">
        <v>442</v>
      </c>
      <c r="CU12" s="35" t="s">
        <v>442</v>
      </c>
      <c r="CV12" s="35" t="s">
        <v>442</v>
      </c>
      <c r="CW12" s="35" t="s">
        <v>442</v>
      </c>
      <c r="CX12" s="35" t="s">
        <v>442</v>
      </c>
      <c r="CY12" s="35" t="s">
        <v>442</v>
      </c>
      <c r="CZ12" s="35" t="s">
        <v>442</v>
      </c>
      <c r="DA12" s="35" t="s">
        <v>442</v>
      </c>
      <c r="DB12" s="35" t="s">
        <v>442</v>
      </c>
      <c r="DC12" s="35" t="s">
        <v>442</v>
      </c>
      <c r="DD12" s="237" t="s">
        <v>442</v>
      </c>
      <c r="DE12" s="35"/>
      <c r="DF12" s="35"/>
      <c r="DG12" s="35" t="s">
        <v>265</v>
      </c>
      <c r="DH12" s="35" t="s">
        <v>265</v>
      </c>
      <c r="DI12" s="35" t="s">
        <v>456</v>
      </c>
      <c r="DJ12" s="237" t="s">
        <v>442</v>
      </c>
      <c r="DK12" s="237" t="s">
        <v>265</v>
      </c>
      <c r="DL12" s="237" t="s">
        <v>442</v>
      </c>
      <c r="DM12" s="35" t="s">
        <v>442</v>
      </c>
      <c r="DN12" s="35" t="s">
        <v>456</v>
      </c>
      <c r="DO12" s="35"/>
      <c r="DP12" s="35"/>
      <c r="DQ12" s="72"/>
      <c r="DR12" s="72"/>
      <c r="DS12" s="72"/>
      <c r="DT12" s="72"/>
      <c r="DU12" s="72"/>
      <c r="DV12" s="72"/>
      <c r="DW12" s="72"/>
      <c r="DX12" s="72"/>
      <c r="DY12" s="72"/>
      <c r="DZ12" s="72"/>
      <c r="EA12" s="72"/>
      <c r="EB12" s="72"/>
      <c r="EC12" s="72"/>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c r="FB12" s="35"/>
      <c r="FC12" s="35"/>
      <c r="FD12" s="35"/>
      <c r="FE12" s="35"/>
      <c r="FF12" s="35"/>
      <c r="FG12" s="35"/>
      <c r="FH12" s="35"/>
      <c r="FI12" s="35"/>
      <c r="FJ12" s="35"/>
      <c r="FK12" s="35"/>
      <c r="FL12" s="35"/>
      <c r="FM12" s="35"/>
      <c r="FN12" s="35"/>
      <c r="FO12" s="35"/>
      <c r="FP12" s="35"/>
      <c r="FQ12" s="35"/>
      <c r="FR12" s="35" t="s">
        <v>456</v>
      </c>
      <c r="FS12" s="35" t="s">
        <v>456</v>
      </c>
      <c r="FT12" s="35"/>
      <c r="FU12" s="35"/>
      <c r="FV12" s="35"/>
      <c r="FW12" s="35"/>
      <c r="FX12" s="35"/>
      <c r="FY12" s="35"/>
      <c r="FZ12" s="35"/>
      <c r="GA12" s="35" t="s">
        <v>265</v>
      </c>
      <c r="GB12" s="35" t="s">
        <v>265</v>
      </c>
      <c r="GC12" s="35" t="s">
        <v>265</v>
      </c>
      <c r="GD12" s="35" t="s">
        <v>265</v>
      </c>
      <c r="GE12" s="35"/>
      <c r="GF12" s="35"/>
      <c r="GG12" s="35"/>
      <c r="GH12" s="35"/>
      <c r="GI12" s="35"/>
      <c r="GJ12" s="35"/>
      <c r="GK12" s="35"/>
      <c r="GL12" s="35"/>
      <c r="GM12" s="35"/>
      <c r="GN12" s="35"/>
      <c r="GO12" s="35"/>
      <c r="GP12" s="35"/>
      <c r="GQ12" s="35"/>
    </row>
    <row r="13" spans="1:199" ht="14.25" thickTop="1" thickBot="1" x14ac:dyDescent="0.25">
      <c r="A13" s="199" t="s">
        <v>656</v>
      </c>
      <c r="B13" s="60" t="s">
        <v>654</v>
      </c>
      <c r="C13" s="60" t="s">
        <v>510</v>
      </c>
      <c r="D13" s="82" t="s">
        <v>400</v>
      </c>
      <c r="E13" s="60" t="s">
        <v>302</v>
      </c>
      <c r="F13" s="132" t="s">
        <v>28</v>
      </c>
      <c r="G13" s="132" t="s">
        <v>67</v>
      </c>
      <c r="H13" s="82" t="s">
        <v>168</v>
      </c>
      <c r="I13" s="56" t="s">
        <v>310</v>
      </c>
      <c r="J13" s="56" t="s">
        <v>87</v>
      </c>
      <c r="K13" s="56" t="s">
        <v>228</v>
      </c>
      <c r="L13" s="56" t="s">
        <v>144</v>
      </c>
      <c r="M13" s="56" t="s">
        <v>429</v>
      </c>
      <c r="N13" s="56" t="s">
        <v>182</v>
      </c>
      <c r="O13" s="56" t="s">
        <v>298</v>
      </c>
      <c r="P13" s="56" t="s">
        <v>571</v>
      </c>
      <c r="Q13" s="56" t="s">
        <v>156</v>
      </c>
      <c r="R13" s="56" t="s">
        <v>299</v>
      </c>
      <c r="S13" s="56" t="s">
        <v>164</v>
      </c>
      <c r="T13" s="56" t="s">
        <v>403</v>
      </c>
      <c r="U13" s="56" t="s">
        <v>367</v>
      </c>
      <c r="V13" s="56" t="s">
        <v>105</v>
      </c>
      <c r="W13" s="56" t="s">
        <v>520</v>
      </c>
      <c r="X13" s="56" t="s">
        <v>469</v>
      </c>
      <c r="Y13" s="56" t="s">
        <v>432</v>
      </c>
      <c r="Z13" s="56" t="s">
        <v>75</v>
      </c>
      <c r="AA13" s="56" t="s">
        <v>666</v>
      </c>
      <c r="AB13" s="56" t="s">
        <v>111</v>
      </c>
      <c r="AC13" s="56" t="s">
        <v>289</v>
      </c>
      <c r="AD13" s="56" t="s">
        <v>308</v>
      </c>
      <c r="AE13" s="56" t="s">
        <v>411</v>
      </c>
      <c r="AF13" s="56" t="s">
        <v>425</v>
      </c>
      <c r="AG13" s="56" t="s">
        <v>431</v>
      </c>
      <c r="AH13" s="56" t="s">
        <v>696</v>
      </c>
      <c r="AI13" s="56" t="s">
        <v>15</v>
      </c>
      <c r="AJ13" s="56" t="s">
        <v>551</v>
      </c>
      <c r="AK13" s="56" t="s">
        <v>9</v>
      </c>
      <c r="AL13" s="56" t="s">
        <v>566</v>
      </c>
      <c r="AM13" s="56" t="s">
        <v>412</v>
      </c>
      <c r="AN13" s="56" t="s">
        <v>369</v>
      </c>
      <c r="AO13" s="56" t="s">
        <v>348</v>
      </c>
      <c r="AP13" s="56" t="s">
        <v>244</v>
      </c>
      <c r="AQ13" s="56" t="s">
        <v>488</v>
      </c>
      <c r="AR13" s="56" t="s">
        <v>397</v>
      </c>
      <c r="AS13" s="56" t="s">
        <v>440</v>
      </c>
      <c r="AT13" s="56" t="s">
        <v>445</v>
      </c>
      <c r="AU13" s="202" t="s">
        <v>119</v>
      </c>
      <c r="AV13" s="202" t="s">
        <v>580</v>
      </c>
      <c r="AW13" s="202" t="s">
        <v>64</v>
      </c>
      <c r="AX13" s="56" t="s">
        <v>471</v>
      </c>
      <c r="AY13" s="56" t="s">
        <v>539</v>
      </c>
      <c r="AZ13" s="202" t="s">
        <v>318</v>
      </c>
      <c r="BA13" s="202" t="s">
        <v>257</v>
      </c>
      <c r="BB13" s="202" t="s">
        <v>751</v>
      </c>
      <c r="BC13" s="202" t="s">
        <v>55</v>
      </c>
      <c r="BD13" s="56" t="s">
        <v>522</v>
      </c>
      <c r="BE13" s="202" t="s">
        <v>370</v>
      </c>
      <c r="BF13" s="202" t="s">
        <v>752</v>
      </c>
      <c r="BG13" s="202" t="s">
        <v>585</v>
      </c>
      <c r="BH13" s="298" t="s">
        <v>603</v>
      </c>
      <c r="BI13" s="298" t="s">
        <v>604</v>
      </c>
      <c r="BJ13" s="202" t="s">
        <v>565</v>
      </c>
      <c r="BK13" s="202" t="s">
        <v>354</v>
      </c>
      <c r="BL13" s="202" t="s">
        <v>93</v>
      </c>
      <c r="BM13" s="202" t="s">
        <v>198</v>
      </c>
      <c r="BN13" s="202" t="s">
        <v>249</v>
      </c>
      <c r="BO13" s="202" t="s">
        <v>152</v>
      </c>
      <c r="BP13" s="202" t="s">
        <v>547</v>
      </c>
      <c r="BQ13" s="202" t="s">
        <v>490</v>
      </c>
      <c r="BR13" s="202" t="s">
        <v>209</v>
      </c>
      <c r="BS13" s="202" t="s">
        <v>163</v>
      </c>
      <c r="BT13" s="202" t="s">
        <v>200</v>
      </c>
      <c r="BU13" s="202" t="s">
        <v>54</v>
      </c>
      <c r="BV13" s="202"/>
      <c r="BW13" s="202"/>
      <c r="BX13" s="202"/>
      <c r="BY13" s="202"/>
      <c r="BZ13" s="202"/>
      <c r="CA13" s="306"/>
      <c r="CB13" s="202"/>
      <c r="CC13" s="202"/>
      <c r="CD13" s="202"/>
      <c r="CE13" s="202"/>
      <c r="CF13" s="202"/>
      <c r="CG13" s="202" t="s">
        <v>327</v>
      </c>
      <c r="CH13" s="202" t="s">
        <v>356</v>
      </c>
      <c r="CI13" s="202" t="s">
        <v>657</v>
      </c>
      <c r="CJ13" s="202" t="s">
        <v>659</v>
      </c>
      <c r="CK13" s="202" t="s">
        <v>661</v>
      </c>
      <c r="CL13" s="202" t="s">
        <v>72</v>
      </c>
      <c r="CM13" s="202" t="s">
        <v>35</v>
      </c>
      <c r="CN13" s="202" t="s">
        <v>118</v>
      </c>
      <c r="CO13" s="202" t="s">
        <v>254</v>
      </c>
      <c r="CP13" s="202" t="s">
        <v>396</v>
      </c>
      <c r="CQ13" s="202" t="s">
        <v>279</v>
      </c>
      <c r="CR13" s="202" t="s">
        <v>66</v>
      </c>
      <c r="CS13" s="202" t="s">
        <v>568</v>
      </c>
      <c r="CT13" s="202" t="s">
        <v>712</v>
      </c>
      <c r="CU13" s="202" t="s">
        <v>371</v>
      </c>
      <c r="CV13" s="202" t="s">
        <v>497</v>
      </c>
      <c r="CW13" s="202" t="s">
        <v>699</v>
      </c>
      <c r="CX13" s="202" t="s">
        <v>320</v>
      </c>
      <c r="CY13" s="202" t="s">
        <v>509</v>
      </c>
      <c r="CZ13" s="202" t="s">
        <v>186</v>
      </c>
      <c r="DA13" s="202" t="s">
        <v>517</v>
      </c>
      <c r="DB13" s="146" t="s">
        <v>291</v>
      </c>
      <c r="DC13" s="146" t="s">
        <v>353</v>
      </c>
      <c r="DD13" s="146" t="s">
        <v>366</v>
      </c>
      <c r="DE13" s="171"/>
      <c r="DF13" s="202"/>
      <c r="DG13" s="171" t="s">
        <v>323</v>
      </c>
      <c r="DH13" s="171" t="s">
        <v>447</v>
      </c>
      <c r="DI13" s="171" t="s">
        <v>742</v>
      </c>
      <c r="DJ13" s="146" t="s">
        <v>678</v>
      </c>
      <c r="DK13" s="146" t="s">
        <v>679</v>
      </c>
      <c r="DL13" s="146" t="s">
        <v>262</v>
      </c>
      <c r="DM13" s="202" t="s">
        <v>255</v>
      </c>
      <c r="DN13" s="202" t="s">
        <v>714</v>
      </c>
      <c r="DO13" s="202"/>
      <c r="DP13" s="202"/>
      <c r="DQ13" s="2"/>
      <c r="DR13" s="2"/>
      <c r="DS13" s="2"/>
      <c r="DT13" s="2"/>
      <c r="DU13" s="2"/>
      <c r="DV13" s="2"/>
      <c r="DW13" s="2"/>
      <c r="DX13" s="2"/>
      <c r="DY13" s="2"/>
      <c r="DZ13" s="2"/>
      <c r="EA13" s="2"/>
      <c r="EB13" s="2"/>
      <c r="EC13" s="2"/>
      <c r="ED13" s="202"/>
      <c r="EE13" s="202"/>
      <c r="EF13" s="202"/>
      <c r="EG13" s="202"/>
      <c r="EH13" s="202"/>
      <c r="EI13" s="202"/>
      <c r="EJ13" s="202"/>
      <c r="EK13" s="171"/>
      <c r="EL13" s="171"/>
      <c r="EM13" s="171"/>
      <c r="EN13" s="171"/>
      <c r="EO13" s="171"/>
      <c r="EP13" s="171"/>
      <c r="EQ13" s="171"/>
      <c r="ER13" s="171"/>
      <c r="ES13" s="171"/>
      <c r="ET13" s="171"/>
      <c r="EU13" s="171"/>
      <c r="EV13" s="171"/>
      <c r="EW13" s="171"/>
      <c r="EX13" s="171"/>
      <c r="EY13" s="171"/>
      <c r="EZ13" s="202"/>
      <c r="FA13" s="171"/>
      <c r="FB13" s="171"/>
      <c r="FC13" s="171"/>
      <c r="FD13" s="171"/>
      <c r="FE13" s="171"/>
      <c r="FF13" s="171"/>
      <c r="FG13" s="171"/>
      <c r="FH13" s="171"/>
      <c r="FI13" s="171"/>
      <c r="FJ13" s="171"/>
      <c r="FK13" s="171"/>
      <c r="FL13" s="171"/>
      <c r="FM13" s="202"/>
      <c r="FN13" s="202"/>
      <c r="FO13" s="171"/>
      <c r="FP13" s="202"/>
      <c r="FQ13" s="202"/>
      <c r="FR13" s="202" t="s">
        <v>201</v>
      </c>
      <c r="FS13" s="202" t="s">
        <v>325</v>
      </c>
      <c r="FT13" s="202"/>
      <c r="FU13" s="202"/>
      <c r="FV13" s="202"/>
      <c r="FW13" s="202"/>
      <c r="FX13" s="202"/>
      <c r="FY13" s="202"/>
      <c r="FZ13" s="202"/>
      <c r="GA13" s="202" t="s">
        <v>51</v>
      </c>
      <c r="GB13" s="56" t="s">
        <v>283</v>
      </c>
      <c r="GC13" s="202" t="s">
        <v>542</v>
      </c>
      <c r="GD13" s="56" t="s">
        <v>576</v>
      </c>
      <c r="GE13" s="202"/>
      <c r="GF13" s="202"/>
      <c r="GG13" s="202"/>
      <c r="GH13" s="202"/>
      <c r="GI13" s="202"/>
      <c r="GJ13" s="202"/>
      <c r="GK13" s="202"/>
      <c r="GL13" s="202"/>
      <c r="GM13" s="202"/>
      <c r="GN13" s="202"/>
      <c r="GO13" s="202"/>
      <c r="GP13" s="202"/>
      <c r="GQ13" s="202"/>
    </row>
    <row r="14" spans="1:199" ht="14.25" thickTop="1" thickBot="1" x14ac:dyDescent="0.25">
      <c r="A14" s="199" t="s">
        <v>104</v>
      </c>
      <c r="B14" s="35" t="s">
        <v>265</v>
      </c>
      <c r="C14" s="35" t="s">
        <v>265</v>
      </c>
      <c r="D14" s="35" t="s">
        <v>265</v>
      </c>
      <c r="E14" s="35" t="s">
        <v>265</v>
      </c>
      <c r="F14" s="72" t="s">
        <v>442</v>
      </c>
      <c r="G14" s="72" t="s">
        <v>556</v>
      </c>
      <c r="H14" s="35" t="s">
        <v>265</v>
      </c>
      <c r="I14" s="35" t="s">
        <v>265</v>
      </c>
      <c r="J14" s="35" t="s">
        <v>265</v>
      </c>
      <c r="K14" s="35" t="s">
        <v>265</v>
      </c>
      <c r="L14" s="35" t="s">
        <v>265</v>
      </c>
      <c r="M14" s="35" t="s">
        <v>265</v>
      </c>
      <c r="N14" s="35" t="s">
        <v>265</v>
      </c>
      <c r="O14" s="35" t="s">
        <v>265</v>
      </c>
      <c r="P14" s="35" t="s">
        <v>265</v>
      </c>
      <c r="Q14" s="35" t="s">
        <v>265</v>
      </c>
      <c r="R14" s="35" t="s">
        <v>265</v>
      </c>
      <c r="S14" s="35" t="s">
        <v>265</v>
      </c>
      <c r="T14" s="35" t="s">
        <v>265</v>
      </c>
      <c r="U14" s="35" t="s">
        <v>265</v>
      </c>
      <c r="V14" s="35" t="s">
        <v>265</v>
      </c>
      <c r="W14" s="35" t="s">
        <v>265</v>
      </c>
      <c r="X14" s="35" t="s">
        <v>265</v>
      </c>
      <c r="Y14" s="35" t="s">
        <v>265</v>
      </c>
      <c r="Z14" s="35" t="s">
        <v>265</v>
      </c>
      <c r="AA14" s="35" t="s">
        <v>556</v>
      </c>
      <c r="AB14" s="35" t="s">
        <v>265</v>
      </c>
      <c r="AC14" s="35" t="s">
        <v>265</v>
      </c>
      <c r="AD14" s="35" t="s">
        <v>265</v>
      </c>
      <c r="AE14" s="35" t="s">
        <v>265</v>
      </c>
      <c r="AF14" s="35" t="s">
        <v>265</v>
      </c>
      <c r="AG14" s="35" t="s">
        <v>265</v>
      </c>
      <c r="AH14" s="35" t="s">
        <v>265</v>
      </c>
      <c r="AI14" s="35" t="s">
        <v>265</v>
      </c>
      <c r="AJ14" s="35" t="s">
        <v>265</v>
      </c>
      <c r="AK14" s="35" t="s">
        <v>265</v>
      </c>
      <c r="AL14" s="35" t="s">
        <v>265</v>
      </c>
      <c r="AM14" s="35" t="s">
        <v>442</v>
      </c>
      <c r="AN14" s="35" t="s">
        <v>442</v>
      </c>
      <c r="AO14" s="35" t="s">
        <v>265</v>
      </c>
      <c r="AP14" s="35" t="s">
        <v>265</v>
      </c>
      <c r="AQ14" s="35" t="s">
        <v>265</v>
      </c>
      <c r="AR14" s="35" t="s">
        <v>265</v>
      </c>
      <c r="AS14" s="35" t="s">
        <v>265</v>
      </c>
      <c r="AT14" s="35" t="s">
        <v>265</v>
      </c>
      <c r="AU14" s="35" t="s">
        <v>265</v>
      </c>
      <c r="AV14" s="35" t="s">
        <v>265</v>
      </c>
      <c r="AW14" s="35" t="s">
        <v>265</v>
      </c>
      <c r="AX14" s="35" t="s">
        <v>265</v>
      </c>
      <c r="AY14" s="35" t="s">
        <v>265</v>
      </c>
      <c r="AZ14" s="35" t="s">
        <v>265</v>
      </c>
      <c r="BA14" s="35" t="s">
        <v>265</v>
      </c>
      <c r="BB14" s="35" t="s">
        <v>265</v>
      </c>
      <c r="BC14" s="35" t="s">
        <v>265</v>
      </c>
      <c r="BD14" s="35" t="s">
        <v>265</v>
      </c>
      <c r="BE14" s="35" t="s">
        <v>265</v>
      </c>
      <c r="BF14" s="35" t="s">
        <v>265</v>
      </c>
      <c r="BG14" s="35" t="s">
        <v>265</v>
      </c>
      <c r="BH14" s="297" t="s">
        <v>265</v>
      </c>
      <c r="BI14" s="297" t="s">
        <v>265</v>
      </c>
      <c r="BJ14" s="35" t="s">
        <v>265</v>
      </c>
      <c r="BK14" s="35" t="s">
        <v>265</v>
      </c>
      <c r="BL14" s="35" t="s">
        <v>265</v>
      </c>
      <c r="BM14" s="35" t="s">
        <v>265</v>
      </c>
      <c r="BN14" s="35" t="s">
        <v>265</v>
      </c>
      <c r="BO14" s="35" t="s">
        <v>265</v>
      </c>
      <c r="BP14" s="35" t="s">
        <v>265</v>
      </c>
      <c r="BQ14" s="35" t="s">
        <v>265</v>
      </c>
      <c r="BR14" s="35" t="s">
        <v>265</v>
      </c>
      <c r="BS14" s="35" t="s">
        <v>265</v>
      </c>
      <c r="BT14" s="35" t="s">
        <v>265</v>
      </c>
      <c r="BU14" s="35" t="s">
        <v>265</v>
      </c>
      <c r="BV14" s="35" t="s">
        <v>265</v>
      </c>
      <c r="BW14" s="35" t="s">
        <v>265</v>
      </c>
      <c r="BX14" s="35" t="s">
        <v>265</v>
      </c>
      <c r="BY14" s="35" t="s">
        <v>265</v>
      </c>
      <c r="BZ14" s="35" t="s">
        <v>265</v>
      </c>
      <c r="CA14" s="311" t="s">
        <v>265</v>
      </c>
      <c r="CB14" s="35" t="s">
        <v>265</v>
      </c>
      <c r="CC14" s="35" t="s">
        <v>265</v>
      </c>
      <c r="CD14" s="35" t="s">
        <v>265</v>
      </c>
      <c r="CE14" s="35" t="s">
        <v>265</v>
      </c>
      <c r="CF14" s="35" t="s">
        <v>265</v>
      </c>
      <c r="CG14" s="35" t="s">
        <v>265</v>
      </c>
      <c r="CH14" s="35" t="s">
        <v>265</v>
      </c>
      <c r="CI14" s="35" t="s">
        <v>442</v>
      </c>
      <c r="CJ14" s="35" t="s">
        <v>442</v>
      </c>
      <c r="CK14" s="35" t="s">
        <v>442</v>
      </c>
      <c r="CL14" s="35" t="s">
        <v>265</v>
      </c>
      <c r="CM14" s="35" t="s">
        <v>265</v>
      </c>
      <c r="CN14" s="35" t="s">
        <v>442</v>
      </c>
      <c r="CO14" s="35" t="s">
        <v>442</v>
      </c>
      <c r="CP14" s="35" t="s">
        <v>265</v>
      </c>
      <c r="CQ14" s="35" t="s">
        <v>456</v>
      </c>
      <c r="CR14" s="35" t="s">
        <v>456</v>
      </c>
      <c r="CS14" s="35" t="s">
        <v>442</v>
      </c>
      <c r="CT14" s="35" t="s">
        <v>456</v>
      </c>
      <c r="CU14" s="35" t="s">
        <v>442</v>
      </c>
      <c r="CV14" s="35" t="s">
        <v>456</v>
      </c>
      <c r="CW14" s="35" t="s">
        <v>265</v>
      </c>
      <c r="CX14" s="35" t="s">
        <v>456</v>
      </c>
      <c r="CY14" s="35" t="s">
        <v>456</v>
      </c>
      <c r="CZ14" s="35" t="s">
        <v>442</v>
      </c>
      <c r="DA14" s="35" t="s">
        <v>442</v>
      </c>
      <c r="DB14" s="237" t="s">
        <v>456</v>
      </c>
      <c r="DC14" s="237" t="s">
        <v>456</v>
      </c>
      <c r="DD14" s="237" t="s">
        <v>456</v>
      </c>
      <c r="DF14" s="35" t="s">
        <v>265</v>
      </c>
      <c r="DG14" s="35" t="s">
        <v>265</v>
      </c>
      <c r="DH14" s="35" t="s">
        <v>265</v>
      </c>
      <c r="DI14" s="35" t="s">
        <v>456</v>
      </c>
      <c r="DJ14" s="237" t="s">
        <v>456</v>
      </c>
      <c r="DK14" s="237" t="s">
        <v>265</v>
      </c>
      <c r="DL14" s="237" t="s">
        <v>456</v>
      </c>
      <c r="DM14" s="35" t="s">
        <v>456</v>
      </c>
      <c r="DN14" s="35" t="s">
        <v>456</v>
      </c>
      <c r="DO14" s="35" t="s">
        <v>456</v>
      </c>
      <c r="DP14" s="35" t="s">
        <v>456</v>
      </c>
      <c r="DQ14" s="98"/>
      <c r="DR14" s="98"/>
      <c r="DS14" s="98"/>
      <c r="DT14" s="98"/>
      <c r="DU14" s="98"/>
      <c r="DV14" s="98"/>
      <c r="DW14" s="98"/>
      <c r="DX14" s="98"/>
      <c r="DY14" s="98"/>
      <c r="DZ14" s="98"/>
      <c r="EA14" s="98"/>
      <c r="EB14" s="98"/>
      <c r="EC14" s="98"/>
      <c r="EI14" s="15"/>
      <c r="EJ14" s="15"/>
      <c r="EM14" s="35" t="s">
        <v>265</v>
      </c>
      <c r="FQ14" s="15"/>
      <c r="FT14" s="15"/>
      <c r="FU14" s="15"/>
      <c r="FV14" s="15"/>
      <c r="FX14" s="35" t="s">
        <v>265</v>
      </c>
      <c r="GA14" s="35" t="s">
        <v>265</v>
      </c>
      <c r="GB14" s="35" t="s">
        <v>265</v>
      </c>
      <c r="GC14" s="35" t="s">
        <v>265</v>
      </c>
      <c r="GD14" s="35" t="s">
        <v>265</v>
      </c>
      <c r="GL14" s="54"/>
      <c r="GM14" s="54"/>
      <c r="GN14" s="54"/>
      <c r="GO14" s="54"/>
      <c r="GP14" s="54"/>
      <c r="GQ14" s="54"/>
    </row>
    <row r="15" spans="1:199" ht="14.25" thickTop="1" thickBot="1" x14ac:dyDescent="0.25">
      <c r="A15" s="199" t="s">
        <v>77</v>
      </c>
      <c r="B15" s="196" t="s">
        <v>654</v>
      </c>
      <c r="C15" s="196" t="s">
        <v>510</v>
      </c>
      <c r="D15" s="215" t="s">
        <v>400</v>
      </c>
      <c r="E15" s="196" t="s">
        <v>302</v>
      </c>
      <c r="F15" s="18" t="s">
        <v>28</v>
      </c>
      <c r="G15" s="132" t="s">
        <v>67</v>
      </c>
      <c r="H15" s="215" t="s">
        <v>168</v>
      </c>
      <c r="I15" s="194" t="s">
        <v>310</v>
      </c>
      <c r="J15" s="194" t="s">
        <v>87</v>
      </c>
      <c r="K15" s="194" t="s">
        <v>228</v>
      </c>
      <c r="L15" s="194" t="s">
        <v>144</v>
      </c>
      <c r="M15" s="194" t="s">
        <v>429</v>
      </c>
      <c r="N15" s="56" t="s">
        <v>182</v>
      </c>
      <c r="O15" s="56" t="s">
        <v>298</v>
      </c>
      <c r="P15" s="56" t="s">
        <v>571</v>
      </c>
      <c r="Q15" s="56" t="s">
        <v>156</v>
      </c>
      <c r="R15" s="56" t="s">
        <v>299</v>
      </c>
      <c r="S15" s="194" t="s">
        <v>164</v>
      </c>
      <c r="T15" s="194" t="s">
        <v>403</v>
      </c>
      <c r="U15" s="56" t="s">
        <v>367</v>
      </c>
      <c r="V15" s="194" t="s">
        <v>105</v>
      </c>
      <c r="W15" s="179" t="s">
        <v>520</v>
      </c>
      <c r="X15" s="179" t="s">
        <v>469</v>
      </c>
      <c r="Y15" s="179" t="s">
        <v>432</v>
      </c>
      <c r="Z15" s="179" t="s">
        <v>75</v>
      </c>
      <c r="AA15" s="56" t="s">
        <v>666</v>
      </c>
      <c r="AB15" s="194" t="s">
        <v>111</v>
      </c>
      <c r="AC15" s="194" t="s">
        <v>289</v>
      </c>
      <c r="AD15" s="194" t="s">
        <v>308</v>
      </c>
      <c r="AE15" s="194" t="s">
        <v>411</v>
      </c>
      <c r="AF15" s="194" t="s">
        <v>425</v>
      </c>
      <c r="AG15" s="194" t="s">
        <v>431</v>
      </c>
      <c r="AH15" s="56" t="s">
        <v>696</v>
      </c>
      <c r="AI15" s="194" t="s">
        <v>15</v>
      </c>
      <c r="AJ15" s="194" t="s">
        <v>551</v>
      </c>
      <c r="AK15" s="194" t="s">
        <v>9</v>
      </c>
      <c r="AL15" s="194" t="s">
        <v>566</v>
      </c>
      <c r="AM15" s="194" t="s">
        <v>270</v>
      </c>
      <c r="AN15" s="194" t="s">
        <v>383</v>
      </c>
      <c r="AO15" s="194" t="s">
        <v>348</v>
      </c>
      <c r="AP15" s="194" t="s">
        <v>244</v>
      </c>
      <c r="AQ15" s="194" t="s">
        <v>488</v>
      </c>
      <c r="AR15" s="194" t="s">
        <v>397</v>
      </c>
      <c r="AS15" s="194" t="s">
        <v>440</v>
      </c>
      <c r="AT15" s="194" t="s">
        <v>445</v>
      </c>
      <c r="AU15" s="224" t="s">
        <v>119</v>
      </c>
      <c r="AV15" s="224" t="s">
        <v>580</v>
      </c>
      <c r="AW15" s="224" t="s">
        <v>64</v>
      </c>
      <c r="AX15" s="194" t="s">
        <v>471</v>
      </c>
      <c r="AY15" s="194" t="s">
        <v>539</v>
      </c>
      <c r="AZ15" s="224" t="s">
        <v>318</v>
      </c>
      <c r="BA15" s="224" t="s">
        <v>257</v>
      </c>
      <c r="BB15" s="202" t="s">
        <v>751</v>
      </c>
      <c r="BC15" s="224" t="s">
        <v>55</v>
      </c>
      <c r="BD15" s="194" t="s">
        <v>522</v>
      </c>
      <c r="BE15" s="224" t="s">
        <v>370</v>
      </c>
      <c r="BF15" s="202" t="s">
        <v>752</v>
      </c>
      <c r="BG15" s="224" t="s">
        <v>585</v>
      </c>
      <c r="BH15" s="303" t="s">
        <v>603</v>
      </c>
      <c r="BI15" s="303" t="s">
        <v>604</v>
      </c>
      <c r="BJ15" s="224" t="s">
        <v>565</v>
      </c>
      <c r="BK15" s="202" t="s">
        <v>354</v>
      </c>
      <c r="BL15" s="224" t="s">
        <v>93</v>
      </c>
      <c r="BM15" s="224" t="s">
        <v>198</v>
      </c>
      <c r="BN15" s="224" t="s">
        <v>412</v>
      </c>
      <c r="BO15" s="224" t="s">
        <v>152</v>
      </c>
      <c r="BP15" s="202" t="s">
        <v>547</v>
      </c>
      <c r="BQ15" s="202" t="s">
        <v>490</v>
      </c>
      <c r="BR15" s="202" t="s">
        <v>209</v>
      </c>
      <c r="BS15" s="202" t="s">
        <v>163</v>
      </c>
      <c r="BT15" s="202" t="s">
        <v>200</v>
      </c>
      <c r="BU15" s="202" t="s">
        <v>54</v>
      </c>
      <c r="BV15" s="202" t="s">
        <v>133</v>
      </c>
      <c r="BW15" s="202" t="s">
        <v>232</v>
      </c>
      <c r="BX15" s="202" t="s">
        <v>56</v>
      </c>
      <c r="BY15" s="202" t="s">
        <v>434</v>
      </c>
      <c r="BZ15" s="202" t="s">
        <v>108</v>
      </c>
      <c r="CA15" s="306" t="s">
        <v>657</v>
      </c>
      <c r="CB15" s="202" t="s">
        <v>659</v>
      </c>
      <c r="CC15" s="202" t="s">
        <v>661</v>
      </c>
      <c r="CD15" s="202" t="s">
        <v>648</v>
      </c>
      <c r="CE15" s="202" t="s">
        <v>649</v>
      </c>
      <c r="CF15" s="202" t="s">
        <v>650</v>
      </c>
      <c r="CG15" s="202" t="s">
        <v>327</v>
      </c>
      <c r="CH15" s="202" t="s">
        <v>356</v>
      </c>
      <c r="CI15" s="202" t="s">
        <v>513</v>
      </c>
      <c r="CJ15" s="202" t="s">
        <v>554</v>
      </c>
      <c r="CK15" s="202" t="s">
        <v>409</v>
      </c>
      <c r="CL15" s="224" t="s">
        <v>72</v>
      </c>
      <c r="CM15" s="224" t="s">
        <v>35</v>
      </c>
      <c r="CN15" s="224" t="s">
        <v>122</v>
      </c>
      <c r="CO15" s="224" t="s">
        <v>137</v>
      </c>
      <c r="CP15" s="224" t="s">
        <v>369</v>
      </c>
      <c r="CQ15" s="224" t="s">
        <v>328</v>
      </c>
      <c r="CR15" s="224" t="s">
        <v>227</v>
      </c>
      <c r="CS15" s="224" t="s">
        <v>157</v>
      </c>
      <c r="CT15" s="202" t="s">
        <v>712</v>
      </c>
      <c r="CU15" s="224" t="s">
        <v>282</v>
      </c>
      <c r="CV15" s="30" t="s">
        <v>274</v>
      </c>
      <c r="CW15" s="202" t="s">
        <v>699</v>
      </c>
      <c r="CX15" s="224" t="s">
        <v>68</v>
      </c>
      <c r="CY15" s="224" t="s">
        <v>271</v>
      </c>
      <c r="CZ15" s="202" t="s">
        <v>296</v>
      </c>
      <c r="DA15" s="202" t="s">
        <v>316</v>
      </c>
      <c r="DB15" s="30" t="s">
        <v>36</v>
      </c>
      <c r="DC15" s="30" t="s">
        <v>507</v>
      </c>
      <c r="DD15" s="30" t="s">
        <v>570</v>
      </c>
      <c r="DF15" s="202" t="s">
        <v>21</v>
      </c>
      <c r="DG15" s="171" t="s">
        <v>323</v>
      </c>
      <c r="DH15" s="171" t="s">
        <v>447</v>
      </c>
      <c r="DI15" s="171" t="s">
        <v>742</v>
      </c>
      <c r="DJ15" s="30" t="s">
        <v>493</v>
      </c>
      <c r="DK15" s="30" t="s">
        <v>679</v>
      </c>
      <c r="DL15" s="30" t="s">
        <v>46</v>
      </c>
      <c r="DM15" s="30" t="s">
        <v>382</v>
      </c>
      <c r="DN15" s="30" t="s">
        <v>169</v>
      </c>
      <c r="DO15" s="202" t="s">
        <v>395</v>
      </c>
      <c r="DP15" s="202" t="s">
        <v>499</v>
      </c>
      <c r="DQ15" s="98"/>
      <c r="DR15" s="98"/>
      <c r="DS15" s="98"/>
      <c r="DT15" s="98"/>
      <c r="DU15" s="98"/>
      <c r="DV15" s="98"/>
      <c r="DW15" s="98"/>
      <c r="DX15" s="98"/>
      <c r="DY15" s="98"/>
      <c r="DZ15" s="98"/>
      <c r="EA15" s="98"/>
      <c r="EB15" s="98"/>
      <c r="EC15" s="98"/>
      <c r="EI15" s="15"/>
      <c r="EJ15" s="15"/>
      <c r="EM15" s="171" t="s">
        <v>681</v>
      </c>
      <c r="FQ15" s="15"/>
      <c r="FT15" s="15"/>
      <c r="FU15" s="15"/>
      <c r="FV15" s="15"/>
      <c r="FX15" s="202" t="s">
        <v>413</v>
      </c>
      <c r="GA15" s="224" t="s">
        <v>51</v>
      </c>
      <c r="GB15" s="194" t="s">
        <v>283</v>
      </c>
      <c r="GC15" s="224" t="s">
        <v>542</v>
      </c>
      <c r="GD15" s="194" t="s">
        <v>576</v>
      </c>
      <c r="GL15" s="15"/>
      <c r="GM15" s="15"/>
      <c r="GN15" s="15"/>
      <c r="GO15" s="15"/>
      <c r="GP15" s="15"/>
      <c r="GQ15" s="15"/>
    </row>
    <row r="16" spans="1:199" ht="14.25" thickTop="1" thickBot="1" x14ac:dyDescent="0.25">
      <c r="A16" s="199" t="s">
        <v>521</v>
      </c>
      <c r="B16" s="35" t="s">
        <v>265</v>
      </c>
      <c r="C16" s="35" t="s">
        <v>265</v>
      </c>
      <c r="D16" s="35" t="s">
        <v>265</v>
      </c>
      <c r="E16" s="35" t="s">
        <v>265</v>
      </c>
      <c r="F16" s="72" t="s">
        <v>442</v>
      </c>
      <c r="G16" s="72" t="s">
        <v>556</v>
      </c>
      <c r="H16" s="35" t="s">
        <v>265</v>
      </c>
      <c r="I16" s="35" t="s">
        <v>265</v>
      </c>
      <c r="J16" s="35" t="s">
        <v>265</v>
      </c>
      <c r="K16" s="35" t="s">
        <v>265</v>
      </c>
      <c r="L16" s="35" t="s">
        <v>265</v>
      </c>
      <c r="M16" s="35" t="s">
        <v>265</v>
      </c>
      <c r="N16" s="35" t="s">
        <v>265</v>
      </c>
      <c r="O16" s="35" t="s">
        <v>265</v>
      </c>
      <c r="P16" s="35" t="s">
        <v>265</v>
      </c>
      <c r="Q16" s="35" t="s">
        <v>265</v>
      </c>
      <c r="R16" s="35" t="s">
        <v>265</v>
      </c>
      <c r="S16" s="35" t="s">
        <v>265</v>
      </c>
      <c r="T16" s="35" t="s">
        <v>265</v>
      </c>
      <c r="U16" s="35" t="s">
        <v>265</v>
      </c>
      <c r="V16" s="35" t="s">
        <v>265</v>
      </c>
      <c r="W16" s="35" t="s">
        <v>265</v>
      </c>
      <c r="X16" s="35" t="s">
        <v>265</v>
      </c>
      <c r="Y16" s="35" t="s">
        <v>265</v>
      </c>
      <c r="Z16" s="35" t="s">
        <v>265</v>
      </c>
      <c r="AA16" s="35" t="s">
        <v>556</v>
      </c>
      <c r="AB16" s="35" t="s">
        <v>265</v>
      </c>
      <c r="AC16" s="35" t="s">
        <v>265</v>
      </c>
      <c r="AD16" s="35" t="s">
        <v>265</v>
      </c>
      <c r="AE16" s="35" t="s">
        <v>265</v>
      </c>
      <c r="AF16" s="35" t="s">
        <v>265</v>
      </c>
      <c r="AG16" s="35" t="s">
        <v>265</v>
      </c>
      <c r="AH16" s="35" t="s">
        <v>265</v>
      </c>
      <c r="AI16" s="35" t="s">
        <v>265</v>
      </c>
      <c r="AJ16" s="35" t="s">
        <v>265</v>
      </c>
      <c r="AK16" s="35" t="s">
        <v>265</v>
      </c>
      <c r="AL16" s="35" t="s">
        <v>265</v>
      </c>
      <c r="AM16" s="35" t="s">
        <v>456</v>
      </c>
      <c r="AN16" s="35" t="s">
        <v>456</v>
      </c>
      <c r="AO16" s="35" t="s">
        <v>265</v>
      </c>
      <c r="AP16" s="35" t="s">
        <v>265</v>
      </c>
      <c r="AQ16" s="35" t="s">
        <v>265</v>
      </c>
      <c r="AR16" s="35" t="s">
        <v>265</v>
      </c>
      <c r="AS16" s="35" t="s">
        <v>265</v>
      </c>
      <c r="AT16" s="35" t="s">
        <v>265</v>
      </c>
      <c r="AU16" s="35" t="s">
        <v>265</v>
      </c>
      <c r="AV16" s="35" t="s">
        <v>265</v>
      </c>
      <c r="AW16" s="35" t="s">
        <v>265</v>
      </c>
      <c r="AX16" s="35" t="s">
        <v>265</v>
      </c>
      <c r="AY16" s="35" t="s">
        <v>265</v>
      </c>
      <c r="AZ16" s="35" t="s">
        <v>265</v>
      </c>
      <c r="BA16" s="35" t="s">
        <v>265</v>
      </c>
      <c r="BB16" s="35" t="s">
        <v>265</v>
      </c>
      <c r="BC16" s="35" t="s">
        <v>265</v>
      </c>
      <c r="BD16" s="35" t="s">
        <v>265</v>
      </c>
      <c r="BE16" s="35" t="s">
        <v>265</v>
      </c>
      <c r="BF16" s="35" t="s">
        <v>265</v>
      </c>
      <c r="BG16" s="35" t="s">
        <v>265</v>
      </c>
      <c r="BH16" s="297" t="s">
        <v>265</v>
      </c>
      <c r="BI16" s="297" t="s">
        <v>265</v>
      </c>
      <c r="BJ16" s="35" t="s">
        <v>265</v>
      </c>
      <c r="BK16" s="35" t="s">
        <v>265</v>
      </c>
      <c r="BL16" s="35" t="s">
        <v>265</v>
      </c>
      <c r="BM16" s="35" t="s">
        <v>265</v>
      </c>
      <c r="BN16" s="35" t="s">
        <v>265</v>
      </c>
      <c r="BO16" s="35" t="s">
        <v>265</v>
      </c>
      <c r="BP16" s="35" t="s">
        <v>265</v>
      </c>
      <c r="BQ16" s="35" t="s">
        <v>265</v>
      </c>
      <c r="BR16" s="35" t="s">
        <v>265</v>
      </c>
      <c r="BS16" s="35" t="s">
        <v>265</v>
      </c>
      <c r="BT16" s="35" t="s">
        <v>265</v>
      </c>
      <c r="BU16" s="35" t="s">
        <v>265</v>
      </c>
      <c r="BV16" s="35" t="s">
        <v>265</v>
      </c>
      <c r="BW16" s="35" t="s">
        <v>265</v>
      </c>
      <c r="BX16" s="35" t="s">
        <v>265</v>
      </c>
      <c r="BY16" s="35" t="s">
        <v>265</v>
      </c>
      <c r="BZ16" s="35" t="s">
        <v>265</v>
      </c>
      <c r="CA16" s="311" t="s">
        <v>265</v>
      </c>
      <c r="CB16" s="35" t="s">
        <v>265</v>
      </c>
      <c r="CC16" s="35" t="s">
        <v>265</v>
      </c>
      <c r="CD16" s="35" t="s">
        <v>265</v>
      </c>
      <c r="CE16" s="35" t="s">
        <v>265</v>
      </c>
      <c r="CF16" s="35" t="s">
        <v>265</v>
      </c>
      <c r="CG16" s="35" t="s">
        <v>265</v>
      </c>
      <c r="CH16" s="35" t="s">
        <v>265</v>
      </c>
      <c r="CI16" s="35" t="s">
        <v>442</v>
      </c>
      <c r="CJ16" s="35" t="s">
        <v>442</v>
      </c>
      <c r="CK16" s="35" t="s">
        <v>442</v>
      </c>
      <c r="CL16" s="35" t="s">
        <v>265</v>
      </c>
      <c r="CM16" s="35" t="s">
        <v>265</v>
      </c>
      <c r="CN16" s="35" t="s">
        <v>442</v>
      </c>
      <c r="CO16" s="35" t="s">
        <v>442</v>
      </c>
      <c r="CP16" s="35" t="s">
        <v>456</v>
      </c>
      <c r="CQ16" s="35" t="s">
        <v>456</v>
      </c>
      <c r="CR16" s="35" t="s">
        <v>456</v>
      </c>
      <c r="CS16" s="35" t="s">
        <v>456</v>
      </c>
      <c r="CT16" s="35" t="s">
        <v>265</v>
      </c>
      <c r="CU16" s="35" t="s">
        <v>456</v>
      </c>
      <c r="CV16" s="35" t="s">
        <v>456</v>
      </c>
      <c r="CW16" s="35" t="s">
        <v>265</v>
      </c>
      <c r="CX16" s="35" t="s">
        <v>456</v>
      </c>
      <c r="CY16" s="35" t="s">
        <v>456</v>
      </c>
      <c r="CZ16" s="35" t="s">
        <v>456</v>
      </c>
      <c r="DA16" s="35" t="s">
        <v>456</v>
      </c>
      <c r="DB16" s="237" t="s">
        <v>456</v>
      </c>
      <c r="DC16" s="237" t="s">
        <v>456</v>
      </c>
      <c r="DD16" s="237" t="s">
        <v>456</v>
      </c>
      <c r="DE16" s="15"/>
      <c r="DF16" s="35" t="s">
        <v>265</v>
      </c>
      <c r="DG16" s="35" t="s">
        <v>265</v>
      </c>
      <c r="DH16" s="35" t="s">
        <v>265</v>
      </c>
      <c r="DI16" s="35" t="s">
        <v>456</v>
      </c>
      <c r="DJ16" s="237" t="s">
        <v>456</v>
      </c>
      <c r="DK16" s="237" t="s">
        <v>265</v>
      </c>
      <c r="DL16" s="237" t="s">
        <v>456</v>
      </c>
      <c r="DM16" s="35" t="s">
        <v>456</v>
      </c>
      <c r="DN16" s="35" t="s">
        <v>456</v>
      </c>
      <c r="DO16" s="35" t="s">
        <v>456</v>
      </c>
      <c r="DP16" s="35" t="s">
        <v>456</v>
      </c>
      <c r="DQ16" s="98"/>
      <c r="DR16" s="98"/>
      <c r="DS16" s="98"/>
      <c r="DT16" s="98"/>
      <c r="DU16" s="98"/>
      <c r="DV16" s="98"/>
      <c r="DW16" s="98"/>
      <c r="DX16" s="98"/>
      <c r="DY16" s="98"/>
      <c r="DZ16" s="98"/>
      <c r="EA16" s="98"/>
      <c r="EB16" s="98"/>
      <c r="EC16" s="98"/>
      <c r="EI16" s="15"/>
      <c r="EJ16" s="15"/>
      <c r="EK16" s="15"/>
      <c r="EL16" s="15"/>
      <c r="EM16" s="15"/>
      <c r="EN16" s="15"/>
      <c r="EO16" s="15"/>
      <c r="EP16" s="15"/>
      <c r="EQ16" s="15"/>
      <c r="ER16" s="15"/>
      <c r="ES16" s="15"/>
      <c r="ET16" s="15"/>
      <c r="EU16" s="15"/>
      <c r="EV16" s="15"/>
      <c r="EW16" s="15"/>
      <c r="EX16" s="15"/>
      <c r="EY16" s="15"/>
      <c r="EZ16" s="137"/>
      <c r="FA16" s="15"/>
      <c r="FB16" s="15"/>
      <c r="FC16" s="15"/>
      <c r="FD16" s="15"/>
      <c r="FE16" s="15"/>
      <c r="FF16" s="15"/>
      <c r="FG16" s="15"/>
      <c r="FH16" s="15"/>
      <c r="FI16" s="15"/>
      <c r="FJ16" s="15"/>
      <c r="FK16" s="15"/>
      <c r="FL16" s="15"/>
      <c r="FO16" s="15"/>
      <c r="FP16" s="137"/>
      <c r="FQ16" s="137"/>
      <c r="FR16" s="54"/>
      <c r="FS16" s="54"/>
      <c r="FT16" s="137"/>
      <c r="FU16" s="137"/>
      <c r="FV16" s="137"/>
      <c r="FW16" s="54"/>
      <c r="FX16" s="35" t="s">
        <v>265</v>
      </c>
      <c r="FY16" s="54"/>
      <c r="FZ16" s="54"/>
      <c r="GA16" s="35" t="s">
        <v>265</v>
      </c>
      <c r="GB16" s="35" t="s">
        <v>265</v>
      </c>
      <c r="GC16" s="35" t="s">
        <v>442</v>
      </c>
      <c r="GD16" s="35" t="s">
        <v>265</v>
      </c>
      <c r="GE16" s="54"/>
      <c r="GF16" s="54"/>
      <c r="GG16" s="54"/>
      <c r="GH16" s="54"/>
      <c r="GI16" s="54"/>
      <c r="GJ16" s="54"/>
      <c r="GK16" s="54"/>
    </row>
    <row r="17" spans="1:199" ht="14.25" thickTop="1" thickBot="1" x14ac:dyDescent="0.25">
      <c r="A17" s="199" t="s">
        <v>330</v>
      </c>
      <c r="B17" s="196" t="s">
        <v>654</v>
      </c>
      <c r="C17" s="196" t="s">
        <v>510</v>
      </c>
      <c r="D17" s="215" t="s">
        <v>400</v>
      </c>
      <c r="E17" s="196" t="s">
        <v>302</v>
      </c>
      <c r="F17" s="18" t="s">
        <v>28</v>
      </c>
      <c r="G17" s="132" t="s">
        <v>67</v>
      </c>
      <c r="H17" s="215" t="s">
        <v>168</v>
      </c>
      <c r="I17" s="194" t="s">
        <v>310</v>
      </c>
      <c r="J17" s="194" t="s">
        <v>87</v>
      </c>
      <c r="K17" s="194" t="s">
        <v>228</v>
      </c>
      <c r="L17" s="194" t="s">
        <v>144</v>
      </c>
      <c r="M17" s="194" t="s">
        <v>429</v>
      </c>
      <c r="N17" s="56" t="s">
        <v>182</v>
      </c>
      <c r="O17" s="56" t="s">
        <v>298</v>
      </c>
      <c r="P17" s="56" t="s">
        <v>571</v>
      </c>
      <c r="Q17" s="56" t="s">
        <v>156</v>
      </c>
      <c r="R17" s="56" t="s">
        <v>299</v>
      </c>
      <c r="S17" s="194" t="s">
        <v>164</v>
      </c>
      <c r="T17" s="194" t="s">
        <v>403</v>
      </c>
      <c r="U17" s="56" t="s">
        <v>367</v>
      </c>
      <c r="V17" s="194" t="s">
        <v>105</v>
      </c>
      <c r="W17" s="179" t="s">
        <v>520</v>
      </c>
      <c r="X17" s="179" t="s">
        <v>469</v>
      </c>
      <c r="Y17" s="179" t="s">
        <v>432</v>
      </c>
      <c r="Z17" s="179" t="s">
        <v>75</v>
      </c>
      <c r="AA17" s="56" t="s">
        <v>666</v>
      </c>
      <c r="AB17" s="194" t="s">
        <v>111</v>
      </c>
      <c r="AC17" s="194" t="s">
        <v>289</v>
      </c>
      <c r="AD17" s="194" t="s">
        <v>308</v>
      </c>
      <c r="AE17" s="194" t="s">
        <v>411</v>
      </c>
      <c r="AF17" s="194" t="s">
        <v>425</v>
      </c>
      <c r="AG17" s="194" t="s">
        <v>431</v>
      </c>
      <c r="AH17" s="56" t="s">
        <v>696</v>
      </c>
      <c r="AI17" s="194" t="s">
        <v>15</v>
      </c>
      <c r="AJ17" s="194" t="s">
        <v>551</v>
      </c>
      <c r="AK17" s="194" t="s">
        <v>9</v>
      </c>
      <c r="AL17" s="194" t="s">
        <v>566</v>
      </c>
      <c r="AM17" s="194" t="s">
        <v>412</v>
      </c>
      <c r="AN17" s="194" t="s">
        <v>369</v>
      </c>
      <c r="AO17" s="194" t="s">
        <v>348</v>
      </c>
      <c r="AP17" s="194" t="s">
        <v>244</v>
      </c>
      <c r="AQ17" s="194" t="s">
        <v>488</v>
      </c>
      <c r="AR17" s="194" t="s">
        <v>397</v>
      </c>
      <c r="AS17" s="194" t="s">
        <v>440</v>
      </c>
      <c r="AT17" s="194" t="s">
        <v>445</v>
      </c>
      <c r="AU17" s="224" t="s">
        <v>119</v>
      </c>
      <c r="AV17" s="224" t="s">
        <v>580</v>
      </c>
      <c r="AW17" s="224" t="s">
        <v>64</v>
      </c>
      <c r="AX17" s="194" t="s">
        <v>471</v>
      </c>
      <c r="AY17" s="194" t="s">
        <v>539</v>
      </c>
      <c r="AZ17" s="224" t="s">
        <v>318</v>
      </c>
      <c r="BA17" s="224" t="s">
        <v>257</v>
      </c>
      <c r="BB17" s="202" t="s">
        <v>751</v>
      </c>
      <c r="BC17" s="224" t="s">
        <v>55</v>
      </c>
      <c r="BD17" s="194" t="s">
        <v>522</v>
      </c>
      <c r="BE17" s="224" t="s">
        <v>370</v>
      </c>
      <c r="BF17" s="202" t="s">
        <v>752</v>
      </c>
      <c r="BG17" s="224" t="s">
        <v>585</v>
      </c>
      <c r="BH17" s="303" t="s">
        <v>603</v>
      </c>
      <c r="BI17" s="303" t="s">
        <v>604</v>
      </c>
      <c r="BJ17" s="224" t="s">
        <v>565</v>
      </c>
      <c r="BK17" s="202" t="s">
        <v>354</v>
      </c>
      <c r="BL17" s="224" t="s">
        <v>93</v>
      </c>
      <c r="BM17" s="224" t="s">
        <v>198</v>
      </c>
      <c r="BN17" s="224" t="s">
        <v>542</v>
      </c>
      <c r="BO17" s="224" t="s">
        <v>152</v>
      </c>
      <c r="BP17" s="202" t="s">
        <v>547</v>
      </c>
      <c r="BQ17" s="202" t="s">
        <v>490</v>
      </c>
      <c r="BR17" s="202" t="s">
        <v>209</v>
      </c>
      <c r="BS17" s="202" t="s">
        <v>163</v>
      </c>
      <c r="BT17" s="202" t="s">
        <v>200</v>
      </c>
      <c r="BU17" s="202" t="s">
        <v>54</v>
      </c>
      <c r="BV17" s="202" t="s">
        <v>133</v>
      </c>
      <c r="BW17" s="202" t="s">
        <v>232</v>
      </c>
      <c r="BX17" s="202" t="s">
        <v>56</v>
      </c>
      <c r="BY17" s="202" t="s">
        <v>434</v>
      </c>
      <c r="BZ17" s="202" t="s">
        <v>108</v>
      </c>
      <c r="CA17" s="306" t="s">
        <v>657</v>
      </c>
      <c r="CB17" s="202" t="s">
        <v>659</v>
      </c>
      <c r="CC17" s="202" t="s">
        <v>661</v>
      </c>
      <c r="CD17" s="202" t="s">
        <v>648</v>
      </c>
      <c r="CE17" s="202" t="s">
        <v>649</v>
      </c>
      <c r="CF17" s="202" t="s">
        <v>650</v>
      </c>
      <c r="CG17" s="202" t="s">
        <v>327</v>
      </c>
      <c r="CH17" s="202" t="s">
        <v>356</v>
      </c>
      <c r="CI17" s="202" t="s">
        <v>513</v>
      </c>
      <c r="CJ17" s="202" t="s">
        <v>554</v>
      </c>
      <c r="CK17" s="202" t="s">
        <v>409</v>
      </c>
      <c r="CL17" s="224" t="s">
        <v>72</v>
      </c>
      <c r="CM17" s="224" t="s">
        <v>35</v>
      </c>
      <c r="CN17" s="224" t="s">
        <v>110</v>
      </c>
      <c r="CO17" s="224" t="s">
        <v>122</v>
      </c>
      <c r="CP17" s="224" t="s">
        <v>392</v>
      </c>
      <c r="CQ17" s="224" t="s">
        <v>355</v>
      </c>
      <c r="CR17" s="224" t="s">
        <v>253</v>
      </c>
      <c r="CS17" s="224" t="s">
        <v>561</v>
      </c>
      <c r="CT17" s="202" t="s">
        <v>712</v>
      </c>
      <c r="CU17" s="224" t="s">
        <v>78</v>
      </c>
      <c r="CV17" s="30" t="s">
        <v>582</v>
      </c>
      <c r="CW17" s="202" t="s">
        <v>699</v>
      </c>
      <c r="CX17" s="224" t="s">
        <v>166</v>
      </c>
      <c r="CY17" s="224" t="s">
        <v>94</v>
      </c>
      <c r="CZ17" s="202" t="s">
        <v>506</v>
      </c>
      <c r="DA17" s="202" t="s">
        <v>205</v>
      </c>
      <c r="DB17" s="30" t="s">
        <v>284</v>
      </c>
      <c r="DC17" s="30" t="s">
        <v>332</v>
      </c>
      <c r="DD17" s="30" t="s">
        <v>361</v>
      </c>
      <c r="DE17" s="15"/>
      <c r="DF17" s="202" t="s">
        <v>21</v>
      </c>
      <c r="DG17" s="171" t="s">
        <v>323</v>
      </c>
      <c r="DH17" s="171" t="s">
        <v>447</v>
      </c>
      <c r="DI17" s="171" t="s">
        <v>742</v>
      </c>
      <c r="DJ17" s="30" t="s">
        <v>516</v>
      </c>
      <c r="DK17" s="30" t="s">
        <v>679</v>
      </c>
      <c r="DL17" s="30" t="s">
        <v>30</v>
      </c>
      <c r="DM17" s="30" t="s">
        <v>280</v>
      </c>
      <c r="DN17" s="30" t="s">
        <v>386</v>
      </c>
      <c r="DO17" s="202" t="s">
        <v>395</v>
      </c>
      <c r="DP17" s="202" t="s">
        <v>499</v>
      </c>
      <c r="DQ17" s="98"/>
      <c r="DR17" s="98"/>
      <c r="DS17" s="98"/>
      <c r="DT17" s="98"/>
      <c r="DU17" s="98"/>
      <c r="DV17" s="98"/>
      <c r="DW17" s="98"/>
      <c r="DX17" s="98"/>
      <c r="DY17" s="98"/>
      <c r="DZ17" s="98"/>
      <c r="EA17" s="98"/>
      <c r="EB17" s="98"/>
      <c r="EC17" s="98"/>
      <c r="EI17" s="15"/>
      <c r="EJ17" s="15"/>
      <c r="EK17" s="15"/>
      <c r="EL17" s="15"/>
      <c r="EM17" s="15"/>
      <c r="EN17" s="15"/>
      <c r="EO17" s="15"/>
      <c r="EP17" s="15"/>
      <c r="EQ17" s="15"/>
      <c r="ER17" s="15"/>
      <c r="ES17" s="15"/>
      <c r="ET17" s="15"/>
      <c r="EU17" s="15"/>
      <c r="EV17" s="15"/>
      <c r="EW17" s="15"/>
      <c r="EX17" s="15"/>
      <c r="EY17" s="15"/>
      <c r="EZ17" s="137"/>
      <c r="FA17" s="15"/>
      <c r="FB17" s="15"/>
      <c r="FC17" s="15"/>
      <c r="FD17" s="15"/>
      <c r="FE17" s="15"/>
      <c r="FF17" s="15"/>
      <c r="FG17" s="15"/>
      <c r="FH17" s="15"/>
      <c r="FI17" s="15"/>
      <c r="FJ17" s="15"/>
      <c r="FK17" s="15"/>
      <c r="FL17" s="15"/>
      <c r="FO17" s="15"/>
      <c r="FP17" s="137"/>
      <c r="FQ17" s="137"/>
      <c r="FR17" s="54"/>
      <c r="FS17" s="54"/>
      <c r="FT17" s="137"/>
      <c r="FU17" s="137"/>
      <c r="FV17" s="137"/>
      <c r="FW17" s="54"/>
      <c r="FX17" s="202" t="s">
        <v>413</v>
      </c>
      <c r="FY17" s="54"/>
      <c r="FZ17" s="54"/>
      <c r="GA17" s="224" t="s">
        <v>51</v>
      </c>
      <c r="GB17" s="194" t="s">
        <v>283</v>
      </c>
      <c r="GC17" s="224" t="s">
        <v>270</v>
      </c>
      <c r="GD17" s="194" t="s">
        <v>576</v>
      </c>
      <c r="GE17" s="54"/>
      <c r="GF17" s="54"/>
      <c r="GG17" s="54"/>
      <c r="GH17" s="54"/>
      <c r="GI17" s="54"/>
      <c r="GJ17" s="54"/>
      <c r="GK17" s="54"/>
    </row>
    <row r="18" spans="1:199" ht="14.25" thickTop="1" thickBot="1" x14ac:dyDescent="0.25">
      <c r="A18" s="199" t="s">
        <v>527</v>
      </c>
      <c r="B18" s="35" t="s">
        <v>265</v>
      </c>
      <c r="C18" s="35" t="s">
        <v>265</v>
      </c>
      <c r="D18" s="35" t="s">
        <v>265</v>
      </c>
      <c r="E18" s="35" t="s">
        <v>265</v>
      </c>
      <c r="F18" s="72" t="s">
        <v>442</v>
      </c>
      <c r="G18" s="72" t="s">
        <v>556</v>
      </c>
      <c r="H18" s="35" t="s">
        <v>265</v>
      </c>
      <c r="I18" s="35" t="s">
        <v>265</v>
      </c>
      <c r="J18" s="35" t="s">
        <v>265</v>
      </c>
      <c r="K18" s="35" t="s">
        <v>265</v>
      </c>
      <c r="L18" s="35" t="s">
        <v>265</v>
      </c>
      <c r="M18" s="35" t="s">
        <v>265</v>
      </c>
      <c r="N18" s="35" t="s">
        <v>265</v>
      </c>
      <c r="O18" s="35" t="s">
        <v>265</v>
      </c>
      <c r="P18" s="35" t="s">
        <v>265</v>
      </c>
      <c r="Q18" s="35" t="s">
        <v>265</v>
      </c>
      <c r="R18" s="35" t="s">
        <v>265</v>
      </c>
      <c r="S18" s="35" t="s">
        <v>265</v>
      </c>
      <c r="T18" s="35" t="s">
        <v>265</v>
      </c>
      <c r="U18" s="35" t="s">
        <v>265</v>
      </c>
      <c r="V18" s="35" t="s">
        <v>265</v>
      </c>
      <c r="W18" s="35" t="s">
        <v>265</v>
      </c>
      <c r="X18" s="35" t="s">
        <v>265</v>
      </c>
      <c r="Y18" s="35" t="s">
        <v>265</v>
      </c>
      <c r="Z18" s="35" t="s">
        <v>265</v>
      </c>
      <c r="AA18" s="35" t="s">
        <v>556</v>
      </c>
      <c r="AB18" s="35" t="s">
        <v>265</v>
      </c>
      <c r="AC18" s="35" t="s">
        <v>265</v>
      </c>
      <c r="AD18" s="35" t="s">
        <v>265</v>
      </c>
      <c r="AE18" s="35" t="s">
        <v>265</v>
      </c>
      <c r="AF18" s="35" t="s">
        <v>265</v>
      </c>
      <c r="AG18" s="35" t="s">
        <v>265</v>
      </c>
      <c r="AH18" s="35" t="s">
        <v>265</v>
      </c>
      <c r="AI18" s="35" t="s">
        <v>265</v>
      </c>
      <c r="AJ18" s="35" t="s">
        <v>265</v>
      </c>
      <c r="AK18" s="35" t="s">
        <v>265</v>
      </c>
      <c r="AL18" s="35" t="s">
        <v>265</v>
      </c>
      <c r="AM18" s="35" t="s">
        <v>456</v>
      </c>
      <c r="AN18" s="35" t="s">
        <v>456</v>
      </c>
      <c r="AO18" s="35" t="s">
        <v>265</v>
      </c>
      <c r="AP18" s="35" t="s">
        <v>265</v>
      </c>
      <c r="AQ18" s="35" t="s">
        <v>265</v>
      </c>
      <c r="AR18" s="35" t="s">
        <v>265</v>
      </c>
      <c r="AS18" s="35" t="s">
        <v>265</v>
      </c>
      <c r="AT18" s="35" t="s">
        <v>265</v>
      </c>
      <c r="AU18" s="35" t="s">
        <v>265</v>
      </c>
      <c r="AV18" s="35" t="s">
        <v>265</v>
      </c>
      <c r="AW18" s="35" t="s">
        <v>265</v>
      </c>
      <c r="AX18" s="35" t="s">
        <v>265</v>
      </c>
      <c r="AY18" s="35" t="s">
        <v>265</v>
      </c>
      <c r="AZ18" s="35" t="s">
        <v>265</v>
      </c>
      <c r="BA18" s="35" t="s">
        <v>265</v>
      </c>
      <c r="BB18" s="35" t="s">
        <v>265</v>
      </c>
      <c r="BC18" s="35" t="s">
        <v>265</v>
      </c>
      <c r="BD18" s="35" t="s">
        <v>265</v>
      </c>
      <c r="BE18" s="35" t="s">
        <v>265</v>
      </c>
      <c r="BF18" s="35" t="s">
        <v>265</v>
      </c>
      <c r="BG18" s="35" t="s">
        <v>265</v>
      </c>
      <c r="BH18" s="297" t="s">
        <v>265</v>
      </c>
      <c r="BI18" s="297" t="s">
        <v>265</v>
      </c>
      <c r="BJ18" s="35" t="s">
        <v>265</v>
      </c>
      <c r="BK18" s="35" t="s">
        <v>265</v>
      </c>
      <c r="BL18" s="35" t="s">
        <v>265</v>
      </c>
      <c r="BM18" s="35" t="s">
        <v>265</v>
      </c>
      <c r="BN18" s="35" t="s">
        <v>265</v>
      </c>
      <c r="BO18" s="35" t="s">
        <v>265</v>
      </c>
      <c r="BP18" s="35" t="s">
        <v>265</v>
      </c>
      <c r="BQ18" s="35" t="s">
        <v>265</v>
      </c>
      <c r="BR18" s="35" t="s">
        <v>265</v>
      </c>
      <c r="BS18" s="35" t="s">
        <v>265</v>
      </c>
      <c r="BT18" s="35" t="s">
        <v>265</v>
      </c>
      <c r="BU18" s="35" t="s">
        <v>265</v>
      </c>
      <c r="BV18" s="35" t="s">
        <v>265</v>
      </c>
      <c r="BW18" s="35" t="s">
        <v>265</v>
      </c>
      <c r="BX18" s="35" t="s">
        <v>265</v>
      </c>
      <c r="BY18" s="35" t="s">
        <v>265</v>
      </c>
      <c r="BZ18" s="35" t="s">
        <v>265</v>
      </c>
      <c r="CA18" s="311" t="s">
        <v>265</v>
      </c>
      <c r="CB18" s="35" t="s">
        <v>265</v>
      </c>
      <c r="CC18" s="35" t="s">
        <v>265</v>
      </c>
      <c r="CD18" s="35" t="s">
        <v>265</v>
      </c>
      <c r="CE18" s="35" t="s">
        <v>265</v>
      </c>
      <c r="CF18" s="35" t="s">
        <v>265</v>
      </c>
      <c r="CG18" s="35" t="s">
        <v>265</v>
      </c>
      <c r="CH18" s="35" t="s">
        <v>265</v>
      </c>
      <c r="CI18" s="35" t="s">
        <v>442</v>
      </c>
      <c r="CJ18" s="35" t="s">
        <v>442</v>
      </c>
      <c r="CK18" s="35" t="s">
        <v>442</v>
      </c>
      <c r="CL18" s="35" t="s">
        <v>265</v>
      </c>
      <c r="CM18" s="35" t="s">
        <v>265</v>
      </c>
      <c r="CN18" s="35" t="s">
        <v>456</v>
      </c>
      <c r="CO18" s="35" t="s">
        <v>456</v>
      </c>
      <c r="CP18" s="35" t="s">
        <v>456</v>
      </c>
      <c r="CQ18" s="35" t="s">
        <v>456</v>
      </c>
      <c r="CR18" s="35" t="s">
        <v>456</v>
      </c>
      <c r="CS18" s="35" t="s">
        <v>456</v>
      </c>
      <c r="CT18" s="35" t="s">
        <v>456</v>
      </c>
      <c r="CU18" s="35" t="s">
        <v>456</v>
      </c>
      <c r="CV18" s="35" t="s">
        <v>456</v>
      </c>
      <c r="CW18" s="35" t="s">
        <v>265</v>
      </c>
      <c r="CX18" s="35" t="s">
        <v>456</v>
      </c>
      <c r="CY18" s="35" t="s">
        <v>456</v>
      </c>
      <c r="CZ18" s="35" t="s">
        <v>456</v>
      </c>
      <c r="DA18" s="35" t="s">
        <v>456</v>
      </c>
      <c r="DB18" s="237" t="s">
        <v>456</v>
      </c>
      <c r="DC18" s="237" t="s">
        <v>456</v>
      </c>
      <c r="DD18" s="237" t="s">
        <v>456</v>
      </c>
      <c r="DE18" s="15"/>
      <c r="DF18" s="35" t="s">
        <v>265</v>
      </c>
      <c r="DG18" s="35" t="s">
        <v>265</v>
      </c>
      <c r="DH18" s="35" t="s">
        <v>265</v>
      </c>
      <c r="DI18" s="35" t="s">
        <v>456</v>
      </c>
      <c r="DJ18" s="237" t="s">
        <v>456</v>
      </c>
      <c r="DK18" s="237" t="s">
        <v>265</v>
      </c>
      <c r="DL18" s="237" t="s">
        <v>456</v>
      </c>
      <c r="DM18" s="35" t="s">
        <v>456</v>
      </c>
      <c r="DN18" s="35" t="s">
        <v>456</v>
      </c>
      <c r="DO18" s="35" t="s">
        <v>456</v>
      </c>
      <c r="DP18" s="35" t="s">
        <v>456</v>
      </c>
      <c r="DQ18" s="98"/>
      <c r="DR18" s="98"/>
      <c r="DS18" s="98"/>
      <c r="DT18" s="98"/>
      <c r="DU18" s="98"/>
      <c r="DV18" s="98"/>
      <c r="DW18" s="98"/>
      <c r="DX18" s="98"/>
      <c r="DY18" s="98"/>
      <c r="DZ18" s="98"/>
      <c r="EA18" s="98"/>
      <c r="EB18" s="98"/>
      <c r="EC18" s="98"/>
      <c r="EK18" s="15"/>
      <c r="EL18" s="15"/>
      <c r="EM18" s="35" t="s">
        <v>265</v>
      </c>
      <c r="EN18" s="15"/>
      <c r="EO18" s="15"/>
      <c r="EP18" s="15"/>
      <c r="EQ18" s="15"/>
      <c r="ER18" s="15"/>
      <c r="ES18" s="15"/>
      <c r="ET18" s="15"/>
      <c r="EU18" s="15"/>
      <c r="EV18" s="15"/>
      <c r="EW18" s="15"/>
      <c r="EX18" s="15"/>
      <c r="EY18" s="15"/>
      <c r="EZ18" s="137"/>
      <c r="FA18" s="15"/>
      <c r="FB18" s="15"/>
      <c r="FC18" s="15"/>
      <c r="FD18" s="15"/>
      <c r="FE18" s="15"/>
      <c r="FF18" s="15"/>
      <c r="FG18" s="15"/>
      <c r="FH18" s="15"/>
      <c r="FI18" s="15"/>
      <c r="FJ18" s="15"/>
      <c r="FK18" s="15"/>
      <c r="FL18" s="15"/>
      <c r="FO18" s="15"/>
      <c r="FP18" s="137"/>
      <c r="FQ18" s="137"/>
      <c r="FR18" s="54"/>
      <c r="FS18" s="54"/>
      <c r="FT18" s="137"/>
      <c r="FU18" s="137"/>
      <c r="FV18" s="137"/>
      <c r="FW18" s="54"/>
      <c r="FX18" s="35" t="s">
        <v>265</v>
      </c>
      <c r="FY18" s="54"/>
      <c r="FZ18" s="54"/>
      <c r="GA18" s="35" t="s">
        <v>442</v>
      </c>
      <c r="GB18" s="35" t="s">
        <v>265</v>
      </c>
      <c r="GC18" s="35" t="s">
        <v>265</v>
      </c>
      <c r="GD18" s="35" t="s">
        <v>265</v>
      </c>
      <c r="GE18" s="54"/>
      <c r="GF18" s="54"/>
      <c r="GG18" s="54"/>
      <c r="GH18" s="54"/>
      <c r="GI18" s="54"/>
      <c r="GJ18" s="54"/>
      <c r="GK18" s="54"/>
    </row>
    <row r="19" spans="1:199" ht="14.25" thickTop="1" thickBot="1" x14ac:dyDescent="0.25">
      <c r="A19" s="199" t="s">
        <v>418</v>
      </c>
      <c r="B19" s="196" t="s">
        <v>654</v>
      </c>
      <c r="C19" s="196" t="s">
        <v>510</v>
      </c>
      <c r="D19" s="215" t="s">
        <v>400</v>
      </c>
      <c r="E19" s="196" t="s">
        <v>302</v>
      </c>
      <c r="F19" s="18" t="s">
        <v>28</v>
      </c>
      <c r="G19" s="132" t="s">
        <v>67</v>
      </c>
      <c r="H19" s="215" t="s">
        <v>168</v>
      </c>
      <c r="I19" s="194" t="s">
        <v>310</v>
      </c>
      <c r="J19" s="194" t="s">
        <v>87</v>
      </c>
      <c r="K19" s="194" t="s">
        <v>228</v>
      </c>
      <c r="L19" s="194" t="s">
        <v>144</v>
      </c>
      <c r="M19" s="194" t="s">
        <v>429</v>
      </c>
      <c r="N19" s="56" t="s">
        <v>182</v>
      </c>
      <c r="O19" s="56" t="s">
        <v>298</v>
      </c>
      <c r="P19" s="56" t="s">
        <v>571</v>
      </c>
      <c r="Q19" s="56" t="s">
        <v>156</v>
      </c>
      <c r="R19" s="56" t="s">
        <v>299</v>
      </c>
      <c r="S19" s="194" t="s">
        <v>164</v>
      </c>
      <c r="T19" s="194" t="s">
        <v>403</v>
      </c>
      <c r="U19" s="56" t="s">
        <v>367</v>
      </c>
      <c r="V19" s="194" t="s">
        <v>105</v>
      </c>
      <c r="W19" s="179" t="s">
        <v>520</v>
      </c>
      <c r="X19" s="179" t="s">
        <v>469</v>
      </c>
      <c r="Y19" s="179" t="s">
        <v>432</v>
      </c>
      <c r="Z19" s="179" t="s">
        <v>75</v>
      </c>
      <c r="AA19" s="56" t="s">
        <v>666</v>
      </c>
      <c r="AB19" s="194" t="s">
        <v>111</v>
      </c>
      <c r="AC19" s="194" t="s">
        <v>289</v>
      </c>
      <c r="AD19" s="194" t="s">
        <v>308</v>
      </c>
      <c r="AE19" s="194" t="s">
        <v>411</v>
      </c>
      <c r="AF19" s="194" t="s">
        <v>425</v>
      </c>
      <c r="AG19" s="194" t="s">
        <v>431</v>
      </c>
      <c r="AH19" s="56" t="s">
        <v>696</v>
      </c>
      <c r="AI19" s="194" t="s">
        <v>15</v>
      </c>
      <c r="AJ19" s="194" t="s">
        <v>551</v>
      </c>
      <c r="AK19" s="194" t="s">
        <v>9</v>
      </c>
      <c r="AL19" s="194" t="s">
        <v>566</v>
      </c>
      <c r="AM19" s="194" t="s">
        <v>412</v>
      </c>
      <c r="AN19" s="194" t="s">
        <v>369</v>
      </c>
      <c r="AO19" s="194" t="s">
        <v>348</v>
      </c>
      <c r="AP19" s="194" t="s">
        <v>244</v>
      </c>
      <c r="AQ19" s="194" t="s">
        <v>488</v>
      </c>
      <c r="AR19" s="194" t="s">
        <v>397</v>
      </c>
      <c r="AS19" s="194" t="s">
        <v>440</v>
      </c>
      <c r="AT19" s="194" t="s">
        <v>445</v>
      </c>
      <c r="AU19" s="224" t="s">
        <v>119</v>
      </c>
      <c r="AV19" s="224" t="s">
        <v>580</v>
      </c>
      <c r="AW19" s="224" t="s">
        <v>64</v>
      </c>
      <c r="AX19" s="194" t="s">
        <v>471</v>
      </c>
      <c r="AY19" s="194" t="s">
        <v>539</v>
      </c>
      <c r="AZ19" s="224" t="s">
        <v>318</v>
      </c>
      <c r="BA19" s="224" t="s">
        <v>257</v>
      </c>
      <c r="BB19" s="202" t="s">
        <v>751</v>
      </c>
      <c r="BC19" s="224" t="s">
        <v>55</v>
      </c>
      <c r="BD19" s="194" t="s">
        <v>522</v>
      </c>
      <c r="BE19" s="224" t="s">
        <v>370</v>
      </c>
      <c r="BF19" s="202" t="s">
        <v>752</v>
      </c>
      <c r="BG19" s="224" t="s">
        <v>585</v>
      </c>
      <c r="BH19" s="303" t="s">
        <v>603</v>
      </c>
      <c r="BI19" s="303" t="s">
        <v>604</v>
      </c>
      <c r="BJ19" s="224" t="s">
        <v>565</v>
      </c>
      <c r="BK19" s="202" t="s">
        <v>354</v>
      </c>
      <c r="BL19" s="224" t="s">
        <v>93</v>
      </c>
      <c r="BM19" s="224" t="s">
        <v>198</v>
      </c>
      <c r="BN19" s="224" t="s">
        <v>51</v>
      </c>
      <c r="BO19" s="224" t="s">
        <v>152</v>
      </c>
      <c r="BP19" s="202" t="s">
        <v>547</v>
      </c>
      <c r="BQ19" s="202" t="s">
        <v>490</v>
      </c>
      <c r="BR19" s="202" t="s">
        <v>209</v>
      </c>
      <c r="BS19" s="202" t="s">
        <v>163</v>
      </c>
      <c r="BT19" s="202" t="s">
        <v>200</v>
      </c>
      <c r="BU19" s="202" t="s">
        <v>54</v>
      </c>
      <c r="BV19" s="202" t="s">
        <v>133</v>
      </c>
      <c r="BW19" s="202" t="s">
        <v>232</v>
      </c>
      <c r="BX19" s="202" t="s">
        <v>56</v>
      </c>
      <c r="BY19" s="202" t="s">
        <v>434</v>
      </c>
      <c r="BZ19" s="202" t="s">
        <v>108</v>
      </c>
      <c r="CA19" s="306" t="s">
        <v>657</v>
      </c>
      <c r="CB19" s="202" t="s">
        <v>659</v>
      </c>
      <c r="CC19" s="202" t="s">
        <v>661</v>
      </c>
      <c r="CD19" s="202" t="s">
        <v>648</v>
      </c>
      <c r="CE19" s="202" t="s">
        <v>649</v>
      </c>
      <c r="CF19" s="202" t="s">
        <v>650</v>
      </c>
      <c r="CG19" s="202" t="s">
        <v>327</v>
      </c>
      <c r="CH19" s="202" t="s">
        <v>356</v>
      </c>
      <c r="CI19" s="202" t="s">
        <v>513</v>
      </c>
      <c r="CJ19" s="202" t="s">
        <v>554</v>
      </c>
      <c r="CK19" s="202" t="s">
        <v>409</v>
      </c>
      <c r="CL19" s="224" t="s">
        <v>72</v>
      </c>
      <c r="CM19" s="224" t="s">
        <v>35</v>
      </c>
      <c r="CN19" s="224" t="s">
        <v>391</v>
      </c>
      <c r="CO19" s="224" t="s">
        <v>12</v>
      </c>
      <c r="CP19" s="224" t="s">
        <v>149</v>
      </c>
      <c r="CQ19" s="224" t="s">
        <v>538</v>
      </c>
      <c r="CR19" s="224" t="s">
        <v>422</v>
      </c>
      <c r="CS19" s="224" t="s">
        <v>337</v>
      </c>
      <c r="CT19" s="202" t="s">
        <v>712</v>
      </c>
      <c r="CU19" s="224" t="s">
        <v>31</v>
      </c>
      <c r="CV19" s="224" t="s">
        <v>515</v>
      </c>
      <c r="CW19" s="202" t="s">
        <v>699</v>
      </c>
      <c r="CX19" s="224" t="s">
        <v>34</v>
      </c>
      <c r="CY19" s="224" t="s">
        <v>235</v>
      </c>
      <c r="CZ19" s="202" t="s">
        <v>506</v>
      </c>
      <c r="DA19" s="202" t="s">
        <v>205</v>
      </c>
      <c r="DB19" s="30" t="s">
        <v>505</v>
      </c>
      <c r="DC19" s="30" t="s">
        <v>106</v>
      </c>
      <c r="DD19" s="30" t="s">
        <v>239</v>
      </c>
      <c r="DE19" s="15"/>
      <c r="DF19" s="202" t="s">
        <v>21</v>
      </c>
      <c r="DG19" s="171" t="s">
        <v>323</v>
      </c>
      <c r="DH19" s="171" t="s">
        <v>447</v>
      </c>
      <c r="DI19" s="171" t="s">
        <v>742</v>
      </c>
      <c r="DJ19" s="30" t="s">
        <v>32</v>
      </c>
      <c r="DK19" s="30" t="s">
        <v>679</v>
      </c>
      <c r="DL19" s="30" t="s">
        <v>533</v>
      </c>
      <c r="DM19" s="30" t="s">
        <v>100</v>
      </c>
      <c r="DN19" s="30" t="s">
        <v>375</v>
      </c>
      <c r="DO19" s="202" t="s">
        <v>395</v>
      </c>
      <c r="DP19" s="202" t="s">
        <v>499</v>
      </c>
      <c r="DQ19" s="98"/>
      <c r="DR19" s="98"/>
      <c r="DS19" s="98"/>
      <c r="DT19" s="98"/>
      <c r="DU19" s="98"/>
      <c r="DV19" s="98"/>
      <c r="DW19" s="98"/>
      <c r="DX19" s="98"/>
      <c r="DY19" s="98"/>
      <c r="DZ19" s="98"/>
      <c r="EA19" s="98"/>
      <c r="EB19" s="98"/>
      <c r="EC19" s="98"/>
      <c r="EK19" s="15"/>
      <c r="EL19" s="15"/>
      <c r="EM19" s="171" t="s">
        <v>681</v>
      </c>
      <c r="EN19" s="15"/>
      <c r="EO19" s="15"/>
      <c r="EP19" s="15"/>
      <c r="EQ19" s="15"/>
      <c r="ER19" s="15"/>
      <c r="ES19" s="15"/>
      <c r="ET19" s="15"/>
      <c r="EU19" s="15"/>
      <c r="EV19" s="15"/>
      <c r="EW19" s="15"/>
      <c r="EX19" s="15"/>
      <c r="EY19" s="15"/>
      <c r="EZ19" s="137"/>
      <c r="FA19" s="15"/>
      <c r="FB19" s="15"/>
      <c r="FC19" s="15"/>
      <c r="FD19" s="15"/>
      <c r="FE19" s="15"/>
      <c r="FF19" s="15"/>
      <c r="FG19" s="15"/>
      <c r="FH19" s="15"/>
      <c r="FI19" s="15"/>
      <c r="FJ19" s="15"/>
      <c r="FK19" s="15"/>
      <c r="FL19" s="15"/>
      <c r="FO19" s="15"/>
      <c r="FP19" s="137"/>
      <c r="FQ19" s="137"/>
      <c r="FR19" s="54"/>
      <c r="FS19" s="54"/>
      <c r="FT19" s="137"/>
      <c r="FU19" s="137"/>
      <c r="FV19" s="137"/>
      <c r="FW19" s="54"/>
      <c r="FX19" s="202" t="s">
        <v>413</v>
      </c>
      <c r="FY19" s="54"/>
      <c r="FZ19" s="54"/>
      <c r="GA19" s="224" t="s">
        <v>270</v>
      </c>
      <c r="GB19" s="194" t="s">
        <v>283</v>
      </c>
      <c r="GC19" s="224" t="s">
        <v>542</v>
      </c>
      <c r="GD19" s="194" t="s">
        <v>576</v>
      </c>
      <c r="GE19" s="54"/>
      <c r="GF19" s="54"/>
      <c r="GG19" s="54"/>
      <c r="GH19" s="54"/>
      <c r="GI19" s="54"/>
      <c r="GJ19" s="54"/>
      <c r="GK19" s="54"/>
    </row>
    <row r="20" spans="1:199" ht="14.25" thickTop="1" thickBot="1" x14ac:dyDescent="0.25">
      <c r="A20" s="199" t="s">
        <v>605</v>
      </c>
      <c r="B20" s="35" t="s">
        <v>265</v>
      </c>
      <c r="C20" s="35" t="s">
        <v>265</v>
      </c>
      <c r="D20" s="35" t="s">
        <v>265</v>
      </c>
      <c r="E20" s="35" t="s">
        <v>265</v>
      </c>
      <c r="F20" s="72" t="s">
        <v>442</v>
      </c>
      <c r="G20" s="72" t="s">
        <v>556</v>
      </c>
      <c r="H20" s="35" t="s">
        <v>265</v>
      </c>
      <c r="I20" s="35" t="s">
        <v>265</v>
      </c>
      <c r="J20" s="35" t="s">
        <v>265</v>
      </c>
      <c r="K20" s="35" t="s">
        <v>265</v>
      </c>
      <c r="L20" s="35" t="s">
        <v>265</v>
      </c>
      <c r="M20" s="35" t="s">
        <v>265</v>
      </c>
      <c r="N20" s="35" t="s">
        <v>265</v>
      </c>
      <c r="O20" s="35" t="s">
        <v>265</v>
      </c>
      <c r="P20" s="35" t="s">
        <v>265</v>
      </c>
      <c r="Q20" s="35" t="s">
        <v>265</v>
      </c>
      <c r="R20" s="35" t="s">
        <v>265</v>
      </c>
      <c r="S20" s="35" t="s">
        <v>265</v>
      </c>
      <c r="T20" s="35" t="s">
        <v>265</v>
      </c>
      <c r="U20" s="35" t="s">
        <v>265</v>
      </c>
      <c r="V20" s="35" t="s">
        <v>265</v>
      </c>
      <c r="W20" s="35" t="s">
        <v>265</v>
      </c>
      <c r="X20" s="35" t="s">
        <v>265</v>
      </c>
      <c r="Y20" s="35" t="s">
        <v>265</v>
      </c>
      <c r="Z20" s="35" t="s">
        <v>265</v>
      </c>
      <c r="AA20" s="35" t="s">
        <v>556</v>
      </c>
      <c r="AB20" s="35" t="s">
        <v>265</v>
      </c>
      <c r="AC20" s="35" t="s">
        <v>265</v>
      </c>
      <c r="AD20" s="35" t="s">
        <v>265</v>
      </c>
      <c r="AE20" s="35" t="s">
        <v>265</v>
      </c>
      <c r="AF20" s="35" t="s">
        <v>265</v>
      </c>
      <c r="AG20" s="35" t="s">
        <v>265</v>
      </c>
      <c r="AH20" s="35" t="s">
        <v>265</v>
      </c>
      <c r="AI20" s="35" t="s">
        <v>265</v>
      </c>
      <c r="AJ20" s="35" t="s">
        <v>265</v>
      </c>
      <c r="AK20" s="35" t="s">
        <v>265</v>
      </c>
      <c r="AL20" s="35" t="s">
        <v>265</v>
      </c>
      <c r="AM20" s="35" t="s">
        <v>456</v>
      </c>
      <c r="AN20" s="35" t="s">
        <v>456</v>
      </c>
      <c r="AO20" s="35" t="s">
        <v>265</v>
      </c>
      <c r="AP20" s="35" t="s">
        <v>265</v>
      </c>
      <c r="AQ20" s="35" t="s">
        <v>265</v>
      </c>
      <c r="AR20" s="35" t="s">
        <v>265</v>
      </c>
      <c r="AS20" s="35" t="s">
        <v>265</v>
      </c>
      <c r="AT20" s="35" t="s">
        <v>265</v>
      </c>
      <c r="AU20" s="35" t="s">
        <v>265</v>
      </c>
      <c r="AV20" s="35" t="s">
        <v>265</v>
      </c>
      <c r="AW20" s="35" t="s">
        <v>265</v>
      </c>
      <c r="AX20" s="35" t="s">
        <v>265</v>
      </c>
      <c r="AY20" s="35" t="s">
        <v>265</v>
      </c>
      <c r="AZ20" s="35" t="s">
        <v>265</v>
      </c>
      <c r="BA20" s="35" t="s">
        <v>265</v>
      </c>
      <c r="BB20" s="35" t="s">
        <v>265</v>
      </c>
      <c r="BC20" s="35" t="s">
        <v>265</v>
      </c>
      <c r="BD20" s="35" t="s">
        <v>265</v>
      </c>
      <c r="BE20" s="35" t="s">
        <v>265</v>
      </c>
      <c r="BF20" s="35" t="s">
        <v>265</v>
      </c>
      <c r="BG20" s="35" t="s">
        <v>265</v>
      </c>
      <c r="BH20" s="297" t="s">
        <v>265</v>
      </c>
      <c r="BI20" s="297" t="s">
        <v>442</v>
      </c>
      <c r="BJ20" s="35" t="s">
        <v>265</v>
      </c>
      <c r="BK20" s="35" t="s">
        <v>265</v>
      </c>
      <c r="BL20" s="35" t="s">
        <v>265</v>
      </c>
      <c r="BM20" s="35" t="s">
        <v>265</v>
      </c>
      <c r="BN20" s="35" t="s">
        <v>456</v>
      </c>
      <c r="BO20" s="35" t="s">
        <v>265</v>
      </c>
      <c r="BP20" s="35" t="s">
        <v>265</v>
      </c>
      <c r="BQ20" s="35" t="s">
        <v>265</v>
      </c>
      <c r="BR20" s="35" t="s">
        <v>265</v>
      </c>
      <c r="BS20" s="35" t="s">
        <v>265</v>
      </c>
      <c r="BT20" s="35" t="s">
        <v>265</v>
      </c>
      <c r="BU20" s="35" t="s">
        <v>265</v>
      </c>
      <c r="BV20" s="35" t="s">
        <v>265</v>
      </c>
      <c r="BW20" s="35" t="s">
        <v>265</v>
      </c>
      <c r="BX20" s="35" t="s">
        <v>265</v>
      </c>
      <c r="BY20" s="35" t="s">
        <v>265</v>
      </c>
      <c r="BZ20" s="35" t="s">
        <v>265</v>
      </c>
      <c r="CA20" s="311" t="s">
        <v>265</v>
      </c>
      <c r="CB20" s="35" t="s">
        <v>265</v>
      </c>
      <c r="CC20" s="35" t="s">
        <v>265</v>
      </c>
      <c r="CD20" s="35" t="s">
        <v>265</v>
      </c>
      <c r="CE20" s="35" t="s">
        <v>265</v>
      </c>
      <c r="CF20" s="35" t="s">
        <v>265</v>
      </c>
      <c r="CG20" s="35" t="s">
        <v>265</v>
      </c>
      <c r="CH20" s="35" t="s">
        <v>265</v>
      </c>
      <c r="CI20" s="35" t="s">
        <v>442</v>
      </c>
      <c r="CJ20" s="35" t="s">
        <v>442</v>
      </c>
      <c r="CK20" s="35" t="s">
        <v>442</v>
      </c>
      <c r="CL20" s="35" t="s">
        <v>265</v>
      </c>
      <c r="CM20" s="35" t="s">
        <v>265</v>
      </c>
      <c r="CN20" s="35" t="s">
        <v>456</v>
      </c>
      <c r="CO20" s="35" t="s">
        <v>456</v>
      </c>
      <c r="CP20" s="35" t="s">
        <v>456</v>
      </c>
      <c r="CQ20" s="35" t="s">
        <v>456</v>
      </c>
      <c r="CR20" s="35" t="s">
        <v>456</v>
      </c>
      <c r="CS20" s="35" t="s">
        <v>456</v>
      </c>
      <c r="CT20" s="35" t="s">
        <v>265</v>
      </c>
      <c r="CU20" s="35" t="s">
        <v>456</v>
      </c>
      <c r="CV20" s="35" t="s">
        <v>456</v>
      </c>
      <c r="CW20" s="35" t="s">
        <v>265</v>
      </c>
      <c r="CX20" s="35" t="s">
        <v>456</v>
      </c>
      <c r="CY20" s="35" t="s">
        <v>456</v>
      </c>
      <c r="CZ20" s="35" t="s">
        <v>456</v>
      </c>
      <c r="DA20" s="35" t="s">
        <v>456</v>
      </c>
      <c r="DB20" s="237" t="s">
        <v>456</v>
      </c>
      <c r="DC20" s="237" t="s">
        <v>456</v>
      </c>
      <c r="DD20" s="237" t="s">
        <v>456</v>
      </c>
      <c r="DE20" s="15"/>
      <c r="DF20" s="35" t="s">
        <v>265</v>
      </c>
      <c r="DG20" s="35" t="s">
        <v>265</v>
      </c>
      <c r="DH20" s="35" t="s">
        <v>265</v>
      </c>
      <c r="DI20" s="35" t="s">
        <v>456</v>
      </c>
      <c r="DJ20" s="237" t="s">
        <v>456</v>
      </c>
      <c r="DK20" s="237" t="s">
        <v>265</v>
      </c>
      <c r="DL20" s="237" t="s">
        <v>456</v>
      </c>
      <c r="DM20" s="35" t="s">
        <v>456</v>
      </c>
      <c r="DN20" s="35" t="s">
        <v>456</v>
      </c>
      <c r="DO20" s="35" t="s">
        <v>456</v>
      </c>
      <c r="DP20" s="35" t="s">
        <v>456</v>
      </c>
      <c r="DQ20" s="98"/>
      <c r="DR20" s="98"/>
      <c r="DS20" s="98"/>
      <c r="DT20" s="98"/>
      <c r="DU20" s="98"/>
      <c r="DV20" s="98"/>
      <c r="DW20" s="98"/>
      <c r="DX20" s="98"/>
      <c r="DY20" s="98"/>
      <c r="DZ20" s="98"/>
      <c r="EA20" s="98"/>
      <c r="EB20" s="98"/>
      <c r="EC20" s="98"/>
      <c r="EK20" s="15"/>
      <c r="EL20" s="15"/>
      <c r="EN20" s="15"/>
      <c r="EO20" s="15"/>
      <c r="EP20" s="15"/>
      <c r="EQ20" s="15"/>
      <c r="ER20" s="15"/>
      <c r="ES20" s="15"/>
      <c r="ET20" s="15"/>
      <c r="EU20" s="15"/>
      <c r="EV20" s="15"/>
      <c r="EW20" s="15"/>
      <c r="EX20" s="15"/>
      <c r="EY20" s="15"/>
      <c r="EZ20" s="137"/>
      <c r="FA20" s="15"/>
      <c r="FB20" s="15"/>
      <c r="FC20" s="15"/>
      <c r="FD20" s="15"/>
      <c r="FE20" s="15"/>
      <c r="FF20" s="15"/>
      <c r="FG20" s="15"/>
      <c r="FH20" s="15"/>
      <c r="FI20" s="15"/>
      <c r="FJ20" s="15"/>
      <c r="FK20" s="15"/>
      <c r="FL20" s="15"/>
      <c r="FO20" s="15"/>
      <c r="FP20" s="137"/>
      <c r="FQ20" s="137"/>
      <c r="FR20" s="54"/>
      <c r="FS20" s="54"/>
      <c r="FT20" s="137"/>
      <c r="FU20" s="137"/>
      <c r="FV20" s="137"/>
      <c r="FW20" s="54"/>
      <c r="FX20" s="35" t="s">
        <v>265</v>
      </c>
      <c r="FY20" s="54"/>
      <c r="FZ20" s="54"/>
      <c r="GA20" s="35" t="s">
        <v>442</v>
      </c>
      <c r="GB20" s="35" t="s">
        <v>265</v>
      </c>
      <c r="GC20" s="35" t="s">
        <v>265</v>
      </c>
      <c r="GD20" s="35" t="s">
        <v>265</v>
      </c>
      <c r="GE20" s="54"/>
      <c r="GF20" s="54"/>
      <c r="GG20" s="54"/>
      <c r="GH20" s="54"/>
      <c r="GI20" s="54"/>
      <c r="GJ20" s="54"/>
      <c r="GK20" s="54"/>
    </row>
    <row r="21" spans="1:199" ht="14.25" thickTop="1" thickBot="1" x14ac:dyDescent="0.25">
      <c r="A21" s="199" t="s">
        <v>606</v>
      </c>
      <c r="B21" s="196" t="s">
        <v>654</v>
      </c>
      <c r="C21" s="196" t="s">
        <v>510</v>
      </c>
      <c r="D21" s="215" t="s">
        <v>400</v>
      </c>
      <c r="E21" s="196" t="s">
        <v>302</v>
      </c>
      <c r="F21" s="18" t="s">
        <v>28</v>
      </c>
      <c r="G21" s="132" t="s">
        <v>67</v>
      </c>
      <c r="H21" s="215" t="s">
        <v>168</v>
      </c>
      <c r="I21" s="194" t="s">
        <v>310</v>
      </c>
      <c r="J21" s="194" t="s">
        <v>87</v>
      </c>
      <c r="K21" s="194" t="s">
        <v>228</v>
      </c>
      <c r="L21" s="194" t="s">
        <v>144</v>
      </c>
      <c r="M21" s="194" t="s">
        <v>429</v>
      </c>
      <c r="N21" s="56" t="s">
        <v>182</v>
      </c>
      <c r="O21" s="56" t="s">
        <v>298</v>
      </c>
      <c r="P21" s="56" t="s">
        <v>571</v>
      </c>
      <c r="Q21" s="56" t="s">
        <v>156</v>
      </c>
      <c r="R21" s="56" t="s">
        <v>299</v>
      </c>
      <c r="S21" s="194" t="s">
        <v>164</v>
      </c>
      <c r="T21" s="194" t="s">
        <v>403</v>
      </c>
      <c r="U21" s="56" t="s">
        <v>367</v>
      </c>
      <c r="V21" s="194" t="s">
        <v>105</v>
      </c>
      <c r="W21" s="179" t="s">
        <v>520</v>
      </c>
      <c r="X21" s="179" t="s">
        <v>469</v>
      </c>
      <c r="Y21" s="179" t="s">
        <v>432</v>
      </c>
      <c r="Z21" s="179" t="s">
        <v>75</v>
      </c>
      <c r="AA21" s="56" t="s">
        <v>666</v>
      </c>
      <c r="AB21" s="194" t="s">
        <v>111</v>
      </c>
      <c r="AC21" s="194" t="s">
        <v>289</v>
      </c>
      <c r="AD21" s="194" t="s">
        <v>308</v>
      </c>
      <c r="AE21" s="194" t="s">
        <v>411</v>
      </c>
      <c r="AF21" s="194" t="s">
        <v>425</v>
      </c>
      <c r="AG21" s="194" t="s">
        <v>431</v>
      </c>
      <c r="AH21" s="56" t="s">
        <v>696</v>
      </c>
      <c r="AI21" s="194" t="s">
        <v>15</v>
      </c>
      <c r="AJ21" s="194" t="s">
        <v>551</v>
      </c>
      <c r="AK21" s="194" t="s">
        <v>9</v>
      </c>
      <c r="AL21" s="194" t="s">
        <v>566</v>
      </c>
      <c r="AM21" s="194" t="s">
        <v>412</v>
      </c>
      <c r="AN21" s="194" t="s">
        <v>369</v>
      </c>
      <c r="AO21" s="194" t="s">
        <v>348</v>
      </c>
      <c r="AP21" s="194" t="s">
        <v>244</v>
      </c>
      <c r="AQ21" s="194" t="s">
        <v>488</v>
      </c>
      <c r="AR21" s="194" t="s">
        <v>397</v>
      </c>
      <c r="AS21" s="194" t="s">
        <v>440</v>
      </c>
      <c r="AT21" s="194" t="s">
        <v>445</v>
      </c>
      <c r="AU21" s="224" t="s">
        <v>119</v>
      </c>
      <c r="AV21" s="224" t="s">
        <v>580</v>
      </c>
      <c r="AW21" s="224" t="s">
        <v>64</v>
      </c>
      <c r="AX21" s="194" t="s">
        <v>471</v>
      </c>
      <c r="AY21" s="194" t="s">
        <v>539</v>
      </c>
      <c r="AZ21" s="224" t="s">
        <v>318</v>
      </c>
      <c r="BA21" s="224" t="s">
        <v>257</v>
      </c>
      <c r="BB21" s="202" t="s">
        <v>751</v>
      </c>
      <c r="BC21" s="224" t="s">
        <v>55</v>
      </c>
      <c r="BD21" s="194" t="s">
        <v>522</v>
      </c>
      <c r="BE21" s="224" t="s">
        <v>370</v>
      </c>
      <c r="BF21" s="202" t="s">
        <v>752</v>
      </c>
      <c r="BG21" s="224" t="s">
        <v>585</v>
      </c>
      <c r="BH21" s="303" t="s">
        <v>603</v>
      </c>
      <c r="BI21" s="303" t="s">
        <v>701</v>
      </c>
      <c r="BJ21" s="224" t="s">
        <v>565</v>
      </c>
      <c r="BK21" s="202" t="s">
        <v>354</v>
      </c>
      <c r="BL21" s="224" t="s">
        <v>93</v>
      </c>
      <c r="BM21" s="224" t="s">
        <v>198</v>
      </c>
      <c r="BN21" s="224" t="s">
        <v>604</v>
      </c>
      <c r="BO21" s="224" t="s">
        <v>152</v>
      </c>
      <c r="BP21" s="202" t="s">
        <v>547</v>
      </c>
      <c r="BQ21" s="202" t="s">
        <v>490</v>
      </c>
      <c r="BR21" s="202" t="s">
        <v>209</v>
      </c>
      <c r="BS21" s="202" t="s">
        <v>163</v>
      </c>
      <c r="BT21" s="202" t="s">
        <v>200</v>
      </c>
      <c r="BU21" s="202" t="s">
        <v>54</v>
      </c>
      <c r="BV21" s="202" t="s">
        <v>133</v>
      </c>
      <c r="BW21" s="202" t="s">
        <v>232</v>
      </c>
      <c r="BX21" s="202" t="s">
        <v>56</v>
      </c>
      <c r="BY21" s="202" t="s">
        <v>434</v>
      </c>
      <c r="BZ21" s="202" t="s">
        <v>108</v>
      </c>
      <c r="CA21" s="306" t="s">
        <v>657</v>
      </c>
      <c r="CB21" s="202" t="s">
        <v>659</v>
      </c>
      <c r="CC21" s="202" t="s">
        <v>661</v>
      </c>
      <c r="CD21" s="202" t="s">
        <v>648</v>
      </c>
      <c r="CE21" s="202" t="s">
        <v>649</v>
      </c>
      <c r="CF21" s="202" t="s">
        <v>650</v>
      </c>
      <c r="CG21" s="202" t="s">
        <v>327</v>
      </c>
      <c r="CH21" s="202" t="s">
        <v>356</v>
      </c>
      <c r="CI21" s="202" t="s">
        <v>513</v>
      </c>
      <c r="CJ21" s="202" t="s">
        <v>554</v>
      </c>
      <c r="CK21" s="202" t="s">
        <v>409</v>
      </c>
      <c r="CL21" s="224" t="s">
        <v>72</v>
      </c>
      <c r="CM21" s="224" t="s">
        <v>35</v>
      </c>
      <c r="CN21" s="224" t="s">
        <v>612</v>
      </c>
      <c r="CO21" s="224" t="s">
        <v>611</v>
      </c>
      <c r="CP21" s="224" t="s">
        <v>613</v>
      </c>
      <c r="CQ21" s="224" t="s">
        <v>614</v>
      </c>
      <c r="CR21" s="224" t="s">
        <v>615</v>
      </c>
      <c r="CS21" s="224" t="s">
        <v>619</v>
      </c>
      <c r="CT21" s="202" t="s">
        <v>712</v>
      </c>
      <c r="CU21" s="224" t="s">
        <v>616</v>
      </c>
      <c r="CV21" s="224" t="s">
        <v>617</v>
      </c>
      <c r="CW21" s="202" t="s">
        <v>699</v>
      </c>
      <c r="CX21" s="224" t="s">
        <v>623</v>
      </c>
      <c r="CY21" s="224" t="s">
        <v>618</v>
      </c>
      <c r="CZ21" s="202" t="s">
        <v>624</v>
      </c>
      <c r="DA21" s="202" t="s">
        <v>620</v>
      </c>
      <c r="DB21" s="30" t="s">
        <v>621</v>
      </c>
      <c r="DC21" s="30" t="s">
        <v>622</v>
      </c>
      <c r="DD21" s="30" t="s">
        <v>607</v>
      </c>
      <c r="DE21" s="15"/>
      <c r="DF21" s="202" t="s">
        <v>21</v>
      </c>
      <c r="DG21" s="171" t="s">
        <v>323</v>
      </c>
      <c r="DH21" s="171" t="s">
        <v>447</v>
      </c>
      <c r="DI21" s="171" t="s">
        <v>742</v>
      </c>
      <c r="DJ21" s="30" t="s">
        <v>188</v>
      </c>
      <c r="DK21" s="30" t="s">
        <v>679</v>
      </c>
      <c r="DL21" s="30" t="s">
        <v>608</v>
      </c>
      <c r="DM21" s="30" t="s">
        <v>609</v>
      </c>
      <c r="DN21" s="30" t="s">
        <v>610</v>
      </c>
      <c r="DO21" s="202" t="s">
        <v>395</v>
      </c>
      <c r="DP21" s="202" t="s">
        <v>499</v>
      </c>
      <c r="DQ21" s="98"/>
      <c r="DR21" s="98"/>
      <c r="DS21" s="98"/>
      <c r="DT21" s="98"/>
      <c r="DU21" s="98"/>
      <c r="DV21" s="98"/>
      <c r="DW21" s="98"/>
      <c r="DX21" s="98"/>
      <c r="DY21" s="98"/>
      <c r="DZ21" s="98"/>
      <c r="EA21" s="98"/>
      <c r="EB21" s="98"/>
      <c r="EC21" s="98"/>
      <c r="EK21" s="15"/>
      <c r="EL21" s="15"/>
      <c r="EM21" s="15"/>
      <c r="EN21" s="15"/>
      <c r="EO21" s="15"/>
      <c r="EP21" s="15"/>
      <c r="EQ21" s="15"/>
      <c r="ER21" s="15"/>
      <c r="ES21" s="15"/>
      <c r="ET21" s="15"/>
      <c r="EU21" s="15"/>
      <c r="EV21" s="15"/>
      <c r="EW21" s="15"/>
      <c r="EX21" s="15"/>
      <c r="EY21" s="15"/>
      <c r="EZ21" s="137"/>
      <c r="FA21" s="15"/>
      <c r="FB21" s="15"/>
      <c r="FC21" s="15"/>
      <c r="FD21" s="15"/>
      <c r="FE21" s="15"/>
      <c r="FF21" s="15"/>
      <c r="FG21" s="15"/>
      <c r="FH21" s="15"/>
      <c r="FI21" s="15"/>
      <c r="FJ21" s="15"/>
      <c r="FK21" s="15"/>
      <c r="FL21" s="15"/>
      <c r="FO21" s="15"/>
      <c r="FP21" s="137"/>
      <c r="FQ21" s="137"/>
      <c r="FR21" s="54"/>
      <c r="FS21" s="54"/>
      <c r="FT21" s="137"/>
      <c r="FU21" s="137"/>
      <c r="FV21" s="137"/>
      <c r="FW21" s="54"/>
      <c r="FX21" s="202" t="s">
        <v>413</v>
      </c>
      <c r="FY21" s="54"/>
      <c r="FZ21" s="54"/>
      <c r="GA21" s="224" t="s">
        <v>51</v>
      </c>
      <c r="GB21" s="194" t="s">
        <v>283</v>
      </c>
      <c r="GC21" s="224" t="s">
        <v>542</v>
      </c>
      <c r="GD21" s="194" t="s">
        <v>576</v>
      </c>
      <c r="GE21" s="54"/>
      <c r="GF21" s="54"/>
      <c r="GG21" s="54"/>
      <c r="GH21" s="54"/>
      <c r="GI21" s="54"/>
      <c r="GJ21" s="54"/>
      <c r="GK21" s="54"/>
    </row>
    <row r="22" spans="1:199" ht="14.25" thickTop="1" thickBot="1" x14ac:dyDescent="0.25">
      <c r="A22" s="199" t="s">
        <v>625</v>
      </c>
      <c r="B22" s="35" t="s">
        <v>265</v>
      </c>
      <c r="C22" s="35" t="s">
        <v>265</v>
      </c>
      <c r="D22" s="35" t="s">
        <v>265</v>
      </c>
      <c r="E22" s="35" t="s">
        <v>265</v>
      </c>
      <c r="F22" s="72" t="s">
        <v>442</v>
      </c>
      <c r="G22" s="72" t="s">
        <v>556</v>
      </c>
      <c r="H22" s="35" t="s">
        <v>265</v>
      </c>
      <c r="I22" s="35" t="s">
        <v>265</v>
      </c>
      <c r="J22" s="35" t="s">
        <v>265</v>
      </c>
      <c r="K22" s="35" t="s">
        <v>265</v>
      </c>
      <c r="L22" s="35" t="s">
        <v>265</v>
      </c>
      <c r="M22" s="35" t="s">
        <v>265</v>
      </c>
      <c r="N22" s="35" t="s">
        <v>265</v>
      </c>
      <c r="O22" s="35" t="s">
        <v>265</v>
      </c>
      <c r="P22" s="35" t="s">
        <v>265</v>
      </c>
      <c r="Q22" s="35" t="s">
        <v>265</v>
      </c>
      <c r="R22" s="35" t="s">
        <v>265</v>
      </c>
      <c r="S22" s="35" t="s">
        <v>265</v>
      </c>
      <c r="T22" s="35" t="s">
        <v>265</v>
      </c>
      <c r="U22" s="35" t="s">
        <v>265</v>
      </c>
      <c r="V22" s="35" t="s">
        <v>265</v>
      </c>
      <c r="W22" s="35" t="s">
        <v>265</v>
      </c>
      <c r="X22" s="35" t="s">
        <v>265</v>
      </c>
      <c r="Y22" s="35" t="s">
        <v>265</v>
      </c>
      <c r="Z22" s="35" t="s">
        <v>265</v>
      </c>
      <c r="AA22" s="35" t="s">
        <v>556</v>
      </c>
      <c r="AB22" s="35" t="s">
        <v>265</v>
      </c>
      <c r="AC22" s="35" t="s">
        <v>265</v>
      </c>
      <c r="AD22" s="35" t="s">
        <v>265</v>
      </c>
      <c r="AE22" s="35" t="s">
        <v>265</v>
      </c>
      <c r="AF22" s="35" t="s">
        <v>265</v>
      </c>
      <c r="AG22" s="35" t="s">
        <v>265</v>
      </c>
      <c r="AH22" s="35" t="s">
        <v>265</v>
      </c>
      <c r="AI22" s="35" t="s">
        <v>265</v>
      </c>
      <c r="AJ22" s="35" t="s">
        <v>265</v>
      </c>
      <c r="AK22" s="35" t="s">
        <v>265</v>
      </c>
      <c r="AL22" s="35" t="s">
        <v>265</v>
      </c>
      <c r="AM22" s="35" t="s">
        <v>456</v>
      </c>
      <c r="AN22" s="35" t="s">
        <v>456</v>
      </c>
      <c r="AO22" s="35" t="s">
        <v>265</v>
      </c>
      <c r="AP22" s="35" t="s">
        <v>265</v>
      </c>
      <c r="AQ22" s="35" t="s">
        <v>265</v>
      </c>
      <c r="AR22" s="35" t="s">
        <v>265</v>
      </c>
      <c r="AS22" s="35" t="s">
        <v>265</v>
      </c>
      <c r="AT22" s="35" t="s">
        <v>265</v>
      </c>
      <c r="AU22" s="35" t="s">
        <v>265</v>
      </c>
      <c r="AV22" s="35" t="s">
        <v>265</v>
      </c>
      <c r="AW22" s="35" t="s">
        <v>265</v>
      </c>
      <c r="AX22" s="35" t="s">
        <v>265</v>
      </c>
      <c r="AY22" s="35" t="s">
        <v>265</v>
      </c>
      <c r="AZ22" s="35" t="s">
        <v>265</v>
      </c>
      <c r="BA22" s="35" t="s">
        <v>265</v>
      </c>
      <c r="BB22" s="35" t="s">
        <v>265</v>
      </c>
      <c r="BC22" s="35" t="s">
        <v>265</v>
      </c>
      <c r="BD22" s="35" t="s">
        <v>442</v>
      </c>
      <c r="BE22" s="35" t="s">
        <v>265</v>
      </c>
      <c r="BF22" s="35" t="s">
        <v>265</v>
      </c>
      <c r="BG22" s="35" t="s">
        <v>265</v>
      </c>
      <c r="BH22" s="297" t="s">
        <v>265</v>
      </c>
      <c r="BI22" s="297" t="s">
        <v>265</v>
      </c>
      <c r="BJ22" s="35" t="s">
        <v>265</v>
      </c>
      <c r="BK22" s="35" t="s">
        <v>265</v>
      </c>
      <c r="BL22" s="35" t="s">
        <v>265</v>
      </c>
      <c r="BM22" s="35" t="s">
        <v>265</v>
      </c>
      <c r="BN22" s="35" t="s">
        <v>265</v>
      </c>
      <c r="BO22" s="35" t="s">
        <v>265</v>
      </c>
      <c r="BP22" s="35" t="s">
        <v>265</v>
      </c>
      <c r="BQ22" s="35" t="s">
        <v>265</v>
      </c>
      <c r="BR22" s="35" t="s">
        <v>265</v>
      </c>
      <c r="BS22" s="35" t="s">
        <v>265</v>
      </c>
      <c r="BT22" s="35" t="s">
        <v>265</v>
      </c>
      <c r="BU22" s="35" t="s">
        <v>265</v>
      </c>
      <c r="BV22" s="35" t="s">
        <v>265</v>
      </c>
      <c r="BW22" s="35" t="s">
        <v>265</v>
      </c>
      <c r="BX22" s="35" t="s">
        <v>265</v>
      </c>
      <c r="BY22" s="35" t="s">
        <v>265</v>
      </c>
      <c r="BZ22" s="35" t="s">
        <v>265</v>
      </c>
      <c r="CA22" s="311" t="s">
        <v>265</v>
      </c>
      <c r="CB22" s="35" t="s">
        <v>265</v>
      </c>
      <c r="CC22" s="35" t="s">
        <v>265</v>
      </c>
      <c r="CD22" s="35" t="s">
        <v>265</v>
      </c>
      <c r="CE22" s="35" t="s">
        <v>265</v>
      </c>
      <c r="CF22" s="35" t="s">
        <v>265</v>
      </c>
      <c r="CG22" s="35" t="s">
        <v>265</v>
      </c>
      <c r="CH22" s="35" t="s">
        <v>265</v>
      </c>
      <c r="CI22" s="35" t="s">
        <v>442</v>
      </c>
      <c r="CJ22" s="35" t="s">
        <v>442</v>
      </c>
      <c r="CK22" s="35" t="s">
        <v>442</v>
      </c>
      <c r="CL22" s="35" t="s">
        <v>265</v>
      </c>
      <c r="CM22" s="35" t="s">
        <v>265</v>
      </c>
      <c r="CN22" s="35" t="s">
        <v>456</v>
      </c>
      <c r="CO22" s="35" t="s">
        <v>456</v>
      </c>
      <c r="CP22" s="35" t="s">
        <v>456</v>
      </c>
      <c r="CQ22" s="35" t="s">
        <v>456</v>
      </c>
      <c r="CR22" s="35" t="s">
        <v>456</v>
      </c>
      <c r="CS22" s="35" t="s">
        <v>456</v>
      </c>
      <c r="CT22" s="35" t="s">
        <v>456</v>
      </c>
      <c r="CU22" s="35" t="s">
        <v>456</v>
      </c>
      <c r="CV22" s="35" t="s">
        <v>456</v>
      </c>
      <c r="CW22" s="35" t="s">
        <v>265</v>
      </c>
      <c r="CX22" s="35" t="s">
        <v>456</v>
      </c>
      <c r="CY22" s="35" t="s">
        <v>456</v>
      </c>
      <c r="CZ22" s="35" t="s">
        <v>456</v>
      </c>
      <c r="DA22" s="35" t="s">
        <v>456</v>
      </c>
      <c r="DB22" s="237" t="s">
        <v>456</v>
      </c>
      <c r="DC22" s="237" t="s">
        <v>456</v>
      </c>
      <c r="DD22" s="237" t="s">
        <v>456</v>
      </c>
      <c r="DE22" s="15"/>
      <c r="DF22" s="35" t="s">
        <v>265</v>
      </c>
      <c r="DG22" s="35" t="s">
        <v>265</v>
      </c>
      <c r="DH22" s="35" t="s">
        <v>265</v>
      </c>
      <c r="DI22" s="35" t="s">
        <v>456</v>
      </c>
      <c r="DJ22" s="237" t="s">
        <v>456</v>
      </c>
      <c r="DK22" s="237" t="s">
        <v>265</v>
      </c>
      <c r="DL22" s="237" t="s">
        <v>456</v>
      </c>
      <c r="DM22" s="35" t="s">
        <v>456</v>
      </c>
      <c r="DN22" s="35" t="s">
        <v>456</v>
      </c>
      <c r="DO22" s="35" t="s">
        <v>456</v>
      </c>
      <c r="DP22" s="35" t="s">
        <v>456</v>
      </c>
      <c r="DQ22" s="98"/>
      <c r="DR22" s="98"/>
      <c r="DS22" s="98"/>
      <c r="DT22" s="98"/>
      <c r="DU22" s="98"/>
      <c r="DV22" s="98"/>
      <c r="DW22" s="98"/>
      <c r="DX22" s="98"/>
      <c r="DY22" s="98"/>
      <c r="DZ22" s="98"/>
      <c r="EA22" s="98"/>
      <c r="EB22" s="98"/>
      <c r="EC22" s="98"/>
      <c r="EK22" s="15"/>
      <c r="EL22" s="15"/>
      <c r="EM22" s="15"/>
      <c r="EN22" s="15"/>
      <c r="EO22" s="15"/>
      <c r="EP22" s="15"/>
      <c r="EQ22" s="15"/>
      <c r="ER22" s="15"/>
      <c r="ES22" s="15"/>
      <c r="ET22" s="15"/>
      <c r="EU22" s="15"/>
      <c r="EV22" s="15"/>
      <c r="EW22" s="15"/>
      <c r="EX22" s="15"/>
      <c r="EY22" s="15"/>
      <c r="EZ22" s="137"/>
      <c r="FA22" s="15"/>
      <c r="FB22" s="15"/>
      <c r="FC22" s="15"/>
      <c r="FD22" s="15"/>
      <c r="FE22" s="15"/>
      <c r="FF22" s="15"/>
      <c r="FG22" s="15"/>
      <c r="FH22" s="15"/>
      <c r="FI22" s="15"/>
      <c r="FJ22" s="15"/>
      <c r="FK22" s="15"/>
      <c r="FL22" s="15"/>
      <c r="FO22" s="15"/>
      <c r="FP22" s="137"/>
      <c r="FQ22" s="137"/>
      <c r="FR22" s="54"/>
      <c r="FS22" s="54"/>
      <c r="FT22" s="137"/>
      <c r="FU22" s="137"/>
      <c r="FV22" s="137"/>
      <c r="FW22" s="54"/>
      <c r="FX22" s="54"/>
      <c r="FY22" s="54"/>
      <c r="FZ22" s="54"/>
      <c r="GA22" s="35" t="s">
        <v>265</v>
      </c>
      <c r="GB22" s="35" t="s">
        <v>265</v>
      </c>
      <c r="GC22" s="35" t="s">
        <v>265</v>
      </c>
      <c r="GD22" s="35" t="s">
        <v>265</v>
      </c>
      <c r="GE22" s="54"/>
      <c r="GF22" s="54"/>
      <c r="GG22" s="54"/>
      <c r="GH22" s="54"/>
      <c r="GI22" s="54"/>
      <c r="GJ22" s="54"/>
      <c r="GK22" s="54"/>
    </row>
    <row r="23" spans="1:199" ht="14.25" thickTop="1" thickBot="1" x14ac:dyDescent="0.25">
      <c r="A23" s="199" t="s">
        <v>626</v>
      </c>
      <c r="B23" s="196" t="s">
        <v>654</v>
      </c>
      <c r="C23" s="196" t="s">
        <v>510</v>
      </c>
      <c r="D23" s="215" t="s">
        <v>400</v>
      </c>
      <c r="E23" s="196" t="s">
        <v>302</v>
      </c>
      <c r="F23" s="18" t="s">
        <v>28</v>
      </c>
      <c r="G23" s="132" t="s">
        <v>67</v>
      </c>
      <c r="H23" s="215" t="s">
        <v>168</v>
      </c>
      <c r="I23" s="194" t="s">
        <v>310</v>
      </c>
      <c r="J23" s="194" t="s">
        <v>87</v>
      </c>
      <c r="K23" s="194" t="s">
        <v>228</v>
      </c>
      <c r="L23" s="194" t="s">
        <v>144</v>
      </c>
      <c r="M23" s="194" t="s">
        <v>429</v>
      </c>
      <c r="N23" s="56" t="s">
        <v>182</v>
      </c>
      <c r="O23" s="56" t="s">
        <v>298</v>
      </c>
      <c r="P23" s="56" t="s">
        <v>571</v>
      </c>
      <c r="Q23" s="56" t="s">
        <v>156</v>
      </c>
      <c r="R23" s="56" t="s">
        <v>299</v>
      </c>
      <c r="S23" s="194" t="s">
        <v>164</v>
      </c>
      <c r="T23" s="194" t="s">
        <v>403</v>
      </c>
      <c r="U23" s="56" t="s">
        <v>367</v>
      </c>
      <c r="V23" s="194" t="s">
        <v>105</v>
      </c>
      <c r="W23" s="179" t="s">
        <v>520</v>
      </c>
      <c r="X23" s="179" t="s">
        <v>469</v>
      </c>
      <c r="Y23" s="179" t="s">
        <v>432</v>
      </c>
      <c r="Z23" s="179" t="s">
        <v>75</v>
      </c>
      <c r="AA23" s="56" t="s">
        <v>666</v>
      </c>
      <c r="AB23" s="194" t="s">
        <v>111</v>
      </c>
      <c r="AC23" s="194" t="s">
        <v>289</v>
      </c>
      <c r="AD23" s="194" t="s">
        <v>308</v>
      </c>
      <c r="AE23" s="194" t="s">
        <v>411</v>
      </c>
      <c r="AF23" s="194" t="s">
        <v>425</v>
      </c>
      <c r="AG23" s="194" t="s">
        <v>431</v>
      </c>
      <c r="AH23" s="56" t="s">
        <v>696</v>
      </c>
      <c r="AI23" s="194" t="s">
        <v>15</v>
      </c>
      <c r="AJ23" s="194" t="s">
        <v>551</v>
      </c>
      <c r="AK23" s="194" t="s">
        <v>9</v>
      </c>
      <c r="AL23" s="194" t="s">
        <v>566</v>
      </c>
      <c r="AM23" s="194" t="s">
        <v>412</v>
      </c>
      <c r="AN23" s="194" t="s">
        <v>369</v>
      </c>
      <c r="AO23" s="194" t="s">
        <v>348</v>
      </c>
      <c r="AP23" s="194" t="s">
        <v>244</v>
      </c>
      <c r="AQ23" s="194" t="s">
        <v>488</v>
      </c>
      <c r="AR23" s="194" t="s">
        <v>397</v>
      </c>
      <c r="AS23" s="194" t="s">
        <v>440</v>
      </c>
      <c r="AT23" s="194" t="s">
        <v>445</v>
      </c>
      <c r="AU23" s="224" t="s">
        <v>119</v>
      </c>
      <c r="AV23" s="224" t="s">
        <v>580</v>
      </c>
      <c r="AW23" s="224" t="s">
        <v>64</v>
      </c>
      <c r="AX23" s="194" t="s">
        <v>471</v>
      </c>
      <c r="AY23" s="194" t="s">
        <v>539</v>
      </c>
      <c r="AZ23" s="224" t="s">
        <v>318</v>
      </c>
      <c r="BA23" s="224" t="s">
        <v>257</v>
      </c>
      <c r="BB23" s="202" t="s">
        <v>751</v>
      </c>
      <c r="BC23" s="224" t="s">
        <v>55</v>
      </c>
      <c r="BD23" s="194" t="s">
        <v>627</v>
      </c>
      <c r="BE23" s="224" t="s">
        <v>370</v>
      </c>
      <c r="BF23" s="202" t="s">
        <v>752</v>
      </c>
      <c r="BG23" s="224" t="s">
        <v>585</v>
      </c>
      <c r="BH23" s="303" t="s">
        <v>603</v>
      </c>
      <c r="BI23" s="303" t="s">
        <v>604</v>
      </c>
      <c r="BJ23" s="224" t="s">
        <v>565</v>
      </c>
      <c r="BK23" s="202" t="s">
        <v>354</v>
      </c>
      <c r="BL23" s="224" t="s">
        <v>93</v>
      </c>
      <c r="BM23" s="224" t="s">
        <v>198</v>
      </c>
      <c r="BN23" s="224" t="s">
        <v>522</v>
      </c>
      <c r="BO23" s="224" t="s">
        <v>152</v>
      </c>
      <c r="BP23" s="202" t="s">
        <v>547</v>
      </c>
      <c r="BQ23" s="202" t="s">
        <v>490</v>
      </c>
      <c r="BR23" s="202" t="s">
        <v>209</v>
      </c>
      <c r="BS23" s="202" t="s">
        <v>163</v>
      </c>
      <c r="BT23" s="202" t="s">
        <v>200</v>
      </c>
      <c r="BU23" s="202" t="s">
        <v>54</v>
      </c>
      <c r="BV23" s="202" t="s">
        <v>133</v>
      </c>
      <c r="BW23" s="202" t="s">
        <v>232</v>
      </c>
      <c r="BX23" s="202" t="s">
        <v>56</v>
      </c>
      <c r="BY23" s="202" t="s">
        <v>434</v>
      </c>
      <c r="BZ23" s="202" t="s">
        <v>108</v>
      </c>
      <c r="CA23" s="306" t="s">
        <v>657</v>
      </c>
      <c r="CB23" s="202" t="s">
        <v>659</v>
      </c>
      <c r="CC23" s="202" t="s">
        <v>661</v>
      </c>
      <c r="CD23" s="202" t="s">
        <v>648</v>
      </c>
      <c r="CE23" s="202" t="s">
        <v>649</v>
      </c>
      <c r="CF23" s="202" t="s">
        <v>650</v>
      </c>
      <c r="CG23" s="202" t="s">
        <v>327</v>
      </c>
      <c r="CH23" s="202" t="s">
        <v>356</v>
      </c>
      <c r="CI23" s="202" t="s">
        <v>513</v>
      </c>
      <c r="CJ23" s="202" t="s">
        <v>554</v>
      </c>
      <c r="CK23" s="202" t="s">
        <v>409</v>
      </c>
      <c r="CL23" s="224" t="s">
        <v>72</v>
      </c>
      <c r="CM23" s="224" t="s">
        <v>35</v>
      </c>
      <c r="CN23" s="224" t="s">
        <v>628</v>
      </c>
      <c r="CO23" s="224" t="s">
        <v>629</v>
      </c>
      <c r="CP23" s="224" t="s">
        <v>630</v>
      </c>
      <c r="CQ23" s="224" t="s">
        <v>631</v>
      </c>
      <c r="CR23" s="224" t="s">
        <v>632</v>
      </c>
      <c r="CS23" s="224" t="s">
        <v>633</v>
      </c>
      <c r="CT23" s="202" t="s">
        <v>712</v>
      </c>
      <c r="CU23" s="224" t="s">
        <v>634</v>
      </c>
      <c r="CV23" s="224" t="s">
        <v>635</v>
      </c>
      <c r="CW23" s="202" t="s">
        <v>699</v>
      </c>
      <c r="CX23" s="224" t="s">
        <v>636</v>
      </c>
      <c r="CY23" s="224" t="s">
        <v>637</v>
      </c>
      <c r="CZ23" s="202" t="s">
        <v>638</v>
      </c>
      <c r="DA23" s="202" t="s">
        <v>639</v>
      </c>
      <c r="DB23" s="30" t="s">
        <v>640</v>
      </c>
      <c r="DC23" s="30" t="s">
        <v>641</v>
      </c>
      <c r="DD23" s="30" t="s">
        <v>642</v>
      </c>
      <c r="DE23" s="15"/>
      <c r="DF23" s="202" t="s">
        <v>21</v>
      </c>
      <c r="DG23" s="171" t="s">
        <v>323</v>
      </c>
      <c r="DH23" s="171" t="s">
        <v>447</v>
      </c>
      <c r="DI23" s="171" t="s">
        <v>742</v>
      </c>
      <c r="DJ23" s="30" t="s">
        <v>643</v>
      </c>
      <c r="DK23" s="30" t="s">
        <v>679</v>
      </c>
      <c r="DL23" s="30" t="s">
        <v>644</v>
      </c>
      <c r="DM23" s="30" t="s">
        <v>645</v>
      </c>
      <c r="DN23" s="30" t="s">
        <v>646</v>
      </c>
      <c r="DO23" s="202" t="s">
        <v>395</v>
      </c>
      <c r="DP23" s="202" t="s">
        <v>499</v>
      </c>
      <c r="DQ23" s="98"/>
      <c r="DR23" s="98"/>
      <c r="DS23" s="98"/>
      <c r="DT23" s="98"/>
      <c r="DU23" s="98"/>
      <c r="DV23" s="98"/>
      <c r="DW23" s="98"/>
      <c r="DX23" s="98"/>
      <c r="DY23" s="98"/>
      <c r="DZ23" s="98"/>
      <c r="EA23" s="98"/>
      <c r="EB23" s="98"/>
      <c r="EC23" s="98"/>
      <c r="EK23" s="15"/>
      <c r="EL23" s="15"/>
      <c r="EM23" s="15"/>
      <c r="EN23" s="15"/>
      <c r="EO23" s="15"/>
      <c r="EP23" s="15"/>
      <c r="EQ23" s="15"/>
      <c r="ER23" s="15"/>
      <c r="ES23" s="15"/>
      <c r="ET23" s="15"/>
      <c r="EU23" s="15"/>
      <c r="EV23" s="15"/>
      <c r="EW23" s="15"/>
      <c r="EX23" s="15"/>
      <c r="EY23" s="15"/>
      <c r="EZ23" s="137"/>
      <c r="FA23" s="15"/>
      <c r="FB23" s="15"/>
      <c r="FC23" s="15"/>
      <c r="FD23" s="15"/>
      <c r="FE23" s="15"/>
      <c r="FF23" s="15"/>
      <c r="FG23" s="15"/>
      <c r="FH23" s="15"/>
      <c r="FI23" s="15"/>
      <c r="FJ23" s="15"/>
      <c r="FK23" s="15"/>
      <c r="FL23" s="15"/>
      <c r="FO23" s="15"/>
      <c r="FP23" s="137"/>
      <c r="FQ23" s="137"/>
      <c r="FR23" s="54"/>
      <c r="FS23" s="54"/>
      <c r="FT23" s="137"/>
      <c r="FU23" s="137"/>
      <c r="FV23" s="137"/>
      <c r="FW23" s="54"/>
      <c r="FX23" s="54"/>
      <c r="FY23" s="54"/>
      <c r="FZ23" s="54"/>
      <c r="GA23" s="224" t="s">
        <v>51</v>
      </c>
      <c r="GB23" s="194" t="s">
        <v>283</v>
      </c>
      <c r="GC23" s="224" t="s">
        <v>542</v>
      </c>
      <c r="GD23" s="194" t="s">
        <v>576</v>
      </c>
      <c r="GE23" s="54"/>
      <c r="GF23" s="54"/>
      <c r="GG23" s="54"/>
      <c r="GH23" s="54"/>
      <c r="GI23" s="54"/>
      <c r="GJ23" s="54"/>
      <c r="GK23" s="54"/>
    </row>
    <row r="24" spans="1:199" ht="14.25" thickTop="1" thickBot="1" x14ac:dyDescent="0.25">
      <c r="A24" s="199" t="s">
        <v>410</v>
      </c>
      <c r="B24" s="35" t="s">
        <v>265</v>
      </c>
      <c r="C24" s="35" t="s">
        <v>265</v>
      </c>
      <c r="D24" s="35" t="s">
        <v>265</v>
      </c>
      <c r="E24" s="35" t="s">
        <v>265</v>
      </c>
      <c r="F24" s="72" t="s">
        <v>442</v>
      </c>
      <c r="G24" s="72" t="s">
        <v>556</v>
      </c>
      <c r="H24" s="35" t="s">
        <v>265</v>
      </c>
      <c r="I24" s="35" t="s">
        <v>265</v>
      </c>
      <c r="J24" s="35" t="s">
        <v>265</v>
      </c>
      <c r="K24" s="35" t="s">
        <v>265</v>
      </c>
      <c r="L24" s="35" t="s">
        <v>265</v>
      </c>
      <c r="M24" s="35" t="s">
        <v>265</v>
      </c>
      <c r="N24" s="35" t="s">
        <v>265</v>
      </c>
      <c r="O24" s="35" t="s">
        <v>265</v>
      </c>
      <c r="P24" s="35" t="s">
        <v>265</v>
      </c>
      <c r="Q24" s="35" t="s">
        <v>265</v>
      </c>
      <c r="R24" s="35" t="s">
        <v>265</v>
      </c>
      <c r="S24" s="35" t="s">
        <v>265</v>
      </c>
      <c r="T24" s="35" t="s">
        <v>265</v>
      </c>
      <c r="U24" s="35" t="s">
        <v>265</v>
      </c>
      <c r="V24" s="35" t="s">
        <v>265</v>
      </c>
      <c r="W24" s="35" t="s">
        <v>265</v>
      </c>
      <c r="X24" s="35" t="s">
        <v>265</v>
      </c>
      <c r="Y24" s="35" t="s">
        <v>265</v>
      </c>
      <c r="Z24" s="35" t="s">
        <v>442</v>
      </c>
      <c r="AA24" s="35" t="s">
        <v>556</v>
      </c>
      <c r="AB24" s="35" t="s">
        <v>265</v>
      </c>
      <c r="AC24" s="35" t="s">
        <v>265</v>
      </c>
      <c r="AD24" s="35" t="s">
        <v>265</v>
      </c>
      <c r="AE24" s="35" t="s">
        <v>265</v>
      </c>
      <c r="AF24" s="35" t="s">
        <v>265</v>
      </c>
      <c r="AG24" s="35" t="s">
        <v>265</v>
      </c>
      <c r="AH24" s="35" t="s">
        <v>265</v>
      </c>
      <c r="AI24" s="35" t="s">
        <v>265</v>
      </c>
      <c r="AJ24" s="35" t="s">
        <v>265</v>
      </c>
      <c r="AK24" s="35" t="s">
        <v>265</v>
      </c>
      <c r="AL24" s="35" t="s">
        <v>265</v>
      </c>
      <c r="AM24" s="35" t="s">
        <v>456</v>
      </c>
      <c r="AN24" s="35" t="s">
        <v>456</v>
      </c>
      <c r="AO24" s="35" t="s">
        <v>265</v>
      </c>
      <c r="AP24" s="35" t="s">
        <v>265</v>
      </c>
      <c r="AQ24" s="35" t="s">
        <v>265</v>
      </c>
      <c r="AR24" s="35" t="s">
        <v>265</v>
      </c>
      <c r="AS24" s="35" t="s">
        <v>265</v>
      </c>
      <c r="AT24" s="35" t="s">
        <v>265</v>
      </c>
      <c r="AU24" s="35" t="s">
        <v>265</v>
      </c>
      <c r="AV24" s="35" t="s">
        <v>265</v>
      </c>
      <c r="AW24" s="35" t="s">
        <v>265</v>
      </c>
      <c r="AX24" s="35" t="s">
        <v>265</v>
      </c>
      <c r="AY24" s="35" t="s">
        <v>265</v>
      </c>
      <c r="AZ24" s="35" t="s">
        <v>265</v>
      </c>
      <c r="BA24" s="35" t="s">
        <v>265</v>
      </c>
      <c r="BB24" s="35" t="s">
        <v>265</v>
      </c>
      <c r="BC24" s="35" t="s">
        <v>265</v>
      </c>
      <c r="BD24" s="35" t="s">
        <v>265</v>
      </c>
      <c r="BE24" s="35" t="s">
        <v>265</v>
      </c>
      <c r="BF24" s="35" t="s">
        <v>265</v>
      </c>
      <c r="BG24" s="35" t="s">
        <v>265</v>
      </c>
      <c r="BH24" s="297" t="s">
        <v>265</v>
      </c>
      <c r="BI24" s="297" t="s">
        <v>265</v>
      </c>
      <c r="BJ24" s="35" t="s">
        <v>265</v>
      </c>
      <c r="BK24" s="35" t="s">
        <v>265</v>
      </c>
      <c r="BL24" s="35" t="s">
        <v>265</v>
      </c>
      <c r="BM24" s="35" t="s">
        <v>265</v>
      </c>
      <c r="BN24" s="35" t="s">
        <v>442</v>
      </c>
      <c r="BO24" s="35" t="s">
        <v>265</v>
      </c>
      <c r="BP24" s="35" t="s">
        <v>265</v>
      </c>
      <c r="BQ24" s="35" t="s">
        <v>265</v>
      </c>
      <c r="BR24" s="35" t="s">
        <v>265</v>
      </c>
      <c r="BS24" s="35" t="s">
        <v>265</v>
      </c>
      <c r="BT24" s="35" t="s">
        <v>265</v>
      </c>
      <c r="BU24" s="35" t="s">
        <v>265</v>
      </c>
      <c r="BV24" s="35" t="s">
        <v>265</v>
      </c>
      <c r="BW24" s="35" t="s">
        <v>265</v>
      </c>
      <c r="BX24" s="35" t="s">
        <v>265</v>
      </c>
      <c r="BY24" s="35" t="s">
        <v>265</v>
      </c>
      <c r="BZ24" s="35" t="s">
        <v>265</v>
      </c>
      <c r="CA24" s="311" t="s">
        <v>265</v>
      </c>
      <c r="CB24" s="35" t="s">
        <v>265</v>
      </c>
      <c r="CC24" s="35" t="s">
        <v>265</v>
      </c>
      <c r="CD24" s="35" t="s">
        <v>265</v>
      </c>
      <c r="CE24" s="35" t="s">
        <v>265</v>
      </c>
      <c r="CF24" s="35" t="s">
        <v>265</v>
      </c>
      <c r="CG24" s="35" t="s">
        <v>265</v>
      </c>
      <c r="CH24" s="35" t="s">
        <v>265</v>
      </c>
      <c r="CI24" s="35" t="s">
        <v>442</v>
      </c>
      <c r="CJ24" s="35" t="s">
        <v>442</v>
      </c>
      <c r="CK24" s="35" t="s">
        <v>442</v>
      </c>
      <c r="CL24" s="35" t="s">
        <v>265</v>
      </c>
      <c r="CM24" s="35" t="s">
        <v>265</v>
      </c>
      <c r="CN24" s="35" t="s">
        <v>456</v>
      </c>
      <c r="CO24" s="35" t="s">
        <v>456</v>
      </c>
      <c r="CP24" s="35" t="s">
        <v>456</v>
      </c>
      <c r="CQ24" s="35" t="s">
        <v>456</v>
      </c>
      <c r="CR24" s="35" t="s">
        <v>456</v>
      </c>
      <c r="CS24" s="35" t="s">
        <v>456</v>
      </c>
      <c r="CT24" s="35" t="s">
        <v>456</v>
      </c>
      <c r="CU24" s="35" t="s">
        <v>456</v>
      </c>
      <c r="CV24" s="35" t="s">
        <v>456</v>
      </c>
      <c r="CW24" s="35" t="s">
        <v>265</v>
      </c>
      <c r="CX24" s="35" t="s">
        <v>456</v>
      </c>
      <c r="CY24" s="35" t="s">
        <v>456</v>
      </c>
      <c r="CZ24" s="35" t="s">
        <v>456</v>
      </c>
      <c r="DA24" s="35" t="s">
        <v>456</v>
      </c>
      <c r="DB24" s="237" t="s">
        <v>456</v>
      </c>
      <c r="DC24" s="237" t="s">
        <v>456</v>
      </c>
      <c r="DD24" s="237" t="s">
        <v>456</v>
      </c>
      <c r="DE24" s="15"/>
      <c r="DF24" s="35" t="s">
        <v>265</v>
      </c>
      <c r="DG24" s="35" t="s">
        <v>265</v>
      </c>
      <c r="DH24" s="35" t="s">
        <v>265</v>
      </c>
      <c r="DI24" s="35" t="s">
        <v>456</v>
      </c>
      <c r="DJ24" s="237" t="s">
        <v>456</v>
      </c>
      <c r="DK24" s="237" t="s">
        <v>265</v>
      </c>
      <c r="DL24" s="237" t="s">
        <v>456</v>
      </c>
      <c r="DM24" s="35" t="s">
        <v>456</v>
      </c>
      <c r="DN24" s="35" t="s">
        <v>456</v>
      </c>
      <c r="DO24" s="35" t="s">
        <v>456</v>
      </c>
      <c r="DP24" s="35" t="s">
        <v>456</v>
      </c>
      <c r="DQ24" s="72" t="s">
        <v>456</v>
      </c>
      <c r="DR24" s="72" t="s">
        <v>456</v>
      </c>
      <c r="DS24" s="72" t="s">
        <v>456</v>
      </c>
      <c r="DT24" s="72" t="s">
        <v>456</v>
      </c>
      <c r="DU24" s="72" t="s">
        <v>456</v>
      </c>
      <c r="DV24" s="72" t="s">
        <v>456</v>
      </c>
      <c r="DW24" s="201"/>
      <c r="DX24" s="201"/>
      <c r="DY24" s="201"/>
      <c r="DZ24" s="201"/>
      <c r="EA24" s="201"/>
      <c r="EB24" s="201"/>
      <c r="EC24" s="201"/>
      <c r="EK24" s="273"/>
      <c r="EL24" s="273"/>
      <c r="EM24" s="273"/>
      <c r="EN24" s="273"/>
      <c r="EO24" s="273"/>
      <c r="EP24" s="273"/>
      <c r="EQ24" s="273"/>
      <c r="ER24" s="273"/>
      <c r="ES24" s="273"/>
      <c r="ET24" s="273"/>
      <c r="EU24" s="273"/>
      <c r="EV24" s="273"/>
      <c r="EW24" s="273"/>
      <c r="EX24" s="273"/>
      <c r="EY24" s="273"/>
      <c r="EZ24" s="137"/>
      <c r="FA24" s="273"/>
      <c r="FB24" s="273"/>
      <c r="FC24" s="273"/>
      <c r="FD24" s="273"/>
      <c r="FE24" s="273"/>
      <c r="FF24" s="273"/>
      <c r="FG24" s="273"/>
      <c r="FH24" s="273"/>
      <c r="FI24" s="273"/>
      <c r="FJ24" s="273"/>
      <c r="FK24" s="273"/>
      <c r="FL24" s="273"/>
      <c r="FO24" s="15"/>
      <c r="FP24" s="137"/>
      <c r="FQ24" s="273"/>
      <c r="FR24" s="54"/>
      <c r="FS24" s="54"/>
      <c r="FT24" s="273"/>
      <c r="FU24" s="273"/>
      <c r="FV24" s="273"/>
      <c r="FW24" s="54"/>
      <c r="FX24" s="54"/>
      <c r="FY24" s="273"/>
      <c r="FZ24" s="273"/>
      <c r="GA24" s="35" t="s">
        <v>265</v>
      </c>
      <c r="GB24" s="35" t="s">
        <v>265</v>
      </c>
      <c r="GC24" s="35" t="s">
        <v>265</v>
      </c>
      <c r="GD24" s="35" t="s">
        <v>265</v>
      </c>
      <c r="GE24" s="54"/>
      <c r="GF24" s="54"/>
      <c r="GG24" s="54"/>
      <c r="GH24" s="54"/>
      <c r="GI24" s="54"/>
      <c r="GJ24" s="54"/>
      <c r="GK24" s="54"/>
    </row>
    <row r="25" spans="1:199" ht="14.25" thickTop="1" thickBot="1" x14ac:dyDescent="0.25">
      <c r="A25" s="199" t="s">
        <v>324</v>
      </c>
      <c r="B25" s="60" t="s">
        <v>654</v>
      </c>
      <c r="C25" s="60" t="s">
        <v>510</v>
      </c>
      <c r="D25" s="82" t="s">
        <v>400</v>
      </c>
      <c r="E25" s="60" t="s">
        <v>302</v>
      </c>
      <c r="F25" s="132" t="s">
        <v>28</v>
      </c>
      <c r="G25" s="132" t="s">
        <v>67</v>
      </c>
      <c r="H25" s="82" t="s">
        <v>168</v>
      </c>
      <c r="I25" s="56" t="s">
        <v>310</v>
      </c>
      <c r="J25" s="56" t="s">
        <v>87</v>
      </c>
      <c r="K25" s="56" t="s">
        <v>228</v>
      </c>
      <c r="L25" s="56" t="s">
        <v>144</v>
      </c>
      <c r="M25" s="56" t="s">
        <v>429</v>
      </c>
      <c r="N25" s="56" t="s">
        <v>182</v>
      </c>
      <c r="O25" s="56" t="s">
        <v>298</v>
      </c>
      <c r="P25" s="56" t="s">
        <v>571</v>
      </c>
      <c r="Q25" s="56" t="s">
        <v>156</v>
      </c>
      <c r="R25" s="56" t="s">
        <v>299</v>
      </c>
      <c r="S25" s="56" t="s">
        <v>164</v>
      </c>
      <c r="T25" s="56" t="s">
        <v>403</v>
      </c>
      <c r="U25" s="56" t="s">
        <v>367</v>
      </c>
      <c r="V25" s="56" t="s">
        <v>105</v>
      </c>
      <c r="W25" s="56" t="s">
        <v>520</v>
      </c>
      <c r="X25" s="56" t="s">
        <v>469</v>
      </c>
      <c r="Y25" s="56" t="s">
        <v>432</v>
      </c>
      <c r="Z25" s="56" t="s">
        <v>75</v>
      </c>
      <c r="AA25" s="56" t="s">
        <v>666</v>
      </c>
      <c r="AB25" s="56" t="s">
        <v>111</v>
      </c>
      <c r="AC25" s="56" t="s">
        <v>289</v>
      </c>
      <c r="AD25" s="56" t="s">
        <v>308</v>
      </c>
      <c r="AE25" s="56" t="s">
        <v>411</v>
      </c>
      <c r="AF25" s="56" t="s">
        <v>425</v>
      </c>
      <c r="AG25" s="56" t="s">
        <v>431</v>
      </c>
      <c r="AH25" s="56" t="s">
        <v>696</v>
      </c>
      <c r="AI25" s="56" t="s">
        <v>15</v>
      </c>
      <c r="AJ25" s="56" t="s">
        <v>551</v>
      </c>
      <c r="AK25" s="56" t="s">
        <v>9</v>
      </c>
      <c r="AL25" s="56" t="s">
        <v>566</v>
      </c>
      <c r="AM25" s="56" t="s">
        <v>412</v>
      </c>
      <c r="AN25" s="56" t="s">
        <v>369</v>
      </c>
      <c r="AO25" s="56" t="s">
        <v>348</v>
      </c>
      <c r="AP25" s="56" t="s">
        <v>244</v>
      </c>
      <c r="AQ25" s="56" t="s">
        <v>488</v>
      </c>
      <c r="AR25" s="56" t="s">
        <v>397</v>
      </c>
      <c r="AS25" s="56" t="s">
        <v>440</v>
      </c>
      <c r="AT25" s="56" t="s">
        <v>445</v>
      </c>
      <c r="AU25" s="202" t="s">
        <v>119</v>
      </c>
      <c r="AV25" s="202" t="s">
        <v>580</v>
      </c>
      <c r="AW25" s="202" t="s">
        <v>64</v>
      </c>
      <c r="AX25" s="56" t="s">
        <v>471</v>
      </c>
      <c r="AY25" s="56" t="s">
        <v>539</v>
      </c>
      <c r="AZ25" s="202" t="s">
        <v>318</v>
      </c>
      <c r="BA25" s="202" t="s">
        <v>257</v>
      </c>
      <c r="BB25" s="202" t="s">
        <v>751</v>
      </c>
      <c r="BC25" s="202" t="s">
        <v>55</v>
      </c>
      <c r="BD25" s="194" t="s">
        <v>522</v>
      </c>
      <c r="BE25" s="202" t="s">
        <v>370</v>
      </c>
      <c r="BF25" s="202" t="s">
        <v>752</v>
      </c>
      <c r="BG25" s="202" t="s">
        <v>585</v>
      </c>
      <c r="BH25" s="303" t="s">
        <v>603</v>
      </c>
      <c r="BI25" s="303" t="s">
        <v>604</v>
      </c>
      <c r="BJ25" s="202" t="s">
        <v>565</v>
      </c>
      <c r="BK25" s="202" t="s">
        <v>354</v>
      </c>
      <c r="BL25" s="202" t="s">
        <v>93</v>
      </c>
      <c r="BM25" s="202" t="s">
        <v>198</v>
      </c>
      <c r="BN25" s="202" t="s">
        <v>249</v>
      </c>
      <c r="BO25" s="202" t="s">
        <v>152</v>
      </c>
      <c r="BP25" s="202" t="s">
        <v>547</v>
      </c>
      <c r="BQ25" s="202" t="s">
        <v>490</v>
      </c>
      <c r="BR25" s="202" t="s">
        <v>209</v>
      </c>
      <c r="BS25" s="202" t="s">
        <v>163</v>
      </c>
      <c r="BT25" s="202" t="s">
        <v>200</v>
      </c>
      <c r="BU25" s="202" t="s">
        <v>54</v>
      </c>
      <c r="BV25" s="202" t="s">
        <v>133</v>
      </c>
      <c r="BW25" s="202" t="s">
        <v>232</v>
      </c>
      <c r="BX25" s="202" t="s">
        <v>56</v>
      </c>
      <c r="BY25" s="202" t="s">
        <v>434</v>
      </c>
      <c r="BZ25" s="202" t="s">
        <v>108</v>
      </c>
      <c r="CA25" s="306" t="s">
        <v>657</v>
      </c>
      <c r="CB25" s="202" t="s">
        <v>659</v>
      </c>
      <c r="CC25" s="202" t="s">
        <v>661</v>
      </c>
      <c r="CD25" s="202" t="s">
        <v>648</v>
      </c>
      <c r="CE25" s="202" t="s">
        <v>649</v>
      </c>
      <c r="CF25" s="202" t="s">
        <v>650</v>
      </c>
      <c r="CG25" s="202" t="s">
        <v>327</v>
      </c>
      <c r="CH25" s="202" t="s">
        <v>356</v>
      </c>
      <c r="CI25" s="202" t="s">
        <v>513</v>
      </c>
      <c r="CJ25" s="202" t="s">
        <v>554</v>
      </c>
      <c r="CK25" s="202" t="s">
        <v>409</v>
      </c>
      <c r="CL25" s="202" t="s">
        <v>72</v>
      </c>
      <c r="CM25" s="202" t="s">
        <v>35</v>
      </c>
      <c r="CN25" s="202" t="s">
        <v>453</v>
      </c>
      <c r="CO25" s="202" t="s">
        <v>84</v>
      </c>
      <c r="CP25" s="202" t="s">
        <v>534</v>
      </c>
      <c r="CQ25" s="202" t="s">
        <v>583</v>
      </c>
      <c r="CR25" s="202" t="s">
        <v>481</v>
      </c>
      <c r="CS25" s="202" t="s">
        <v>398</v>
      </c>
      <c r="CT25" s="202" t="s">
        <v>712</v>
      </c>
      <c r="CU25" s="202" t="s">
        <v>97</v>
      </c>
      <c r="CV25" s="202" t="s">
        <v>190</v>
      </c>
      <c r="CW25" s="202" t="s">
        <v>699</v>
      </c>
      <c r="CX25" s="202" t="s">
        <v>380</v>
      </c>
      <c r="CY25" s="202" t="s">
        <v>579</v>
      </c>
      <c r="CZ25" s="202" t="s">
        <v>155</v>
      </c>
      <c r="DA25" s="202" t="s">
        <v>581</v>
      </c>
      <c r="DB25" s="146" t="s">
        <v>357</v>
      </c>
      <c r="DC25" s="146" t="s">
        <v>171</v>
      </c>
      <c r="DD25" s="146" t="s">
        <v>424</v>
      </c>
      <c r="DE25" s="15"/>
      <c r="DF25" s="202" t="s">
        <v>21</v>
      </c>
      <c r="DG25" s="171" t="s">
        <v>323</v>
      </c>
      <c r="DH25" s="171" t="s">
        <v>447</v>
      </c>
      <c r="DI25" s="171" t="s">
        <v>742</v>
      </c>
      <c r="DJ25" s="146" t="s">
        <v>42</v>
      </c>
      <c r="DK25" s="146" t="s">
        <v>679</v>
      </c>
      <c r="DL25" s="146" t="s">
        <v>45</v>
      </c>
      <c r="DM25" s="202" t="s">
        <v>151</v>
      </c>
      <c r="DN25" s="202" t="s">
        <v>433</v>
      </c>
      <c r="DO25" s="202" t="s">
        <v>395</v>
      </c>
      <c r="DP25" s="202" t="s">
        <v>499</v>
      </c>
      <c r="DQ25" s="152" t="s">
        <v>65</v>
      </c>
      <c r="DR25" s="152" t="s">
        <v>267</v>
      </c>
      <c r="DS25" s="152" t="s">
        <v>13</v>
      </c>
      <c r="DT25" s="2" t="s">
        <v>463</v>
      </c>
      <c r="DU25" s="2" t="s">
        <v>11</v>
      </c>
      <c r="DV25" s="2" t="s">
        <v>577</v>
      </c>
      <c r="DW25" s="98"/>
      <c r="DX25" s="98"/>
      <c r="DY25" s="98"/>
      <c r="DZ25" s="98"/>
      <c r="EA25" s="98"/>
      <c r="EB25" s="98"/>
      <c r="EC25" s="98"/>
      <c r="EK25" s="15"/>
      <c r="EL25" s="15"/>
      <c r="EM25" s="15"/>
      <c r="EN25" s="15"/>
      <c r="EO25" s="15"/>
      <c r="EP25" s="15"/>
      <c r="EQ25" s="15"/>
      <c r="ER25" s="15"/>
      <c r="ES25" s="15"/>
      <c r="ET25" s="15"/>
      <c r="EU25" s="15"/>
      <c r="EV25" s="15"/>
      <c r="EW25" s="15"/>
      <c r="EX25" s="15"/>
      <c r="EY25" s="15"/>
      <c r="EZ25" s="137"/>
      <c r="FA25" s="15"/>
      <c r="FB25" s="15"/>
      <c r="FC25" s="15"/>
      <c r="FD25" s="15"/>
      <c r="FE25" s="15"/>
      <c r="FF25" s="15"/>
      <c r="FG25" s="15"/>
      <c r="FH25" s="15"/>
      <c r="FI25" s="15"/>
      <c r="FJ25" s="15"/>
      <c r="FK25" s="15"/>
      <c r="FL25" s="15"/>
      <c r="FO25" s="15"/>
      <c r="FP25" s="137"/>
      <c r="FQ25" s="137"/>
      <c r="FR25" s="54"/>
      <c r="FS25" s="54"/>
      <c r="FT25" s="137"/>
      <c r="FU25" s="137"/>
      <c r="FV25" s="137"/>
      <c r="FW25" s="54"/>
      <c r="FX25" s="54"/>
      <c r="FY25" s="54"/>
      <c r="FZ25" s="54"/>
      <c r="GA25" s="202" t="s">
        <v>51</v>
      </c>
      <c r="GB25" s="56" t="s">
        <v>283</v>
      </c>
      <c r="GC25" s="202" t="s">
        <v>542</v>
      </c>
      <c r="GD25" s="56" t="s">
        <v>576</v>
      </c>
      <c r="GE25" s="54"/>
      <c r="GF25" s="54"/>
      <c r="GG25" s="54"/>
      <c r="GH25" s="54"/>
      <c r="GI25" s="54"/>
      <c r="GJ25" s="54"/>
      <c r="GK25" s="54"/>
    </row>
    <row r="26" spans="1:199" ht="14.25" thickTop="1" thickBot="1" x14ac:dyDescent="0.25">
      <c r="A26" s="199" t="s">
        <v>44</v>
      </c>
      <c r="B26" s="35" t="s">
        <v>265</v>
      </c>
      <c r="C26" s="35" t="s">
        <v>265</v>
      </c>
      <c r="D26" s="35" t="s">
        <v>265</v>
      </c>
      <c r="E26" s="35" t="s">
        <v>265</v>
      </c>
      <c r="F26" s="72" t="s">
        <v>442</v>
      </c>
      <c r="G26" s="72" t="s">
        <v>556</v>
      </c>
      <c r="H26" s="35" t="s">
        <v>265</v>
      </c>
      <c r="I26" s="35" t="s">
        <v>265</v>
      </c>
      <c r="J26" s="35" t="s">
        <v>265</v>
      </c>
      <c r="K26" s="35" t="s">
        <v>265</v>
      </c>
      <c r="L26" s="35" t="s">
        <v>265</v>
      </c>
      <c r="M26" s="35" t="s">
        <v>265</v>
      </c>
      <c r="N26" s="35" t="s">
        <v>265</v>
      </c>
      <c r="O26" s="35" t="s">
        <v>265</v>
      </c>
      <c r="P26" s="35" t="s">
        <v>265</v>
      </c>
      <c r="Q26" s="35" t="s">
        <v>265</v>
      </c>
      <c r="R26" s="35" t="s">
        <v>265</v>
      </c>
      <c r="S26" s="35" t="s">
        <v>265</v>
      </c>
      <c r="T26" s="35" t="s">
        <v>265</v>
      </c>
      <c r="U26" s="35" t="s">
        <v>265</v>
      </c>
      <c r="V26" s="35" t="s">
        <v>265</v>
      </c>
      <c r="W26" s="35" t="s">
        <v>265</v>
      </c>
      <c r="X26" s="35" t="s">
        <v>265</v>
      </c>
      <c r="Y26" s="35" t="s">
        <v>265</v>
      </c>
      <c r="Z26" s="35" t="s">
        <v>442</v>
      </c>
      <c r="AA26" s="35" t="s">
        <v>556</v>
      </c>
      <c r="AB26" s="35" t="s">
        <v>265</v>
      </c>
      <c r="AC26" s="35" t="s">
        <v>265</v>
      </c>
      <c r="AD26" s="35" t="s">
        <v>265</v>
      </c>
      <c r="AE26" s="35" t="s">
        <v>265</v>
      </c>
      <c r="AF26" s="35" t="s">
        <v>265</v>
      </c>
      <c r="AG26" s="35" t="s">
        <v>265</v>
      </c>
      <c r="AH26" s="35" t="s">
        <v>265</v>
      </c>
      <c r="AI26" s="35" t="s">
        <v>265</v>
      </c>
      <c r="AJ26" s="35" t="s">
        <v>265</v>
      </c>
      <c r="AK26" s="35" t="s">
        <v>265</v>
      </c>
      <c r="AL26" s="35" t="s">
        <v>265</v>
      </c>
      <c r="AM26" s="35" t="s">
        <v>456</v>
      </c>
      <c r="AN26" s="35" t="s">
        <v>456</v>
      </c>
      <c r="AO26" s="35" t="s">
        <v>265</v>
      </c>
      <c r="AP26" s="35" t="s">
        <v>265</v>
      </c>
      <c r="AQ26" s="35" t="s">
        <v>265</v>
      </c>
      <c r="AR26" s="35" t="s">
        <v>265</v>
      </c>
      <c r="AS26" s="35" t="s">
        <v>265</v>
      </c>
      <c r="AT26" s="35" t="s">
        <v>265</v>
      </c>
      <c r="AU26" s="35" t="s">
        <v>265</v>
      </c>
      <c r="AV26" s="35" t="s">
        <v>265</v>
      </c>
      <c r="AW26" s="35" t="s">
        <v>265</v>
      </c>
      <c r="AX26" s="35" t="s">
        <v>265</v>
      </c>
      <c r="AY26" s="35" t="s">
        <v>265</v>
      </c>
      <c r="AZ26" s="35" t="s">
        <v>265</v>
      </c>
      <c r="BA26" s="35" t="s">
        <v>265</v>
      </c>
      <c r="BB26" s="35" t="s">
        <v>265</v>
      </c>
      <c r="BC26" s="35" t="s">
        <v>265</v>
      </c>
      <c r="BD26" s="35" t="s">
        <v>265</v>
      </c>
      <c r="BE26" s="35" t="s">
        <v>265</v>
      </c>
      <c r="BF26" s="35" t="s">
        <v>265</v>
      </c>
      <c r="BG26" s="35" t="s">
        <v>265</v>
      </c>
      <c r="BH26" s="297" t="s">
        <v>265</v>
      </c>
      <c r="BI26" s="297" t="s">
        <v>265</v>
      </c>
      <c r="BJ26" s="35" t="s">
        <v>265</v>
      </c>
      <c r="BK26" s="35" t="s">
        <v>265</v>
      </c>
      <c r="BL26" s="35" t="s">
        <v>265</v>
      </c>
      <c r="BM26" s="35" t="s">
        <v>265</v>
      </c>
      <c r="BN26" s="35" t="s">
        <v>442</v>
      </c>
      <c r="BO26" s="35" t="s">
        <v>265</v>
      </c>
      <c r="BP26" s="35" t="s">
        <v>265</v>
      </c>
      <c r="BQ26" s="35" t="s">
        <v>265</v>
      </c>
      <c r="BR26" s="35" t="s">
        <v>265</v>
      </c>
      <c r="BS26" s="35" t="s">
        <v>265</v>
      </c>
      <c r="BT26" s="35" t="s">
        <v>265</v>
      </c>
      <c r="BU26" s="35" t="s">
        <v>265</v>
      </c>
      <c r="BV26" s="35" t="s">
        <v>265</v>
      </c>
      <c r="BW26" s="35" t="s">
        <v>265</v>
      </c>
      <c r="BX26" s="35" t="s">
        <v>265</v>
      </c>
      <c r="BY26" s="35" t="s">
        <v>456</v>
      </c>
      <c r="BZ26" s="35" t="s">
        <v>456</v>
      </c>
      <c r="CA26" s="311" t="s">
        <v>265</v>
      </c>
      <c r="CB26" s="35" t="s">
        <v>265</v>
      </c>
      <c r="CC26" s="35" t="s">
        <v>265</v>
      </c>
      <c r="CD26" s="35" t="s">
        <v>265</v>
      </c>
      <c r="CE26" s="35" t="s">
        <v>265</v>
      </c>
      <c r="CF26" s="35" t="s">
        <v>265</v>
      </c>
      <c r="CG26" s="35" t="s">
        <v>265</v>
      </c>
      <c r="CH26" s="35" t="s">
        <v>265</v>
      </c>
      <c r="CI26" s="35" t="s">
        <v>456</v>
      </c>
      <c r="CJ26" s="35" t="s">
        <v>456</v>
      </c>
      <c r="CK26" s="35" t="s">
        <v>456</v>
      </c>
      <c r="CL26" s="35" t="s">
        <v>265</v>
      </c>
      <c r="CM26" s="35" t="s">
        <v>265</v>
      </c>
      <c r="CN26" s="35" t="s">
        <v>456</v>
      </c>
      <c r="CO26" s="35" t="s">
        <v>456</v>
      </c>
      <c r="CP26" s="35" t="s">
        <v>456</v>
      </c>
      <c r="CQ26" s="35" t="s">
        <v>456</v>
      </c>
      <c r="CR26" s="35" t="s">
        <v>456</v>
      </c>
      <c r="CS26" s="35" t="s">
        <v>456</v>
      </c>
      <c r="CT26" s="35" t="s">
        <v>456</v>
      </c>
      <c r="CU26" s="35" t="s">
        <v>456</v>
      </c>
      <c r="CV26" s="35" t="s">
        <v>456</v>
      </c>
      <c r="CW26" s="35" t="s">
        <v>265</v>
      </c>
      <c r="CX26" s="35" t="s">
        <v>456</v>
      </c>
      <c r="CY26" s="35" t="s">
        <v>456</v>
      </c>
      <c r="CZ26" s="35" t="s">
        <v>456</v>
      </c>
      <c r="DA26" s="35" t="s">
        <v>456</v>
      </c>
      <c r="DB26" s="237" t="s">
        <v>456</v>
      </c>
      <c r="DC26" s="237" t="s">
        <v>456</v>
      </c>
      <c r="DD26" s="237" t="s">
        <v>456</v>
      </c>
      <c r="DE26" s="15"/>
      <c r="DF26" s="35" t="s">
        <v>265</v>
      </c>
      <c r="DG26" s="35" t="s">
        <v>265</v>
      </c>
      <c r="DH26" s="35" t="s">
        <v>265</v>
      </c>
      <c r="DI26" s="35" t="s">
        <v>456</v>
      </c>
      <c r="DJ26" s="237" t="s">
        <v>456</v>
      </c>
      <c r="DK26" s="237" t="s">
        <v>265</v>
      </c>
      <c r="DL26" s="237" t="s">
        <v>456</v>
      </c>
      <c r="DM26" s="35" t="s">
        <v>456</v>
      </c>
      <c r="DN26" s="35" t="s">
        <v>456</v>
      </c>
      <c r="DO26" s="35" t="s">
        <v>456</v>
      </c>
      <c r="DP26" s="35" t="s">
        <v>456</v>
      </c>
      <c r="DQ26" s="72" t="s">
        <v>456</v>
      </c>
      <c r="DR26" s="72" t="s">
        <v>456</v>
      </c>
      <c r="DS26" s="72" t="s">
        <v>456</v>
      </c>
      <c r="DT26" s="72" t="s">
        <v>456</v>
      </c>
      <c r="DU26" s="72" t="s">
        <v>456</v>
      </c>
      <c r="DV26" s="72" t="s">
        <v>456</v>
      </c>
      <c r="DW26" s="72" t="s">
        <v>456</v>
      </c>
      <c r="DX26" s="72" t="s">
        <v>456</v>
      </c>
      <c r="DY26" s="72" t="s">
        <v>456</v>
      </c>
      <c r="DZ26" s="72" t="s">
        <v>456</v>
      </c>
      <c r="EA26" s="72" t="s">
        <v>456</v>
      </c>
      <c r="EB26" s="72" t="s">
        <v>456</v>
      </c>
      <c r="EC26" s="72" t="s">
        <v>456</v>
      </c>
      <c r="ED26" s="35" t="s">
        <v>265</v>
      </c>
      <c r="EE26" s="35" t="s">
        <v>265</v>
      </c>
      <c r="EF26" s="35" t="s">
        <v>456</v>
      </c>
      <c r="EG26" s="35" t="s">
        <v>456</v>
      </c>
      <c r="EH26" s="35" t="s">
        <v>456</v>
      </c>
      <c r="EI26" s="35" t="s">
        <v>456</v>
      </c>
      <c r="EJ26" s="35" t="s">
        <v>456</v>
      </c>
      <c r="EK26" s="15"/>
      <c r="EL26" s="15"/>
      <c r="EM26" s="35" t="s">
        <v>265</v>
      </c>
      <c r="EN26" s="15"/>
      <c r="EO26" s="15"/>
      <c r="EP26" s="15"/>
      <c r="EQ26" s="15"/>
      <c r="ER26" s="15"/>
      <c r="ES26" s="15"/>
      <c r="ET26" s="15"/>
      <c r="EU26" s="15"/>
      <c r="EV26" s="15"/>
      <c r="EW26" s="15"/>
      <c r="EX26" s="15"/>
      <c r="EY26" s="15"/>
      <c r="EZ26" s="137"/>
      <c r="FA26" s="15"/>
      <c r="FB26" s="15"/>
      <c r="FC26" s="15"/>
      <c r="FD26" s="15"/>
      <c r="FE26" s="15"/>
      <c r="FF26" s="15"/>
      <c r="FG26" s="15"/>
      <c r="FH26" s="15"/>
      <c r="FI26" s="15"/>
      <c r="FJ26" s="15"/>
      <c r="FK26" s="15"/>
      <c r="FL26" s="35" t="s">
        <v>265</v>
      </c>
      <c r="FM26" s="35" t="s">
        <v>265</v>
      </c>
      <c r="FN26" s="35" t="s">
        <v>265</v>
      </c>
      <c r="FO26" s="35" t="s">
        <v>456</v>
      </c>
      <c r="FP26" s="35" t="s">
        <v>456</v>
      </c>
      <c r="FQ26" s="35" t="s">
        <v>556</v>
      </c>
      <c r="FR26" s="54"/>
      <c r="FS26" s="54"/>
      <c r="FT26" s="35" t="s">
        <v>265</v>
      </c>
      <c r="FU26" s="35" t="s">
        <v>265</v>
      </c>
      <c r="FV26" s="35" t="s">
        <v>456</v>
      </c>
      <c r="FW26" s="54"/>
      <c r="FX26" s="54"/>
      <c r="FY26" s="54"/>
      <c r="FZ26" s="54"/>
      <c r="GA26" s="35" t="s">
        <v>265</v>
      </c>
      <c r="GB26" s="35" t="s">
        <v>265</v>
      </c>
      <c r="GC26" s="35" t="s">
        <v>265</v>
      </c>
      <c r="GD26" s="35" t="s">
        <v>265</v>
      </c>
      <c r="GE26" s="54"/>
      <c r="GF26" s="54"/>
      <c r="GG26" s="54"/>
      <c r="GH26" s="54"/>
      <c r="GI26" s="54"/>
      <c r="GJ26" s="54"/>
      <c r="GK26" s="54"/>
    </row>
    <row r="27" spans="1:199" ht="14.25" thickTop="1" thickBot="1" x14ac:dyDescent="0.25">
      <c r="A27" s="199" t="s">
        <v>49</v>
      </c>
      <c r="B27" s="60" t="s">
        <v>654</v>
      </c>
      <c r="C27" s="60" t="s">
        <v>510</v>
      </c>
      <c r="D27" s="82" t="s">
        <v>400</v>
      </c>
      <c r="E27" s="60" t="s">
        <v>302</v>
      </c>
      <c r="F27" s="132" t="s">
        <v>28</v>
      </c>
      <c r="G27" s="132" t="s">
        <v>67</v>
      </c>
      <c r="H27" s="82" t="s">
        <v>168</v>
      </c>
      <c r="I27" s="56" t="s">
        <v>310</v>
      </c>
      <c r="J27" s="56" t="s">
        <v>87</v>
      </c>
      <c r="K27" s="56" t="s">
        <v>228</v>
      </c>
      <c r="L27" s="56" t="s">
        <v>144</v>
      </c>
      <c r="M27" s="56" t="s">
        <v>429</v>
      </c>
      <c r="N27" s="56" t="s">
        <v>182</v>
      </c>
      <c r="O27" s="56" t="s">
        <v>298</v>
      </c>
      <c r="P27" s="56" t="s">
        <v>571</v>
      </c>
      <c r="Q27" s="56" t="s">
        <v>156</v>
      </c>
      <c r="R27" s="56" t="s">
        <v>299</v>
      </c>
      <c r="S27" s="56" t="s">
        <v>164</v>
      </c>
      <c r="T27" s="56" t="s">
        <v>403</v>
      </c>
      <c r="U27" s="56" t="s">
        <v>367</v>
      </c>
      <c r="V27" s="56" t="s">
        <v>105</v>
      </c>
      <c r="W27" s="56" t="s">
        <v>520</v>
      </c>
      <c r="X27" s="56" t="s">
        <v>469</v>
      </c>
      <c r="Y27" s="56" t="s">
        <v>432</v>
      </c>
      <c r="Z27" s="56" t="s">
        <v>75</v>
      </c>
      <c r="AA27" s="56" t="s">
        <v>666</v>
      </c>
      <c r="AB27" s="56" t="s">
        <v>111</v>
      </c>
      <c r="AC27" s="56" t="s">
        <v>289</v>
      </c>
      <c r="AD27" s="56" t="s">
        <v>308</v>
      </c>
      <c r="AE27" s="56" t="s">
        <v>411</v>
      </c>
      <c r="AF27" s="56" t="s">
        <v>425</v>
      </c>
      <c r="AG27" s="56" t="s">
        <v>431</v>
      </c>
      <c r="AH27" s="56" t="s">
        <v>696</v>
      </c>
      <c r="AI27" s="56" t="s">
        <v>15</v>
      </c>
      <c r="AJ27" s="56" t="s">
        <v>551</v>
      </c>
      <c r="AK27" s="56" t="s">
        <v>9</v>
      </c>
      <c r="AL27" s="56" t="s">
        <v>566</v>
      </c>
      <c r="AM27" s="56" t="s">
        <v>412</v>
      </c>
      <c r="AN27" s="56" t="s">
        <v>369</v>
      </c>
      <c r="AO27" s="56" t="s">
        <v>348</v>
      </c>
      <c r="AP27" s="56" t="s">
        <v>244</v>
      </c>
      <c r="AQ27" s="56" t="s">
        <v>488</v>
      </c>
      <c r="AR27" s="56" t="s">
        <v>397</v>
      </c>
      <c r="AS27" s="56" t="s">
        <v>440</v>
      </c>
      <c r="AT27" s="56" t="s">
        <v>445</v>
      </c>
      <c r="AU27" s="202" t="s">
        <v>119</v>
      </c>
      <c r="AV27" s="202" t="s">
        <v>580</v>
      </c>
      <c r="AW27" s="202" t="s">
        <v>64</v>
      </c>
      <c r="AX27" s="56" t="s">
        <v>471</v>
      </c>
      <c r="AY27" s="56" t="s">
        <v>539</v>
      </c>
      <c r="AZ27" s="202" t="s">
        <v>318</v>
      </c>
      <c r="BA27" s="202" t="s">
        <v>257</v>
      </c>
      <c r="BB27" s="202" t="s">
        <v>751</v>
      </c>
      <c r="BC27" s="202" t="s">
        <v>55</v>
      </c>
      <c r="BD27" s="194" t="s">
        <v>522</v>
      </c>
      <c r="BE27" s="202" t="s">
        <v>370</v>
      </c>
      <c r="BF27" s="202" t="s">
        <v>752</v>
      </c>
      <c r="BG27" s="202" t="s">
        <v>585</v>
      </c>
      <c r="BH27" s="303" t="s">
        <v>603</v>
      </c>
      <c r="BI27" s="303" t="s">
        <v>604</v>
      </c>
      <c r="BJ27" s="202" t="s">
        <v>565</v>
      </c>
      <c r="BK27" s="202" t="s">
        <v>354</v>
      </c>
      <c r="BL27" s="202" t="s">
        <v>93</v>
      </c>
      <c r="BM27" s="202" t="s">
        <v>198</v>
      </c>
      <c r="BN27" s="202" t="s">
        <v>249</v>
      </c>
      <c r="BO27" s="202" t="s">
        <v>152</v>
      </c>
      <c r="BP27" s="202" t="s">
        <v>547</v>
      </c>
      <c r="BQ27" s="202" t="s">
        <v>490</v>
      </c>
      <c r="BR27" s="202" t="s">
        <v>209</v>
      </c>
      <c r="BS27" s="202" t="s">
        <v>163</v>
      </c>
      <c r="BT27" s="202" t="s">
        <v>200</v>
      </c>
      <c r="BU27" s="202" t="s">
        <v>54</v>
      </c>
      <c r="BV27" s="202" t="s">
        <v>133</v>
      </c>
      <c r="BW27" s="202" t="s">
        <v>232</v>
      </c>
      <c r="BX27" s="202" t="s">
        <v>56</v>
      </c>
      <c r="BY27" s="202" t="s">
        <v>434</v>
      </c>
      <c r="BZ27" s="202" t="s">
        <v>108</v>
      </c>
      <c r="CA27" s="306" t="s">
        <v>657</v>
      </c>
      <c r="CB27" s="202" t="s">
        <v>659</v>
      </c>
      <c r="CC27" s="202" t="s">
        <v>661</v>
      </c>
      <c r="CD27" s="202" t="s">
        <v>648</v>
      </c>
      <c r="CE27" s="202" t="s">
        <v>649</v>
      </c>
      <c r="CF27" s="202" t="s">
        <v>650</v>
      </c>
      <c r="CG27" s="202" t="s">
        <v>327</v>
      </c>
      <c r="CH27" s="202" t="s">
        <v>356</v>
      </c>
      <c r="CI27" s="202" t="s">
        <v>513</v>
      </c>
      <c r="CJ27" s="202" t="s">
        <v>554</v>
      </c>
      <c r="CK27" s="202" t="s">
        <v>409</v>
      </c>
      <c r="CL27" s="202" t="s">
        <v>72</v>
      </c>
      <c r="CM27" s="202" t="s">
        <v>35</v>
      </c>
      <c r="CN27" s="202" t="s">
        <v>453</v>
      </c>
      <c r="CO27" s="202" t="s">
        <v>84</v>
      </c>
      <c r="CP27" s="202" t="s">
        <v>534</v>
      </c>
      <c r="CQ27" s="202" t="s">
        <v>583</v>
      </c>
      <c r="CR27" s="202" t="s">
        <v>481</v>
      </c>
      <c r="CS27" s="202" t="s">
        <v>398</v>
      </c>
      <c r="CT27" s="202" t="s">
        <v>712</v>
      </c>
      <c r="CU27" s="202" t="s">
        <v>97</v>
      </c>
      <c r="CV27" s="202" t="s">
        <v>190</v>
      </c>
      <c r="CW27" s="202" t="s">
        <v>699</v>
      </c>
      <c r="CX27" s="202" t="s">
        <v>380</v>
      </c>
      <c r="CY27" s="202" t="s">
        <v>579</v>
      </c>
      <c r="CZ27" s="202" t="s">
        <v>155</v>
      </c>
      <c r="DA27" s="202" t="s">
        <v>581</v>
      </c>
      <c r="DB27" s="146" t="s">
        <v>357</v>
      </c>
      <c r="DC27" s="146" t="s">
        <v>171</v>
      </c>
      <c r="DD27" s="146" t="s">
        <v>424</v>
      </c>
      <c r="DF27" s="202" t="s">
        <v>21</v>
      </c>
      <c r="DG27" s="171" t="s">
        <v>323</v>
      </c>
      <c r="DH27" s="171" t="s">
        <v>447</v>
      </c>
      <c r="DI27" s="171" t="s">
        <v>742</v>
      </c>
      <c r="DJ27" s="146" t="s">
        <v>85</v>
      </c>
      <c r="DK27" s="146" t="s">
        <v>679</v>
      </c>
      <c r="DL27" s="146" t="s">
        <v>45</v>
      </c>
      <c r="DM27" s="202" t="s">
        <v>151</v>
      </c>
      <c r="DN27" s="202" t="s">
        <v>433</v>
      </c>
      <c r="DO27" s="202" t="s">
        <v>395</v>
      </c>
      <c r="DP27" s="202" t="s">
        <v>499</v>
      </c>
      <c r="DQ27" s="152" t="s">
        <v>65</v>
      </c>
      <c r="DR27" s="152" t="s">
        <v>267</v>
      </c>
      <c r="DS27" s="152" t="s">
        <v>13</v>
      </c>
      <c r="DT27" s="152" t="s">
        <v>463</v>
      </c>
      <c r="DU27" s="152" t="s">
        <v>11</v>
      </c>
      <c r="DV27" s="152" t="s">
        <v>577</v>
      </c>
      <c r="DW27" s="152" t="s">
        <v>113</v>
      </c>
      <c r="DX27" s="152" t="s">
        <v>294</v>
      </c>
      <c r="DY27" s="152" t="s">
        <v>131</v>
      </c>
      <c r="DZ27" s="152" t="s">
        <v>450</v>
      </c>
      <c r="EA27" s="152" t="s">
        <v>437</v>
      </c>
      <c r="EB27" s="152" t="s">
        <v>14</v>
      </c>
      <c r="EC27" s="152" t="s">
        <v>172</v>
      </c>
      <c r="ED27" s="202" t="s">
        <v>670</v>
      </c>
      <c r="EE27" s="202" t="s">
        <v>250</v>
      </c>
      <c r="EF27" s="202" t="s">
        <v>663</v>
      </c>
      <c r="EG27" s="202" t="s">
        <v>711</v>
      </c>
      <c r="EH27" s="202" t="s">
        <v>704</v>
      </c>
      <c r="EI27" s="202" t="s">
        <v>0</v>
      </c>
      <c r="EJ27" s="202" t="s">
        <v>344</v>
      </c>
      <c r="EM27" s="171" t="s">
        <v>681</v>
      </c>
      <c r="FL27" s="171" t="s">
        <v>491</v>
      </c>
      <c r="FM27" s="202" t="s">
        <v>567</v>
      </c>
      <c r="FN27" s="202" t="s">
        <v>126</v>
      </c>
      <c r="FO27" s="171" t="s">
        <v>528</v>
      </c>
      <c r="FP27" s="202" t="s">
        <v>483</v>
      </c>
      <c r="FQ27" s="202" t="s">
        <v>531</v>
      </c>
      <c r="FT27" s="202" t="s">
        <v>707</v>
      </c>
      <c r="FU27" s="202" t="s">
        <v>708</v>
      </c>
      <c r="FV27" s="202" t="s">
        <v>710</v>
      </c>
      <c r="GA27" s="202" t="s">
        <v>51</v>
      </c>
      <c r="GB27" s="56" t="s">
        <v>283</v>
      </c>
      <c r="GC27" s="202" t="s">
        <v>542</v>
      </c>
      <c r="GD27" s="56" t="s">
        <v>576</v>
      </c>
    </row>
    <row r="28" spans="1:199" s="51" customFormat="1" ht="116.25" thickTop="1" thickBot="1" x14ac:dyDescent="0.25">
      <c r="A28" s="195" t="s">
        <v>993</v>
      </c>
      <c r="B28" s="229"/>
      <c r="C28" s="229"/>
      <c r="D28" s="94"/>
      <c r="E28" s="94"/>
      <c r="F28" s="210"/>
      <c r="G28" s="210"/>
      <c r="H28" s="94" t="s">
        <v>145</v>
      </c>
      <c r="I28" s="94" t="s">
        <v>350</v>
      </c>
      <c r="J28" s="94" t="s">
        <v>79</v>
      </c>
      <c r="K28" s="94" t="s">
        <v>331</v>
      </c>
      <c r="L28" s="94" t="s">
        <v>340</v>
      </c>
      <c r="M28" s="94" t="s">
        <v>263</v>
      </c>
      <c r="N28" s="94" t="s">
        <v>223</v>
      </c>
      <c r="O28" s="94" t="s">
        <v>423</v>
      </c>
      <c r="P28" s="94" t="s">
        <v>258</v>
      </c>
      <c r="Q28" s="94" t="s">
        <v>226</v>
      </c>
      <c r="R28" s="94" t="s">
        <v>3</v>
      </c>
      <c r="S28" s="94" t="s">
        <v>524</v>
      </c>
      <c r="T28" s="94" t="s">
        <v>195</v>
      </c>
      <c r="U28" s="94" t="s">
        <v>461</v>
      </c>
      <c r="V28" s="94" t="s">
        <v>393</v>
      </c>
      <c r="W28" s="94" t="s">
        <v>277</v>
      </c>
      <c r="X28" s="94" t="s">
        <v>452</v>
      </c>
      <c r="Y28" s="94" t="s">
        <v>489</v>
      </c>
      <c r="Z28" s="94" t="s">
        <v>288</v>
      </c>
      <c r="AA28" s="94" t="s">
        <v>665</v>
      </c>
      <c r="AB28" s="94" t="s">
        <v>261</v>
      </c>
      <c r="AC28" s="94" t="s">
        <v>674</v>
      </c>
      <c r="AD28" s="94" t="s">
        <v>675</v>
      </c>
      <c r="AE28" s="94" t="s">
        <v>115</v>
      </c>
      <c r="AF28" s="94" t="s">
        <v>364</v>
      </c>
      <c r="AG28" s="94" t="s">
        <v>464</v>
      </c>
      <c r="AH28" s="94"/>
      <c r="AI28" s="94" t="s">
        <v>446</v>
      </c>
      <c r="AJ28" s="94" t="s">
        <v>10</v>
      </c>
      <c r="AK28" s="94" t="s">
        <v>189</v>
      </c>
      <c r="AL28" s="94" t="s">
        <v>135</v>
      </c>
      <c r="AM28" s="94" t="s">
        <v>128</v>
      </c>
      <c r="AN28" s="94" t="s">
        <v>496</v>
      </c>
      <c r="AO28" s="94" t="s">
        <v>293</v>
      </c>
      <c r="AP28" s="94" t="s">
        <v>543</v>
      </c>
      <c r="AQ28" s="94" t="s">
        <v>545</v>
      </c>
      <c r="AR28" s="94" t="s">
        <v>88</v>
      </c>
      <c r="AS28" s="94" t="s">
        <v>368</v>
      </c>
      <c r="AT28" s="94" t="s">
        <v>238</v>
      </c>
      <c r="AU28" s="94" t="s">
        <v>557</v>
      </c>
      <c r="AV28" s="94" t="s">
        <v>120</v>
      </c>
      <c r="AW28" s="94" t="s">
        <v>197</v>
      </c>
      <c r="AX28" s="94" t="s">
        <v>466</v>
      </c>
      <c r="AY28" s="94" t="s">
        <v>394</v>
      </c>
      <c r="AZ28" s="139" t="s">
        <v>478</v>
      </c>
      <c r="BA28" s="94" t="s">
        <v>338</v>
      </c>
      <c r="BB28" s="94" t="s">
        <v>753</v>
      </c>
      <c r="BC28" s="94" t="s">
        <v>305</v>
      </c>
      <c r="BD28" s="94" t="s">
        <v>602</v>
      </c>
      <c r="BE28" s="94" t="s">
        <v>484</v>
      </c>
      <c r="BF28" s="94" t="s">
        <v>754</v>
      </c>
      <c r="BG28" s="94" t="s">
        <v>564</v>
      </c>
      <c r="BH28" s="271" t="s">
        <v>703</v>
      </c>
      <c r="BI28" s="271" t="s">
        <v>702</v>
      </c>
      <c r="BJ28" s="94" t="s">
        <v>306</v>
      </c>
      <c r="BK28" s="94" t="s">
        <v>390</v>
      </c>
      <c r="BL28" s="94" t="s">
        <v>170</v>
      </c>
      <c r="BM28" s="94" t="s">
        <v>139</v>
      </c>
      <c r="BN28" s="94" t="s">
        <v>27</v>
      </c>
      <c r="BO28" s="94" t="s">
        <v>555</v>
      </c>
      <c r="BP28" s="94" t="s">
        <v>374</v>
      </c>
      <c r="BQ28" s="74" t="s">
        <v>177</v>
      </c>
      <c r="BR28" s="94" t="s">
        <v>41</v>
      </c>
      <c r="BS28" s="94" t="s">
        <v>98</v>
      </c>
      <c r="BT28" s="94" t="s">
        <v>230</v>
      </c>
      <c r="BU28" s="94" t="s">
        <v>192</v>
      </c>
      <c r="BV28" s="94" t="s">
        <v>349</v>
      </c>
      <c r="BW28" s="94" t="s">
        <v>16</v>
      </c>
      <c r="BX28" s="94" t="s">
        <v>199</v>
      </c>
      <c r="BY28" s="94" t="s">
        <v>514</v>
      </c>
      <c r="BZ28" s="94" t="s">
        <v>362</v>
      </c>
      <c r="CA28" s="312" t="s">
        <v>658</v>
      </c>
      <c r="CB28" s="94" t="s">
        <v>660</v>
      </c>
      <c r="CC28" s="94" t="s">
        <v>662</v>
      </c>
      <c r="CD28" s="94" t="s">
        <v>651</v>
      </c>
      <c r="CE28" s="94" t="s">
        <v>652</v>
      </c>
      <c r="CF28" s="94" t="s">
        <v>653</v>
      </c>
      <c r="CG28" s="94" t="s">
        <v>102</v>
      </c>
      <c r="CH28" s="94" t="s">
        <v>688</v>
      </c>
      <c r="CI28" s="94" t="s">
        <v>264</v>
      </c>
      <c r="CJ28" s="94" t="s">
        <v>229</v>
      </c>
      <c r="CK28" s="94" t="s">
        <v>336</v>
      </c>
      <c r="CL28" s="94" t="s">
        <v>451</v>
      </c>
      <c r="CM28" s="94" t="s">
        <v>414</v>
      </c>
      <c r="CN28" s="139" t="s">
        <v>62</v>
      </c>
      <c r="CO28" s="139" t="s">
        <v>148</v>
      </c>
      <c r="CP28" s="139" t="s">
        <v>8</v>
      </c>
      <c r="CQ28" s="139" t="s">
        <v>475</v>
      </c>
      <c r="CR28" s="139" t="s">
        <v>245</v>
      </c>
      <c r="CS28" s="94" t="s">
        <v>181</v>
      </c>
      <c r="CT28" s="94" t="s">
        <v>713</v>
      </c>
      <c r="CU28" s="139" t="s">
        <v>63</v>
      </c>
      <c r="CV28" s="139" t="s">
        <v>737</v>
      </c>
      <c r="CW28" s="139" t="s">
        <v>700</v>
      </c>
      <c r="CX28" s="94" t="s">
        <v>74</v>
      </c>
      <c r="CY28" s="94" t="s">
        <v>236</v>
      </c>
      <c r="CZ28" s="94" t="s">
        <v>74</v>
      </c>
      <c r="DA28" s="94" t="s">
        <v>236</v>
      </c>
      <c r="DB28" s="139" t="s">
        <v>342</v>
      </c>
      <c r="DC28" s="139" t="s">
        <v>559</v>
      </c>
      <c r="DD28" s="139" t="s">
        <v>256</v>
      </c>
      <c r="DE28" s="94" t="s">
        <v>61</v>
      </c>
      <c r="DF28" s="94" t="s">
        <v>47</v>
      </c>
      <c r="DG28" s="94" t="s">
        <v>20</v>
      </c>
      <c r="DH28" s="277" t="s">
        <v>741</v>
      </c>
      <c r="DI28" s="277" t="s">
        <v>743</v>
      </c>
      <c r="DJ28" s="277" t="s">
        <v>744</v>
      </c>
      <c r="DK28" s="277" t="s">
        <v>682</v>
      </c>
      <c r="DL28" s="139" t="s">
        <v>165</v>
      </c>
      <c r="DM28" s="94" t="s">
        <v>535</v>
      </c>
      <c r="DN28" s="94" t="s">
        <v>311</v>
      </c>
      <c r="DO28" s="94" t="s">
        <v>588</v>
      </c>
      <c r="DP28" s="94" t="s">
        <v>314</v>
      </c>
      <c r="DQ28" s="210" t="s">
        <v>33</v>
      </c>
      <c r="DR28" s="210" t="s">
        <v>22</v>
      </c>
      <c r="DS28" s="210" t="s">
        <v>222</v>
      </c>
      <c r="DT28" s="210" t="s">
        <v>536</v>
      </c>
      <c r="DU28" s="210" t="s">
        <v>573</v>
      </c>
      <c r="DV28" s="210" t="s">
        <v>343</v>
      </c>
      <c r="DW28" s="210" t="s">
        <v>219</v>
      </c>
      <c r="DX28" s="210" t="s">
        <v>498</v>
      </c>
      <c r="DY28" s="210" t="s">
        <v>407</v>
      </c>
      <c r="DZ28" s="210" t="s">
        <v>416</v>
      </c>
      <c r="EA28" s="210" t="s">
        <v>455</v>
      </c>
      <c r="EB28" s="210" t="s">
        <v>430</v>
      </c>
      <c r="EC28" s="210" t="s">
        <v>89</v>
      </c>
      <c r="ED28" s="94" t="s">
        <v>689</v>
      </c>
      <c r="EE28" s="94" t="s">
        <v>589</v>
      </c>
      <c r="EF28" s="94" t="s">
        <v>468</v>
      </c>
      <c r="EG28" s="94"/>
      <c r="EH28" s="94" t="s">
        <v>715</v>
      </c>
      <c r="EI28" s="94" t="s">
        <v>584</v>
      </c>
      <c r="EJ28" s="94" t="s">
        <v>114</v>
      </c>
      <c r="EK28" s="94" t="s">
        <v>193</v>
      </c>
      <c r="EL28" s="276" t="s">
        <v>683</v>
      </c>
      <c r="EM28" s="276" t="s">
        <v>684</v>
      </c>
      <c r="EN28" s="94" t="s">
        <v>312</v>
      </c>
      <c r="EO28" s="94" t="s">
        <v>441</v>
      </c>
      <c r="EP28" s="94" t="s">
        <v>5</v>
      </c>
      <c r="EQ28" s="94" t="s">
        <v>290</v>
      </c>
      <c r="ER28" s="94" t="s">
        <v>586</v>
      </c>
      <c r="ES28" s="94" t="s">
        <v>525</v>
      </c>
      <c r="ET28" s="94" t="s">
        <v>60</v>
      </c>
      <c r="EU28" s="94" t="s">
        <v>492</v>
      </c>
      <c r="EV28" s="94" t="s">
        <v>462</v>
      </c>
      <c r="EW28" s="94" t="s">
        <v>377</v>
      </c>
      <c r="EX28" s="94" t="s">
        <v>307</v>
      </c>
      <c r="EY28" s="94" t="s">
        <v>260</v>
      </c>
      <c r="EZ28" s="94" t="s">
        <v>218</v>
      </c>
      <c r="FA28" s="94" t="s">
        <v>321</v>
      </c>
      <c r="FB28" s="276" t="s">
        <v>745</v>
      </c>
      <c r="FC28" s="94" t="s">
        <v>444</v>
      </c>
      <c r="FD28" s="94" t="s">
        <v>472</v>
      </c>
      <c r="FE28" s="94" t="s">
        <v>512</v>
      </c>
      <c r="FF28" s="94" t="s">
        <v>339</v>
      </c>
      <c r="FG28" s="94" t="s">
        <v>476</v>
      </c>
      <c r="FH28" s="276" t="s">
        <v>746</v>
      </c>
      <c r="FI28" s="94" t="s">
        <v>550</v>
      </c>
      <c r="FJ28" s="94" t="s">
        <v>82</v>
      </c>
      <c r="FK28" s="94" t="s">
        <v>435</v>
      </c>
      <c r="FL28" s="94" t="s">
        <v>373</v>
      </c>
      <c r="FM28" s="139" t="s">
        <v>473</v>
      </c>
      <c r="FN28" s="139" t="s">
        <v>81</v>
      </c>
      <c r="FO28" s="94" t="s">
        <v>281</v>
      </c>
      <c r="FP28" s="94" t="s">
        <v>587</v>
      </c>
      <c r="FQ28" s="94" t="s">
        <v>247</v>
      </c>
      <c r="FR28" s="94" t="s">
        <v>141</v>
      </c>
      <c r="FS28" s="94" t="s">
        <v>457</v>
      </c>
      <c r="FT28" s="94" t="s">
        <v>705</v>
      </c>
      <c r="FU28" s="94" t="s">
        <v>706</v>
      </c>
      <c r="FV28" s="94" t="s">
        <v>747</v>
      </c>
      <c r="FW28" s="94" t="s">
        <v>203</v>
      </c>
      <c r="FX28" s="94" t="s">
        <v>273</v>
      </c>
      <c r="FY28" s="94" t="s">
        <v>4</v>
      </c>
      <c r="FZ28" s="94" t="s">
        <v>58</v>
      </c>
      <c r="GA28" s="94" t="s">
        <v>266</v>
      </c>
      <c r="GB28" s="94" t="s">
        <v>53</v>
      </c>
      <c r="GC28" s="94" t="s">
        <v>372</v>
      </c>
      <c r="GD28" s="94" t="s">
        <v>333</v>
      </c>
      <c r="GE28" s="94" t="s">
        <v>259</v>
      </c>
      <c r="GF28" s="94" t="s">
        <v>485</v>
      </c>
      <c r="GG28" s="94" t="s">
        <v>159</v>
      </c>
      <c r="GH28" s="94" t="s">
        <v>404</v>
      </c>
      <c r="GI28" s="94" t="s">
        <v>103</v>
      </c>
      <c r="GJ28" s="94" t="s">
        <v>426</v>
      </c>
      <c r="GK28" s="94" t="s">
        <v>376</v>
      </c>
      <c r="GL28" s="94" t="s">
        <v>690</v>
      </c>
      <c r="GM28" s="94" t="s">
        <v>691</v>
      </c>
      <c r="GN28" s="94" t="s">
        <v>692</v>
      </c>
      <c r="GO28" s="94" t="s">
        <v>693</v>
      </c>
      <c r="GP28" s="94" t="s">
        <v>694</v>
      </c>
      <c r="GQ28" s="94" t="s">
        <v>695</v>
      </c>
    </row>
    <row r="29" spans="1:199" ht="13.5" customHeight="1" thickTop="1" thickBot="1" x14ac:dyDescent="0.25">
      <c r="A29" s="69" t="s">
        <v>117</v>
      </c>
      <c r="B29" s="35" t="s">
        <v>265</v>
      </c>
      <c r="C29" s="35" t="s">
        <v>265</v>
      </c>
      <c r="D29" s="35" t="s">
        <v>265</v>
      </c>
      <c r="E29" s="35" t="s">
        <v>265</v>
      </c>
      <c r="F29" s="72" t="s">
        <v>442</v>
      </c>
      <c r="G29" s="72" t="s">
        <v>556</v>
      </c>
      <c r="H29" s="35" t="s">
        <v>265</v>
      </c>
      <c r="I29" s="35" t="s">
        <v>265</v>
      </c>
      <c r="J29" s="35" t="s">
        <v>265</v>
      </c>
      <c r="K29" s="35" t="s">
        <v>265</v>
      </c>
      <c r="L29" s="35" t="s">
        <v>265</v>
      </c>
      <c r="M29" s="35" t="s">
        <v>265</v>
      </c>
      <c r="N29" s="35" t="s">
        <v>265</v>
      </c>
      <c r="O29" s="35" t="s">
        <v>265</v>
      </c>
      <c r="P29" s="35" t="s">
        <v>265</v>
      </c>
      <c r="Q29" s="35" t="s">
        <v>265</v>
      </c>
      <c r="R29" s="35" t="s">
        <v>265</v>
      </c>
      <c r="S29" s="35" t="s">
        <v>265</v>
      </c>
      <c r="T29" s="35" t="s">
        <v>265</v>
      </c>
      <c r="U29" s="35" t="s">
        <v>265</v>
      </c>
      <c r="V29" s="35" t="s">
        <v>265</v>
      </c>
      <c r="W29" s="35" t="s">
        <v>265</v>
      </c>
      <c r="X29" s="35" t="s">
        <v>265</v>
      </c>
      <c r="Y29" s="35" t="s">
        <v>265</v>
      </c>
      <c r="Z29" s="35" t="s">
        <v>456</v>
      </c>
      <c r="AA29" s="35" t="s">
        <v>556</v>
      </c>
      <c r="AB29" s="35" t="s">
        <v>265</v>
      </c>
      <c r="AC29" s="35" t="s">
        <v>456</v>
      </c>
      <c r="AD29" s="35" t="s">
        <v>456</v>
      </c>
      <c r="AE29" s="35" t="s">
        <v>456</v>
      </c>
      <c r="AF29" s="35" t="s">
        <v>456</v>
      </c>
      <c r="AG29" s="35" t="s">
        <v>265</v>
      </c>
      <c r="AH29" s="35" t="s">
        <v>456</v>
      </c>
      <c r="AI29" s="35" t="s">
        <v>265</v>
      </c>
      <c r="AJ29" s="35" t="s">
        <v>265</v>
      </c>
      <c r="AK29" s="35" t="s">
        <v>265</v>
      </c>
      <c r="AL29" s="35" t="s">
        <v>265</v>
      </c>
      <c r="AM29" s="35" t="s">
        <v>456</v>
      </c>
      <c r="AN29" s="35" t="s">
        <v>456</v>
      </c>
      <c r="AO29" s="35" t="s">
        <v>456</v>
      </c>
      <c r="AP29" s="35" t="s">
        <v>265</v>
      </c>
      <c r="AQ29" s="35" t="s">
        <v>456</v>
      </c>
      <c r="AR29" s="35" t="s">
        <v>265</v>
      </c>
      <c r="AS29" s="35" t="s">
        <v>456</v>
      </c>
      <c r="AT29" s="35" t="s">
        <v>456</v>
      </c>
      <c r="AU29" s="35" t="s">
        <v>456</v>
      </c>
      <c r="AV29" s="35" t="s">
        <v>456</v>
      </c>
      <c r="AW29" s="35" t="s">
        <v>456</v>
      </c>
      <c r="AX29" s="35" t="s">
        <v>456</v>
      </c>
      <c r="AY29" s="35" t="s">
        <v>456</v>
      </c>
      <c r="AZ29" s="237" t="s">
        <v>456</v>
      </c>
      <c r="BA29" s="35" t="s">
        <v>456</v>
      </c>
      <c r="BB29" s="35" t="s">
        <v>456</v>
      </c>
      <c r="BC29" s="35" t="s">
        <v>456</v>
      </c>
      <c r="BD29" s="35" t="s">
        <v>456</v>
      </c>
      <c r="BE29" s="35" t="s">
        <v>456</v>
      </c>
      <c r="BF29" s="35" t="s">
        <v>456</v>
      </c>
      <c r="BG29" s="35" t="s">
        <v>456</v>
      </c>
      <c r="BH29" s="297" t="s">
        <v>265</v>
      </c>
      <c r="BI29" s="297" t="s">
        <v>456</v>
      </c>
      <c r="BJ29" s="35" t="s">
        <v>265</v>
      </c>
      <c r="BK29" s="35" t="s">
        <v>265</v>
      </c>
      <c r="BL29" s="35" t="s">
        <v>456</v>
      </c>
      <c r="BM29" s="35" t="s">
        <v>456</v>
      </c>
      <c r="BN29" s="35" t="s">
        <v>556</v>
      </c>
      <c r="BO29" s="35" t="s">
        <v>456</v>
      </c>
      <c r="BP29" s="35" t="s">
        <v>456</v>
      </c>
      <c r="BQ29" s="35" t="s">
        <v>456</v>
      </c>
      <c r="BR29" s="35" t="s">
        <v>456</v>
      </c>
      <c r="BS29" s="35" t="s">
        <v>456</v>
      </c>
      <c r="BT29" s="35" t="s">
        <v>456</v>
      </c>
      <c r="BU29" s="35" t="s">
        <v>456</v>
      </c>
      <c r="BV29" s="35" t="s">
        <v>265</v>
      </c>
      <c r="BW29" s="35" t="s">
        <v>265</v>
      </c>
      <c r="BX29" s="35" t="s">
        <v>265</v>
      </c>
      <c r="BY29" s="35" t="s">
        <v>456</v>
      </c>
      <c r="BZ29" s="35" t="s">
        <v>456</v>
      </c>
      <c r="CA29" s="311" t="s">
        <v>456</v>
      </c>
      <c r="CB29" s="35" t="s">
        <v>456</v>
      </c>
      <c r="CC29" s="35" t="s">
        <v>456</v>
      </c>
      <c r="CD29" s="35" t="s">
        <v>456</v>
      </c>
      <c r="CE29" s="35" t="s">
        <v>456</v>
      </c>
      <c r="CF29" s="35" t="s">
        <v>456</v>
      </c>
      <c r="CG29" s="35" t="s">
        <v>265</v>
      </c>
      <c r="CH29" s="35" t="s">
        <v>265</v>
      </c>
      <c r="CI29" s="35" t="s">
        <v>556</v>
      </c>
      <c r="CJ29" s="35" t="s">
        <v>556</v>
      </c>
      <c r="CK29" s="35" t="s">
        <v>556</v>
      </c>
      <c r="CL29" s="35" t="s">
        <v>456</v>
      </c>
      <c r="CM29" s="35" t="s">
        <v>456</v>
      </c>
      <c r="CN29" s="35" t="s">
        <v>456</v>
      </c>
      <c r="CO29" s="35" t="s">
        <v>456</v>
      </c>
      <c r="CP29" s="35" t="s">
        <v>456</v>
      </c>
      <c r="CQ29" s="35" t="s">
        <v>456</v>
      </c>
      <c r="CR29" s="35" t="s">
        <v>456</v>
      </c>
      <c r="CS29" s="35" t="s">
        <v>456</v>
      </c>
      <c r="CT29" s="35" t="s">
        <v>456</v>
      </c>
      <c r="CU29" s="35" t="s">
        <v>456</v>
      </c>
      <c r="CV29" s="35" t="s">
        <v>456</v>
      </c>
      <c r="CW29" s="35" t="s">
        <v>456</v>
      </c>
      <c r="CX29" s="35" t="s">
        <v>456</v>
      </c>
      <c r="CY29" s="35" t="s">
        <v>456</v>
      </c>
      <c r="CZ29" s="35" t="s">
        <v>456</v>
      </c>
      <c r="DA29" s="35" t="s">
        <v>456</v>
      </c>
      <c r="DB29" s="237" t="s">
        <v>456</v>
      </c>
      <c r="DC29" s="237" t="s">
        <v>456</v>
      </c>
      <c r="DD29" s="237" t="s">
        <v>456</v>
      </c>
      <c r="DE29" s="35" t="s">
        <v>456</v>
      </c>
      <c r="DF29" s="35" t="s">
        <v>456</v>
      </c>
      <c r="DG29" s="35" t="s">
        <v>456</v>
      </c>
      <c r="DH29" s="35" t="s">
        <v>456</v>
      </c>
      <c r="DI29" s="35" t="s">
        <v>456</v>
      </c>
      <c r="DJ29" s="237" t="s">
        <v>456</v>
      </c>
      <c r="DK29" s="237" t="s">
        <v>456</v>
      </c>
      <c r="DL29" s="237" t="s">
        <v>456</v>
      </c>
      <c r="DM29" s="35" t="s">
        <v>456</v>
      </c>
      <c r="DN29" s="35" t="s">
        <v>456</v>
      </c>
      <c r="DO29" s="35" t="s">
        <v>456</v>
      </c>
      <c r="DP29" s="35" t="s">
        <v>456</v>
      </c>
      <c r="DQ29" s="72" t="s">
        <v>569</v>
      </c>
      <c r="DR29" s="72" t="s">
        <v>569</v>
      </c>
      <c r="DS29" s="72" t="s">
        <v>569</v>
      </c>
      <c r="DT29" s="72" t="s">
        <v>569</v>
      </c>
      <c r="DU29" s="72" t="s">
        <v>569</v>
      </c>
      <c r="DV29" s="72" t="s">
        <v>569</v>
      </c>
      <c r="DW29" s="72" t="s">
        <v>456</v>
      </c>
      <c r="DX29" s="72" t="s">
        <v>456</v>
      </c>
      <c r="DY29" s="72" t="s">
        <v>456</v>
      </c>
      <c r="DZ29" s="72" t="s">
        <v>456</v>
      </c>
      <c r="EA29" s="72" t="s">
        <v>456</v>
      </c>
      <c r="EB29" s="72" t="s">
        <v>456</v>
      </c>
      <c r="EC29" s="72" t="s">
        <v>456</v>
      </c>
      <c r="ED29" s="35" t="s">
        <v>265</v>
      </c>
      <c r="EE29" s="35" t="s">
        <v>265</v>
      </c>
      <c r="EF29" s="35" t="s">
        <v>442</v>
      </c>
      <c r="EG29" s="35" t="s">
        <v>456</v>
      </c>
      <c r="EH29" s="35" t="s">
        <v>442</v>
      </c>
      <c r="EI29" s="35" t="s">
        <v>442</v>
      </c>
      <c r="EJ29" s="35" t="s">
        <v>442</v>
      </c>
      <c r="EK29" s="35" t="s">
        <v>456</v>
      </c>
      <c r="EL29" s="35" t="s">
        <v>456</v>
      </c>
      <c r="EM29" s="35" t="s">
        <v>456</v>
      </c>
      <c r="EN29" s="35" t="s">
        <v>456</v>
      </c>
      <c r="EO29" s="35" t="s">
        <v>456</v>
      </c>
      <c r="EP29" s="35" t="s">
        <v>456</v>
      </c>
      <c r="EQ29" s="35" t="s">
        <v>456</v>
      </c>
      <c r="ER29" s="35" t="s">
        <v>456</v>
      </c>
      <c r="ES29" s="35" t="s">
        <v>456</v>
      </c>
      <c r="ET29" s="35" t="s">
        <v>456</v>
      </c>
      <c r="EU29" s="35" t="s">
        <v>456</v>
      </c>
      <c r="EV29" s="35" t="s">
        <v>456</v>
      </c>
      <c r="EW29" s="35" t="s">
        <v>456</v>
      </c>
      <c r="EX29" s="35" t="s">
        <v>456</v>
      </c>
      <c r="EY29" s="35" t="s">
        <v>456</v>
      </c>
      <c r="EZ29" s="35" t="s">
        <v>456</v>
      </c>
      <c r="FA29" s="35" t="s">
        <v>456</v>
      </c>
      <c r="FB29" s="35" t="s">
        <v>456</v>
      </c>
      <c r="FC29" s="35" t="s">
        <v>456</v>
      </c>
      <c r="FD29" s="35" t="s">
        <v>456</v>
      </c>
      <c r="FE29" s="35" t="s">
        <v>456</v>
      </c>
      <c r="FF29" s="35" t="s">
        <v>456</v>
      </c>
      <c r="FG29" s="35" t="s">
        <v>456</v>
      </c>
      <c r="FH29" s="35" t="s">
        <v>456</v>
      </c>
      <c r="FI29" s="35" t="s">
        <v>456</v>
      </c>
      <c r="FJ29" s="35" t="s">
        <v>456</v>
      </c>
      <c r="FK29" s="35" t="s">
        <v>456</v>
      </c>
      <c r="FL29" s="35" t="s">
        <v>456</v>
      </c>
      <c r="FM29" s="35" t="s">
        <v>456</v>
      </c>
      <c r="FN29" s="35" t="s">
        <v>456</v>
      </c>
      <c r="FO29" s="35" t="s">
        <v>456</v>
      </c>
      <c r="FP29" s="35" t="s">
        <v>456</v>
      </c>
      <c r="FQ29" s="35" t="s">
        <v>556</v>
      </c>
      <c r="FR29" s="35" t="s">
        <v>265</v>
      </c>
      <c r="FS29" s="35" t="s">
        <v>265</v>
      </c>
      <c r="FT29" s="35" t="s">
        <v>265</v>
      </c>
      <c r="FU29" s="35" t="s">
        <v>265</v>
      </c>
      <c r="FV29" s="35" t="s">
        <v>456</v>
      </c>
      <c r="FW29" s="35" t="s">
        <v>456</v>
      </c>
      <c r="FX29" s="35" t="s">
        <v>456</v>
      </c>
      <c r="FY29" s="35" t="s">
        <v>456</v>
      </c>
      <c r="FZ29" s="35" t="s">
        <v>456</v>
      </c>
      <c r="GA29" s="35" t="s">
        <v>456</v>
      </c>
      <c r="GB29" s="35" t="s">
        <v>456</v>
      </c>
      <c r="GC29" s="35" t="s">
        <v>456</v>
      </c>
      <c r="GD29" s="35" t="s">
        <v>456</v>
      </c>
      <c r="GE29" s="35" t="s">
        <v>456</v>
      </c>
      <c r="GF29" s="35" t="s">
        <v>456</v>
      </c>
      <c r="GG29" s="35" t="s">
        <v>456</v>
      </c>
      <c r="GH29" s="35" t="s">
        <v>456</v>
      </c>
      <c r="GI29" s="35" t="s">
        <v>456</v>
      </c>
      <c r="GJ29" s="35" t="s">
        <v>456</v>
      </c>
      <c r="GK29" s="35" t="s">
        <v>456</v>
      </c>
      <c r="GL29" s="35" t="s">
        <v>456</v>
      </c>
      <c r="GM29" s="35" t="s">
        <v>456</v>
      </c>
      <c r="GN29" s="35" t="s">
        <v>456</v>
      </c>
      <c r="GO29" s="35" t="s">
        <v>456</v>
      </c>
      <c r="GP29" s="35" t="s">
        <v>456</v>
      </c>
      <c r="GQ29" s="35" t="s">
        <v>456</v>
      </c>
    </row>
    <row r="30" spans="1:199" ht="14.25" thickTop="1" thickBot="1" x14ac:dyDescent="0.25">
      <c r="A30" s="69" t="s">
        <v>526</v>
      </c>
      <c r="B30" s="60" t="s">
        <v>654</v>
      </c>
      <c r="C30" s="60" t="s">
        <v>510</v>
      </c>
      <c r="D30" s="82" t="s">
        <v>400</v>
      </c>
      <c r="E30" s="60" t="s">
        <v>302</v>
      </c>
      <c r="F30" s="132" t="s">
        <v>28</v>
      </c>
      <c r="G30" s="132" t="s">
        <v>67</v>
      </c>
      <c r="H30" s="82" t="s">
        <v>168</v>
      </c>
      <c r="I30" s="56" t="s">
        <v>310</v>
      </c>
      <c r="J30" s="56" t="s">
        <v>87</v>
      </c>
      <c r="K30" s="56" t="s">
        <v>228</v>
      </c>
      <c r="L30" s="56" t="s">
        <v>144</v>
      </c>
      <c r="M30" s="56" t="s">
        <v>429</v>
      </c>
      <c r="N30" s="56" t="s">
        <v>182</v>
      </c>
      <c r="O30" s="56" t="s">
        <v>298</v>
      </c>
      <c r="P30" s="56" t="s">
        <v>571</v>
      </c>
      <c r="Q30" s="56" t="s">
        <v>156</v>
      </c>
      <c r="R30" s="56" t="s">
        <v>299</v>
      </c>
      <c r="S30" s="56" t="s">
        <v>164</v>
      </c>
      <c r="T30" s="56" t="s">
        <v>403</v>
      </c>
      <c r="U30" s="56" t="s">
        <v>367</v>
      </c>
      <c r="V30" s="56" t="s">
        <v>105</v>
      </c>
      <c r="W30" s="56" t="s">
        <v>520</v>
      </c>
      <c r="X30" s="56" t="s">
        <v>469</v>
      </c>
      <c r="Y30" s="56" t="s">
        <v>432</v>
      </c>
      <c r="Z30" s="56" t="s">
        <v>75</v>
      </c>
      <c r="AA30" s="56" t="s">
        <v>666</v>
      </c>
      <c r="AB30" s="56" t="s">
        <v>111</v>
      </c>
      <c r="AC30" s="56" t="s">
        <v>289</v>
      </c>
      <c r="AD30" s="56" t="s">
        <v>308</v>
      </c>
      <c r="AE30" s="56" t="s">
        <v>411</v>
      </c>
      <c r="AF30" s="56" t="s">
        <v>425</v>
      </c>
      <c r="AG30" s="56" t="s">
        <v>431</v>
      </c>
      <c r="AH30" s="56" t="s">
        <v>696</v>
      </c>
      <c r="AI30" s="56" t="s">
        <v>15</v>
      </c>
      <c r="AJ30" s="56" t="s">
        <v>551</v>
      </c>
      <c r="AK30" s="56" t="s">
        <v>9</v>
      </c>
      <c r="AL30" s="56" t="s">
        <v>566</v>
      </c>
      <c r="AM30" s="56" t="s">
        <v>412</v>
      </c>
      <c r="AN30" s="56" t="s">
        <v>369</v>
      </c>
      <c r="AO30" s="56" t="s">
        <v>348</v>
      </c>
      <c r="AP30" s="56" t="s">
        <v>244</v>
      </c>
      <c r="AQ30" s="56" t="s">
        <v>488</v>
      </c>
      <c r="AR30" s="56" t="s">
        <v>397</v>
      </c>
      <c r="AS30" s="56" t="s">
        <v>440</v>
      </c>
      <c r="AT30" s="56" t="s">
        <v>445</v>
      </c>
      <c r="AU30" s="202" t="s">
        <v>119</v>
      </c>
      <c r="AV30" s="202" t="s">
        <v>580</v>
      </c>
      <c r="AW30" s="202" t="s">
        <v>64</v>
      </c>
      <c r="AX30" s="56" t="s">
        <v>471</v>
      </c>
      <c r="AY30" s="56" t="s">
        <v>539</v>
      </c>
      <c r="AZ30" s="202" t="s">
        <v>318</v>
      </c>
      <c r="BA30" s="202" t="s">
        <v>257</v>
      </c>
      <c r="BB30" s="202" t="s">
        <v>751</v>
      </c>
      <c r="BC30" s="202" t="s">
        <v>55</v>
      </c>
      <c r="BD30" s="56" t="s">
        <v>522</v>
      </c>
      <c r="BE30" s="202" t="s">
        <v>370</v>
      </c>
      <c r="BF30" s="202" t="s">
        <v>752</v>
      </c>
      <c r="BG30" s="202" t="s">
        <v>585</v>
      </c>
      <c r="BH30" s="298" t="s">
        <v>603</v>
      </c>
      <c r="BI30" s="298" t="s">
        <v>604</v>
      </c>
      <c r="BJ30" s="202" t="s">
        <v>565</v>
      </c>
      <c r="BK30" s="202" t="s">
        <v>354</v>
      </c>
      <c r="BL30" s="202" t="s">
        <v>93</v>
      </c>
      <c r="BM30" s="202" t="s">
        <v>198</v>
      </c>
      <c r="BN30" s="202" t="s">
        <v>249</v>
      </c>
      <c r="BO30" s="202" t="s">
        <v>152</v>
      </c>
      <c r="BP30" s="202" t="s">
        <v>547</v>
      </c>
      <c r="BQ30" s="202" t="s">
        <v>490</v>
      </c>
      <c r="BR30" s="202" t="s">
        <v>209</v>
      </c>
      <c r="BS30" s="202" t="s">
        <v>163</v>
      </c>
      <c r="BT30" s="202" t="s">
        <v>200</v>
      </c>
      <c r="BU30" s="202" t="s">
        <v>54</v>
      </c>
      <c r="BV30" s="202" t="s">
        <v>133</v>
      </c>
      <c r="BW30" s="202" t="s">
        <v>232</v>
      </c>
      <c r="BX30" s="202" t="s">
        <v>56</v>
      </c>
      <c r="BY30" s="202" t="s">
        <v>434</v>
      </c>
      <c r="BZ30" s="202" t="s">
        <v>108</v>
      </c>
      <c r="CA30" s="306" t="s">
        <v>657</v>
      </c>
      <c r="CB30" s="202" t="s">
        <v>659</v>
      </c>
      <c r="CC30" s="202" t="s">
        <v>661</v>
      </c>
      <c r="CD30" s="202" t="s">
        <v>648</v>
      </c>
      <c r="CE30" s="202" t="s">
        <v>649</v>
      </c>
      <c r="CF30" s="202" t="s">
        <v>650</v>
      </c>
      <c r="CG30" s="202" t="s">
        <v>327</v>
      </c>
      <c r="CH30" s="202" t="s">
        <v>356</v>
      </c>
      <c r="CI30" s="202" t="s">
        <v>513</v>
      </c>
      <c r="CJ30" s="202" t="s">
        <v>554</v>
      </c>
      <c r="CK30" s="202" t="s">
        <v>409</v>
      </c>
      <c r="CL30" s="202" t="s">
        <v>72</v>
      </c>
      <c r="CM30" s="202" t="s">
        <v>35</v>
      </c>
      <c r="CN30" s="202" t="s">
        <v>118</v>
      </c>
      <c r="CO30" s="202" t="s">
        <v>254</v>
      </c>
      <c r="CP30" s="202" t="s">
        <v>396</v>
      </c>
      <c r="CQ30" s="202" t="s">
        <v>279</v>
      </c>
      <c r="CR30" s="202" t="s">
        <v>66</v>
      </c>
      <c r="CS30" s="202" t="s">
        <v>568</v>
      </c>
      <c r="CT30" s="202" t="s">
        <v>712</v>
      </c>
      <c r="CU30" s="202" t="s">
        <v>371</v>
      </c>
      <c r="CV30" s="202" t="s">
        <v>497</v>
      </c>
      <c r="CW30" s="202" t="s">
        <v>699</v>
      </c>
      <c r="CX30" s="202" t="s">
        <v>320</v>
      </c>
      <c r="CY30" s="202" t="s">
        <v>509</v>
      </c>
      <c r="CZ30" s="202" t="s">
        <v>186</v>
      </c>
      <c r="DA30" s="202" t="s">
        <v>517</v>
      </c>
      <c r="DB30" s="146" t="s">
        <v>291</v>
      </c>
      <c r="DC30" s="146" t="s">
        <v>353</v>
      </c>
      <c r="DD30" s="146" t="s">
        <v>366</v>
      </c>
      <c r="DE30" s="171" t="s">
        <v>501</v>
      </c>
      <c r="DF30" s="202" t="s">
        <v>21</v>
      </c>
      <c r="DG30" s="171" t="s">
        <v>323</v>
      </c>
      <c r="DH30" s="171" t="s">
        <v>447</v>
      </c>
      <c r="DI30" s="171" t="s">
        <v>742</v>
      </c>
      <c r="DJ30" s="146" t="s">
        <v>678</v>
      </c>
      <c r="DK30" s="146" t="s">
        <v>679</v>
      </c>
      <c r="DL30" s="146" t="s">
        <v>262</v>
      </c>
      <c r="DM30" s="202" t="s">
        <v>255</v>
      </c>
      <c r="DN30" s="202" t="s">
        <v>541</v>
      </c>
      <c r="DO30" s="202" t="s">
        <v>395</v>
      </c>
      <c r="DP30" s="202" t="s">
        <v>499</v>
      </c>
      <c r="DQ30" s="2" t="s">
        <v>65</v>
      </c>
      <c r="DR30" s="2" t="s">
        <v>267</v>
      </c>
      <c r="DS30" s="2" t="s">
        <v>13</v>
      </c>
      <c r="DT30" s="2" t="s">
        <v>463</v>
      </c>
      <c r="DU30" s="2" t="s">
        <v>11</v>
      </c>
      <c r="DV30" s="2" t="s">
        <v>577</v>
      </c>
      <c r="DW30" s="2" t="s">
        <v>113</v>
      </c>
      <c r="DX30" s="2" t="s">
        <v>294</v>
      </c>
      <c r="DY30" s="2" t="s">
        <v>131</v>
      </c>
      <c r="DZ30" s="2" t="s">
        <v>450</v>
      </c>
      <c r="EA30" s="2" t="s">
        <v>437</v>
      </c>
      <c r="EB30" s="2" t="s">
        <v>14</v>
      </c>
      <c r="EC30" s="2" t="s">
        <v>172</v>
      </c>
      <c r="ED30" s="202" t="s">
        <v>670</v>
      </c>
      <c r="EE30" s="202" t="s">
        <v>250</v>
      </c>
      <c r="EF30" s="202" t="s">
        <v>663</v>
      </c>
      <c r="EG30" s="202" t="s">
        <v>711</v>
      </c>
      <c r="EH30" s="202" t="s">
        <v>704</v>
      </c>
      <c r="EI30" s="202" t="s">
        <v>0</v>
      </c>
      <c r="EJ30" s="202" t="s">
        <v>344</v>
      </c>
      <c r="EK30" s="171" t="s">
        <v>173</v>
      </c>
      <c r="EL30" s="171" t="s">
        <v>680</v>
      </c>
      <c r="EM30" s="171" t="s">
        <v>681</v>
      </c>
      <c r="EN30" s="171" t="s">
        <v>479</v>
      </c>
      <c r="EO30" s="171" t="s">
        <v>286</v>
      </c>
      <c r="EP30" s="171" t="s">
        <v>127</v>
      </c>
      <c r="EQ30" s="171" t="s">
        <v>552</v>
      </c>
      <c r="ER30" s="171" t="s">
        <v>194</v>
      </c>
      <c r="ES30" s="171" t="s">
        <v>19</v>
      </c>
      <c r="ET30" s="171" t="s">
        <v>408</v>
      </c>
      <c r="EU30" s="171" t="s">
        <v>563</v>
      </c>
      <c r="EV30" s="171" t="s">
        <v>358</v>
      </c>
      <c r="EW30" s="171" t="s">
        <v>319</v>
      </c>
      <c r="EX30" s="171" t="s">
        <v>207</v>
      </c>
      <c r="EY30" s="171" t="s">
        <v>558</v>
      </c>
      <c r="EZ30" s="202" t="s">
        <v>150</v>
      </c>
      <c r="FA30" s="171" t="s">
        <v>242</v>
      </c>
      <c r="FB30" s="171" t="s">
        <v>504</v>
      </c>
      <c r="FC30" s="171" t="s">
        <v>341</v>
      </c>
      <c r="FD30" s="171" t="s">
        <v>24</v>
      </c>
      <c r="FE30" s="171" t="s">
        <v>191</v>
      </c>
      <c r="FF30" s="171" t="s">
        <v>121</v>
      </c>
      <c r="FG30" s="171" t="s">
        <v>405</v>
      </c>
      <c r="FH30" s="171" t="s">
        <v>300</v>
      </c>
      <c r="FI30" s="171" t="s">
        <v>48</v>
      </c>
      <c r="FJ30" s="171" t="s">
        <v>500</v>
      </c>
      <c r="FK30" s="171" t="s">
        <v>388</v>
      </c>
      <c r="FL30" s="171" t="s">
        <v>491</v>
      </c>
      <c r="FM30" s="202" t="s">
        <v>567</v>
      </c>
      <c r="FN30" s="202" t="s">
        <v>126</v>
      </c>
      <c r="FO30" s="171" t="s">
        <v>528</v>
      </c>
      <c r="FP30" s="202" t="s">
        <v>483</v>
      </c>
      <c r="FQ30" s="202" t="s">
        <v>531</v>
      </c>
      <c r="FR30" s="202" t="s">
        <v>201</v>
      </c>
      <c r="FS30" s="202" t="s">
        <v>325</v>
      </c>
      <c r="FT30" s="202" t="s">
        <v>707</v>
      </c>
      <c r="FU30" s="202" t="s">
        <v>708</v>
      </c>
      <c r="FV30" s="202" t="s">
        <v>710</v>
      </c>
      <c r="FW30" s="202" t="s">
        <v>269</v>
      </c>
      <c r="FX30" s="202" t="s">
        <v>413</v>
      </c>
      <c r="FY30" s="202" t="s">
        <v>251</v>
      </c>
      <c r="FZ30" s="202" t="s">
        <v>465</v>
      </c>
      <c r="GA30" s="202" t="s">
        <v>51</v>
      </c>
      <c r="GB30" s="56" t="s">
        <v>283</v>
      </c>
      <c r="GC30" s="202" t="s">
        <v>542</v>
      </c>
      <c r="GD30" s="56" t="s">
        <v>576</v>
      </c>
      <c r="GE30" s="202" t="s">
        <v>112</v>
      </c>
      <c r="GF30" s="202" t="s">
        <v>363</v>
      </c>
      <c r="GG30" s="202" t="s">
        <v>185</v>
      </c>
      <c r="GH30" s="202" t="s">
        <v>345</v>
      </c>
      <c r="GI30" s="202" t="s">
        <v>180</v>
      </c>
      <c r="GJ30" s="202" t="s">
        <v>421</v>
      </c>
      <c r="GK30" s="202" t="s">
        <v>96</v>
      </c>
      <c r="GL30" s="202" t="s">
        <v>590</v>
      </c>
      <c r="GM30" s="202" t="s">
        <v>592</v>
      </c>
      <c r="GN30" s="202" t="s">
        <v>593</v>
      </c>
      <c r="GO30" s="202" t="s">
        <v>594</v>
      </c>
      <c r="GP30" s="202" t="s">
        <v>595</v>
      </c>
      <c r="GQ30" s="202" t="s">
        <v>596</v>
      </c>
    </row>
    <row r="31" spans="1:199" ht="13.5" thickTop="1" x14ac:dyDescent="0.2"/>
  </sheetData>
  <autoFilter ref="A30:XFD50" xr:uid="{00000000-0009-0000-0000-000002000000}"/>
  <sortState xmlns:xlrd2="http://schemas.microsoft.com/office/spreadsheetml/2017/richdata2" ref="B31:HA76">
    <sortCondition ref="AI31:AI76"/>
  </sortState>
  <printOptions gridLines="1" gridLinesSet="0"/>
  <pageMargins left="0.75" right="0.75" top="1" bottom="1" header="0.5" footer="0.5"/>
  <pageSetup orientation="portrait" r:id="rId1"/>
  <headerFooter>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FK177"/>
  <sheetViews>
    <sheetView zoomScale="90" zoomScaleNormal="90" workbookViewId="0">
      <selection sqref="A1:XFD1048576"/>
    </sheetView>
  </sheetViews>
  <sheetFormatPr defaultRowHeight="12.75" x14ac:dyDescent="0.2"/>
  <cols>
    <col min="2" max="2" width="25.140625" customWidth="1"/>
    <col min="3" max="3" width="12.5703125" customWidth="1"/>
    <col min="5" max="5" width="25.140625" customWidth="1"/>
    <col min="6" max="6" width="10.5703125" customWidth="1"/>
    <col min="7" max="7" width="17" bestFit="1" customWidth="1"/>
    <col min="8" max="8" width="17.28515625" bestFit="1" customWidth="1"/>
    <col min="9" max="10" width="15" customWidth="1"/>
    <col min="11" max="15" width="13.7109375" customWidth="1"/>
    <col min="16" max="16" width="14.85546875" customWidth="1"/>
    <col min="17" max="102" width="13.7109375" customWidth="1"/>
    <col min="103" max="103" width="12.140625" customWidth="1"/>
    <col min="104" max="104" width="14.140625" customWidth="1"/>
    <col min="105" max="105" width="16.7109375" customWidth="1"/>
    <col min="106" max="106" width="22" customWidth="1"/>
    <col min="108" max="109" width="21.85546875" customWidth="1"/>
    <col min="110" max="110" width="44" customWidth="1"/>
    <col min="111" max="111" width="14.85546875" customWidth="1"/>
    <col min="112" max="112" width="7.5703125" customWidth="1"/>
    <col min="113" max="113" width="18.85546875" customWidth="1"/>
    <col min="114" max="114" width="9" customWidth="1"/>
    <col min="115" max="115" width="8.28515625" customWidth="1"/>
    <col min="116" max="116" width="20.140625" customWidth="1"/>
    <col min="117" max="117" width="13.85546875" customWidth="1"/>
    <col min="118" max="118" width="13.140625" customWidth="1"/>
    <col min="119" max="119" width="18" customWidth="1"/>
    <col min="120" max="120" width="14.7109375" customWidth="1"/>
    <col min="121" max="121" width="16.28515625" customWidth="1"/>
    <col min="122" max="122" width="14.140625" customWidth="1"/>
    <col min="123" max="123" width="15.28515625" customWidth="1"/>
    <col min="124" max="124" width="17.7109375" customWidth="1"/>
  </cols>
  <sheetData>
    <row r="1" spans="1:167" ht="16.5" thickTop="1" x14ac:dyDescent="0.25">
      <c r="A1" s="183" t="s">
        <v>210</v>
      </c>
      <c r="B1" s="183"/>
      <c r="C1" s="183"/>
      <c r="D1" s="183" t="s">
        <v>309</v>
      </c>
      <c r="E1" s="183"/>
      <c r="F1" s="183"/>
      <c r="G1" s="183" t="s">
        <v>233</v>
      </c>
      <c r="H1" s="183"/>
      <c r="I1" s="183"/>
      <c r="J1" s="183" t="s">
        <v>275</v>
      </c>
      <c r="K1" s="183"/>
      <c r="L1" s="183"/>
      <c r="M1" s="183" t="s">
        <v>537</v>
      </c>
      <c r="N1" s="183"/>
      <c r="O1" s="183"/>
      <c r="P1" s="183" t="s">
        <v>667</v>
      </c>
      <c r="Q1" s="183"/>
      <c r="R1" s="183"/>
      <c r="S1" s="183"/>
      <c r="T1" s="183"/>
      <c r="U1" s="183"/>
      <c r="V1" s="183"/>
      <c r="W1" s="183"/>
      <c r="X1" s="183"/>
      <c r="Y1" s="183"/>
      <c r="Z1" s="183"/>
      <c r="AA1" s="183"/>
      <c r="AB1" s="183"/>
      <c r="AC1" s="183"/>
      <c r="AD1" s="183"/>
      <c r="AE1" s="183"/>
      <c r="AF1" s="183"/>
      <c r="AG1" s="183"/>
      <c r="AH1" s="183"/>
      <c r="AI1" s="183"/>
      <c r="AJ1" s="183"/>
      <c r="AK1" s="183"/>
      <c r="AL1" s="183"/>
      <c r="AM1" s="183"/>
      <c r="AN1" s="183"/>
      <c r="AO1" s="183"/>
      <c r="AP1" s="183"/>
      <c r="AQ1" s="183"/>
      <c r="AR1" s="183"/>
      <c r="AS1" s="183"/>
      <c r="AT1" s="183"/>
      <c r="AU1" s="183"/>
      <c r="AV1" s="183"/>
      <c r="AW1" s="183"/>
      <c r="AX1" s="183"/>
      <c r="AY1" s="183"/>
      <c r="AZ1" s="183"/>
      <c r="BA1" s="183"/>
      <c r="BB1" s="183"/>
      <c r="BC1" s="183"/>
      <c r="BD1" s="183"/>
      <c r="BE1" s="183"/>
      <c r="BF1" s="183"/>
      <c r="BG1" s="183"/>
      <c r="BH1" s="183"/>
      <c r="BI1" s="183"/>
      <c r="BJ1" s="183"/>
      <c r="BK1" s="183"/>
      <c r="BL1" s="183"/>
      <c r="BM1" s="183"/>
      <c r="BN1" s="183"/>
      <c r="BO1" s="183"/>
      <c r="BP1" s="183"/>
      <c r="BQ1" s="183"/>
      <c r="BR1" s="183"/>
      <c r="BS1" s="183"/>
      <c r="BT1" s="183"/>
      <c r="BU1" s="183"/>
      <c r="BV1" s="183"/>
      <c r="BW1" s="183"/>
      <c r="BX1" s="183"/>
      <c r="BY1" s="183"/>
      <c r="BZ1" s="183"/>
      <c r="CA1" s="183"/>
      <c r="CB1" s="183"/>
      <c r="CC1" s="183"/>
      <c r="CD1" s="183"/>
      <c r="CE1" s="183"/>
      <c r="CF1" s="183"/>
      <c r="CG1" s="183"/>
      <c r="CH1" s="183"/>
      <c r="CI1" s="183"/>
      <c r="CJ1" s="183"/>
      <c r="CK1" s="183"/>
      <c r="CL1" s="183"/>
      <c r="CM1" s="183"/>
      <c r="CN1" s="183"/>
      <c r="CO1" s="183"/>
      <c r="CP1" s="183"/>
      <c r="CQ1" s="183"/>
      <c r="CR1" s="183"/>
      <c r="CS1" s="183"/>
      <c r="CT1" s="183"/>
      <c r="CU1" s="183"/>
      <c r="CV1" s="183"/>
      <c r="CW1" s="183"/>
      <c r="CX1" s="183"/>
      <c r="CY1" s="333" t="s">
        <v>221</v>
      </c>
      <c r="CZ1" s="331"/>
      <c r="DB1" s="103" t="s">
        <v>378</v>
      </c>
      <c r="DD1" s="183" t="s">
        <v>176</v>
      </c>
      <c r="DE1" s="183"/>
      <c r="DF1" t="s">
        <v>519</v>
      </c>
      <c r="DG1" s="75">
        <v>0</v>
      </c>
      <c r="DH1" s="38" t="s">
        <v>562</v>
      </c>
      <c r="DJ1" s="124"/>
      <c r="DM1" s="124"/>
      <c r="DN1" t="s">
        <v>439</v>
      </c>
      <c r="DP1" s="124"/>
      <c r="DW1" s="326" t="s">
        <v>502</v>
      </c>
      <c r="DX1" s="332" t="s">
        <v>420</v>
      </c>
      <c r="DY1" s="329"/>
      <c r="DZ1" s="329"/>
      <c r="EA1" s="329"/>
      <c r="EB1" s="329"/>
      <c r="EC1" s="329"/>
      <c r="ED1" s="329"/>
      <c r="EE1" s="329"/>
      <c r="EF1" s="329"/>
      <c r="EG1" s="329"/>
      <c r="EH1" s="329"/>
      <c r="EI1" s="329"/>
      <c r="EJ1" s="329"/>
      <c r="EK1" s="330"/>
      <c r="EN1" s="326" t="s">
        <v>502</v>
      </c>
      <c r="EO1" s="209"/>
      <c r="EP1" s="209"/>
      <c r="EQ1" s="133"/>
      <c r="ER1" s="209"/>
      <c r="ES1" s="209"/>
      <c r="ET1" s="209"/>
      <c r="EU1" s="209"/>
      <c r="EV1" s="209"/>
      <c r="EW1" s="240"/>
      <c r="EX1" s="328" t="s">
        <v>420</v>
      </c>
      <c r="EY1" s="329"/>
      <c r="EZ1" s="329"/>
      <c r="FA1" s="329"/>
      <c r="FB1" s="329"/>
      <c r="FC1" s="329"/>
      <c r="FD1" s="329"/>
      <c r="FE1" s="329"/>
      <c r="FF1" s="329"/>
      <c r="FG1" s="329"/>
      <c r="FH1" s="329"/>
      <c r="FI1" s="329"/>
      <c r="FJ1" s="329"/>
      <c r="FK1" s="330"/>
    </row>
    <row r="2" spans="1:167" ht="16.5" thickBot="1" x14ac:dyDescent="0.3">
      <c r="DB2" s="124"/>
      <c r="DF2" t="s">
        <v>50</v>
      </c>
      <c r="DG2" s="192">
        <v>0</v>
      </c>
      <c r="DH2" s="38" t="s">
        <v>6</v>
      </c>
      <c r="DJ2" s="124"/>
      <c r="DW2" s="327"/>
      <c r="DX2" s="142" t="s">
        <v>147</v>
      </c>
      <c r="DY2" s="142">
        <v>1992</v>
      </c>
      <c r="DZ2" s="142">
        <v>1993</v>
      </c>
      <c r="EA2" s="142">
        <v>1994</v>
      </c>
      <c r="EB2" s="142">
        <v>1995</v>
      </c>
      <c r="EC2" s="142">
        <v>1996</v>
      </c>
      <c r="ED2" s="142">
        <v>1997</v>
      </c>
      <c r="EE2" s="142">
        <v>1998</v>
      </c>
      <c r="EF2" s="142">
        <v>1999</v>
      </c>
      <c r="EG2" s="142">
        <v>2000</v>
      </c>
      <c r="EH2" s="142">
        <v>2001</v>
      </c>
      <c r="EI2" s="142">
        <v>2002</v>
      </c>
      <c r="EJ2" s="142">
        <v>2003</v>
      </c>
      <c r="EK2" s="165">
        <v>2004</v>
      </c>
      <c r="EN2" s="327"/>
      <c r="EO2" s="221">
        <v>1982</v>
      </c>
      <c r="EP2" s="93">
        <v>1983</v>
      </c>
      <c r="EQ2" s="221">
        <v>1984</v>
      </c>
      <c r="ER2" s="97">
        <v>1985</v>
      </c>
      <c r="ES2" s="97">
        <v>1986</v>
      </c>
      <c r="ET2" s="97">
        <v>1987</v>
      </c>
      <c r="EU2" s="97">
        <v>1988</v>
      </c>
      <c r="EV2" s="178">
        <v>1989</v>
      </c>
      <c r="EW2" s="97">
        <v>1990</v>
      </c>
      <c r="EX2" s="217" t="s">
        <v>147</v>
      </c>
      <c r="EY2" s="142">
        <v>1992</v>
      </c>
      <c r="EZ2" s="142">
        <v>1993</v>
      </c>
      <c r="FA2" s="142">
        <v>1994</v>
      </c>
      <c r="FB2" s="142">
        <v>1995</v>
      </c>
      <c r="FC2" s="142">
        <v>1996</v>
      </c>
      <c r="FD2" s="142">
        <v>1997</v>
      </c>
      <c r="FE2" s="142">
        <v>1998</v>
      </c>
      <c r="FF2" s="142">
        <v>1999</v>
      </c>
      <c r="FG2" s="142">
        <v>2000</v>
      </c>
      <c r="FH2" s="142">
        <v>2001</v>
      </c>
      <c r="FI2" s="142">
        <v>2002</v>
      </c>
      <c r="FJ2" s="142">
        <v>2003</v>
      </c>
      <c r="FK2" s="165">
        <v>2004</v>
      </c>
    </row>
    <row r="3" spans="1:167" ht="17.25" thickTop="1" thickBot="1" x14ac:dyDescent="0.3">
      <c r="A3" s="103"/>
      <c r="B3" s="103"/>
      <c r="C3" s="103"/>
      <c r="D3" s="103"/>
      <c r="E3" s="103"/>
      <c r="F3" s="103"/>
      <c r="G3" s="53" t="s">
        <v>23</v>
      </c>
      <c r="H3" s="110" t="s">
        <v>381</v>
      </c>
      <c r="I3" s="103"/>
      <c r="J3" s="53" t="s">
        <v>272</v>
      </c>
      <c r="K3" s="110" t="s">
        <v>38</v>
      </c>
      <c r="L3" s="103"/>
      <c r="M3" s="53" t="s">
        <v>17</v>
      </c>
      <c r="N3" s="110" t="s">
        <v>574</v>
      </c>
      <c r="O3" s="103"/>
      <c r="P3" s="103"/>
      <c r="Q3" s="231" t="s">
        <v>477</v>
      </c>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333"/>
      <c r="CZ3" s="333"/>
      <c r="DB3" s="25" t="e">
        <v>#NAME?</v>
      </c>
      <c r="DD3" t="s">
        <v>415</v>
      </c>
      <c r="DF3" t="s">
        <v>402</v>
      </c>
      <c r="DG3" s="9">
        <v>0</v>
      </c>
      <c r="DH3" s="38" t="s">
        <v>39</v>
      </c>
      <c r="DJ3" s="124"/>
      <c r="DN3" s="65" t="s">
        <v>52</v>
      </c>
      <c r="DO3" s="65" t="s">
        <v>214</v>
      </c>
      <c r="DP3" s="65"/>
      <c r="DQ3" s="65" t="s">
        <v>449</v>
      </c>
      <c r="DS3" s="75"/>
      <c r="DW3" s="197">
        <v>1907</v>
      </c>
      <c r="DX3" s="118">
        <v>4488</v>
      </c>
      <c r="DY3" s="118">
        <v>4488</v>
      </c>
      <c r="DZ3" s="118">
        <v>4488</v>
      </c>
      <c r="EA3" s="118">
        <v>4488</v>
      </c>
      <c r="EB3" s="118">
        <v>4488</v>
      </c>
      <c r="EC3" s="118">
        <v>4488</v>
      </c>
      <c r="ED3" s="118">
        <v>4488</v>
      </c>
      <c r="EE3" s="118">
        <v>4488</v>
      </c>
      <c r="EF3" s="118">
        <v>4488</v>
      </c>
      <c r="EG3" s="118">
        <v>4488</v>
      </c>
      <c r="EH3" s="118">
        <v>4488</v>
      </c>
      <c r="EI3" s="118">
        <v>4488</v>
      </c>
      <c r="EJ3" s="118">
        <v>4488</v>
      </c>
      <c r="EK3" s="226">
        <v>4488</v>
      </c>
      <c r="EN3" s="156">
        <v>1907</v>
      </c>
      <c r="EO3" s="131"/>
      <c r="EP3" s="170"/>
      <c r="EQ3" s="117"/>
      <c r="ER3" s="242"/>
      <c r="ES3" s="242"/>
      <c r="ET3" s="242"/>
      <c r="EU3" s="242"/>
      <c r="EV3" s="175">
        <v>4488</v>
      </c>
      <c r="EW3" s="170">
        <v>4704</v>
      </c>
      <c r="EX3" s="123">
        <v>4488</v>
      </c>
      <c r="EY3" s="118">
        <v>4488</v>
      </c>
      <c r="EZ3" s="118">
        <v>4488</v>
      </c>
      <c r="FA3" s="118">
        <v>4488</v>
      </c>
      <c r="FB3" s="118">
        <v>4488</v>
      </c>
      <c r="FC3" s="118">
        <v>4488</v>
      </c>
      <c r="FD3" s="118">
        <v>4488</v>
      </c>
      <c r="FE3" s="118">
        <v>4488</v>
      </c>
      <c r="FF3" s="118">
        <v>4488</v>
      </c>
      <c r="FG3" s="118">
        <v>4488</v>
      </c>
      <c r="FH3" s="118">
        <v>4488</v>
      </c>
      <c r="FI3" s="118">
        <v>4488</v>
      </c>
      <c r="FJ3" s="118">
        <v>4488</v>
      </c>
      <c r="FK3" s="226">
        <v>4488</v>
      </c>
    </row>
    <row r="4" spans="1:167" ht="27" thickBot="1" x14ac:dyDescent="0.3">
      <c r="A4" s="103" t="s">
        <v>548</v>
      </c>
      <c r="B4" s="103" t="s">
        <v>448</v>
      </c>
      <c r="C4" s="103"/>
      <c r="D4" s="108" t="s">
        <v>17</v>
      </c>
      <c r="E4" s="103" t="s">
        <v>448</v>
      </c>
      <c r="F4" s="103"/>
      <c r="G4" s="180">
        <v>0</v>
      </c>
      <c r="H4" s="249">
        <v>0</v>
      </c>
      <c r="I4" s="62"/>
      <c r="J4" s="163">
        <v>0</v>
      </c>
      <c r="K4" s="113">
        <v>1</v>
      </c>
      <c r="L4" s="61">
        <v>5.5555555555555558E-3</v>
      </c>
      <c r="M4" s="293">
        <v>0</v>
      </c>
      <c r="N4" s="113">
        <v>1</v>
      </c>
      <c r="O4" s="61"/>
      <c r="P4" s="216" t="s">
        <v>443</v>
      </c>
      <c r="Q4" s="127">
        <v>1</v>
      </c>
      <c r="R4" s="212">
        <v>2</v>
      </c>
      <c r="S4" s="212">
        <v>3</v>
      </c>
      <c r="T4" s="212">
        <v>4</v>
      </c>
      <c r="U4" s="212">
        <v>5</v>
      </c>
      <c r="V4" s="212">
        <v>6</v>
      </c>
      <c r="W4" s="212">
        <v>7</v>
      </c>
      <c r="X4" s="212">
        <v>8</v>
      </c>
      <c r="Y4" s="212">
        <v>9</v>
      </c>
      <c r="Z4" s="212">
        <v>10</v>
      </c>
      <c r="AA4" s="212">
        <v>11</v>
      </c>
      <c r="AB4" s="212">
        <v>12</v>
      </c>
      <c r="AC4" s="212">
        <v>13</v>
      </c>
      <c r="AD4" s="212">
        <v>14</v>
      </c>
      <c r="AE4" s="212">
        <v>15</v>
      </c>
      <c r="AF4" s="212">
        <v>16</v>
      </c>
      <c r="AG4" s="212">
        <v>17</v>
      </c>
      <c r="AH4" s="212">
        <v>18</v>
      </c>
      <c r="AI4" s="212">
        <v>19</v>
      </c>
      <c r="AJ4" s="212">
        <v>20</v>
      </c>
      <c r="AK4" s="212">
        <v>21</v>
      </c>
      <c r="AL4" s="212">
        <v>22</v>
      </c>
      <c r="AM4" s="212">
        <v>23</v>
      </c>
      <c r="AN4" s="212">
        <v>24</v>
      </c>
      <c r="AO4" s="212">
        <v>25</v>
      </c>
      <c r="AP4" s="212">
        <v>26</v>
      </c>
      <c r="AQ4" s="212">
        <v>27</v>
      </c>
      <c r="AR4" s="212">
        <v>28</v>
      </c>
      <c r="AS4" s="212">
        <v>29</v>
      </c>
      <c r="AT4" s="212">
        <v>30</v>
      </c>
      <c r="AU4" s="212">
        <v>31</v>
      </c>
      <c r="AV4" s="212">
        <v>32</v>
      </c>
      <c r="AW4" s="212">
        <v>33</v>
      </c>
      <c r="AX4" s="212">
        <v>34</v>
      </c>
      <c r="AY4" s="212">
        <v>35</v>
      </c>
      <c r="AZ4" s="212">
        <v>36</v>
      </c>
      <c r="BA4" s="212">
        <v>37</v>
      </c>
      <c r="BB4" s="212">
        <v>38</v>
      </c>
      <c r="BC4" s="212">
        <v>39</v>
      </c>
      <c r="BD4" s="212">
        <v>40</v>
      </c>
      <c r="BE4" s="212">
        <v>41</v>
      </c>
      <c r="BF4" s="212">
        <v>42</v>
      </c>
      <c r="BG4" s="212">
        <v>43</v>
      </c>
      <c r="BH4" s="212">
        <v>44</v>
      </c>
      <c r="BI4" s="212">
        <v>45</v>
      </c>
      <c r="BJ4" s="212">
        <v>46</v>
      </c>
      <c r="BK4" s="212">
        <v>47</v>
      </c>
      <c r="BL4" s="212">
        <v>48</v>
      </c>
      <c r="BM4" s="212">
        <v>49</v>
      </c>
      <c r="BN4" s="212">
        <v>50</v>
      </c>
      <c r="BO4" s="212">
        <v>51</v>
      </c>
      <c r="BP4" s="212">
        <v>52</v>
      </c>
      <c r="BQ4" s="212">
        <v>53</v>
      </c>
      <c r="BR4" s="212">
        <v>54</v>
      </c>
      <c r="BS4" s="212">
        <v>55</v>
      </c>
      <c r="BT4" s="212">
        <v>56</v>
      </c>
      <c r="BU4" s="212">
        <v>57</v>
      </c>
      <c r="BV4" s="212">
        <v>58</v>
      </c>
      <c r="BW4" s="212">
        <v>59</v>
      </c>
      <c r="BX4" s="212">
        <v>60</v>
      </c>
      <c r="BY4" s="212">
        <v>61</v>
      </c>
      <c r="BZ4" s="212">
        <v>62</v>
      </c>
      <c r="CA4" s="212">
        <v>63</v>
      </c>
      <c r="CB4" s="212">
        <v>64</v>
      </c>
      <c r="CC4" s="212">
        <v>65</v>
      </c>
      <c r="CD4" s="212">
        <v>66</v>
      </c>
      <c r="CE4" s="212">
        <v>67</v>
      </c>
      <c r="CF4" s="212">
        <v>68</v>
      </c>
      <c r="CG4" s="212">
        <v>69</v>
      </c>
      <c r="CH4" s="212">
        <v>70</v>
      </c>
      <c r="CI4" s="212">
        <v>71</v>
      </c>
      <c r="CJ4" s="212">
        <v>72</v>
      </c>
      <c r="CK4" s="212">
        <v>73</v>
      </c>
      <c r="CL4" s="212">
        <v>74</v>
      </c>
      <c r="CM4" s="212">
        <v>75</v>
      </c>
      <c r="CN4" s="212">
        <v>76</v>
      </c>
      <c r="CO4" s="212">
        <v>77</v>
      </c>
      <c r="CP4" s="212">
        <v>78</v>
      </c>
      <c r="CQ4" s="212">
        <v>79</v>
      </c>
      <c r="CR4" s="212">
        <v>80</v>
      </c>
      <c r="CS4" s="212">
        <v>81</v>
      </c>
      <c r="CT4" s="212">
        <v>82</v>
      </c>
      <c r="CU4" s="212">
        <v>83</v>
      </c>
      <c r="CV4" s="212">
        <v>84</v>
      </c>
      <c r="CW4" s="85">
        <v>85</v>
      </c>
      <c r="CX4" s="61"/>
      <c r="CY4" s="149"/>
      <c r="DB4" s="103"/>
      <c r="DD4" t="s">
        <v>544</v>
      </c>
      <c r="DF4" t="s">
        <v>184</v>
      </c>
      <c r="DG4" s="29">
        <v>0</v>
      </c>
      <c r="DH4" s="38" t="s">
        <v>90</v>
      </c>
      <c r="DJ4" s="103"/>
      <c r="DM4" t="s">
        <v>241</v>
      </c>
      <c r="DN4" s="65" t="s">
        <v>268</v>
      </c>
      <c r="DO4" s="65" t="s">
        <v>285</v>
      </c>
      <c r="DP4" s="65" t="s">
        <v>427</v>
      </c>
      <c r="DQ4" s="65" t="s">
        <v>196</v>
      </c>
      <c r="DS4" s="75"/>
      <c r="DW4" s="92">
        <v>1908</v>
      </c>
      <c r="DX4" s="46">
        <v>4704</v>
      </c>
      <c r="DY4" s="46">
        <v>4704</v>
      </c>
      <c r="DZ4" s="46">
        <v>4704</v>
      </c>
      <c r="EA4" s="46">
        <v>4704</v>
      </c>
      <c r="EB4" s="46">
        <v>4704</v>
      </c>
      <c r="EC4" s="46">
        <v>4704</v>
      </c>
      <c r="ED4" s="46">
        <v>4704</v>
      </c>
      <c r="EE4" s="46">
        <v>4704</v>
      </c>
      <c r="EF4" s="46">
        <v>4704</v>
      </c>
      <c r="EG4" s="46">
        <v>4704</v>
      </c>
      <c r="EH4" s="46">
        <v>4704</v>
      </c>
      <c r="EI4" s="46">
        <v>4704</v>
      </c>
      <c r="EJ4" s="46">
        <v>4704</v>
      </c>
      <c r="EK4" s="206">
        <v>4704</v>
      </c>
      <c r="EN4" s="42">
        <v>1908</v>
      </c>
      <c r="EO4" s="105"/>
      <c r="EP4" s="126"/>
      <c r="EQ4" s="148"/>
      <c r="ER4" s="126"/>
      <c r="ES4" s="126"/>
      <c r="ET4" s="126"/>
      <c r="EU4" s="126"/>
      <c r="EV4" s="40">
        <v>4704</v>
      </c>
      <c r="EW4" s="126">
        <v>4704</v>
      </c>
      <c r="EX4" s="200">
        <v>4704</v>
      </c>
      <c r="EY4" s="46">
        <v>4704</v>
      </c>
      <c r="EZ4" s="46">
        <v>4704</v>
      </c>
      <c r="FA4" s="46">
        <v>4704</v>
      </c>
      <c r="FB4" s="46">
        <v>4704</v>
      </c>
      <c r="FC4" s="46">
        <v>4704</v>
      </c>
      <c r="FD4" s="46">
        <v>4704</v>
      </c>
      <c r="FE4" s="46">
        <v>4704</v>
      </c>
      <c r="FF4" s="46">
        <v>4704</v>
      </c>
      <c r="FG4" s="46">
        <v>4704</v>
      </c>
      <c r="FH4" s="46">
        <v>4704</v>
      </c>
      <c r="FI4" s="46">
        <v>4704</v>
      </c>
      <c r="FJ4" s="46">
        <v>4704</v>
      </c>
      <c r="FK4" s="206">
        <v>4704</v>
      </c>
    </row>
    <row r="5" spans="1:167" ht="16.5" thickTop="1" x14ac:dyDescent="0.25">
      <c r="A5" s="58">
        <v>65</v>
      </c>
      <c r="B5" s="27">
        <v>1</v>
      </c>
      <c r="C5" s="61"/>
      <c r="D5" s="211">
        <v>0</v>
      </c>
      <c r="E5" s="188">
        <v>1</v>
      </c>
      <c r="F5" s="61"/>
      <c r="G5" s="174">
        <v>5</v>
      </c>
      <c r="H5" s="150">
        <v>1</v>
      </c>
      <c r="I5" s="62"/>
      <c r="J5" s="19">
        <v>1</v>
      </c>
      <c r="K5" s="121">
        <v>0.99444444444444446</v>
      </c>
      <c r="L5" s="61"/>
      <c r="M5" s="294">
        <v>1</v>
      </c>
      <c r="N5" s="121">
        <v>1.0100323943045117</v>
      </c>
      <c r="O5" s="61"/>
      <c r="P5" s="129">
        <v>55</v>
      </c>
      <c r="Q5" s="154">
        <v>0.8368890792866539</v>
      </c>
      <c r="R5" s="154">
        <v>0.83733728038779531</v>
      </c>
      <c r="S5" s="154">
        <v>0.83781011096508107</v>
      </c>
      <c r="T5" s="154">
        <v>0.83830888992785868</v>
      </c>
      <c r="U5" s="154">
        <v>0.83883499906929937</v>
      </c>
      <c r="V5" s="154">
        <v>0.83932838550596911</v>
      </c>
      <c r="W5" s="154">
        <v>0.83985682867636635</v>
      </c>
      <c r="X5" s="154">
        <v>0.84042054120817522</v>
      </c>
      <c r="Y5" s="154">
        <v>0.84101995105175109</v>
      </c>
      <c r="Z5" s="154">
        <v>0.84165583704224289</v>
      </c>
      <c r="AA5" s="154">
        <v>0.84232959338308766</v>
      </c>
      <c r="AB5" s="154">
        <v>0.84304242708857813</v>
      </c>
      <c r="AC5" s="154">
        <v>0.84379628654980054</v>
      </c>
      <c r="AD5" s="154">
        <v>0.84459332175971569</v>
      </c>
      <c r="AE5" s="154">
        <v>0.84543561669291289</v>
      </c>
      <c r="AF5" s="154">
        <v>0.84632518831345949</v>
      </c>
      <c r="AG5" s="154">
        <v>0.84726437401557297</v>
      </c>
      <c r="AH5" s="154">
        <v>0.84825530452921416</v>
      </c>
      <c r="AI5" s="154">
        <v>0.84930028919320599</v>
      </c>
      <c r="AJ5" s="154">
        <v>0.85040167832654556</v>
      </c>
      <c r="AK5" s="154">
        <v>0.85156172886346138</v>
      </c>
      <c r="AL5" s="154">
        <v>0.85278272538502342</v>
      </c>
      <c r="AM5" s="154">
        <v>0.8540668454578656</v>
      </c>
      <c r="AN5" s="154">
        <v>0.85541664793972116</v>
      </c>
      <c r="AO5" s="154">
        <v>0.85683430768358193</v>
      </c>
      <c r="AP5" s="154">
        <v>0.85832197990356907</v>
      </c>
      <c r="AQ5" s="154">
        <v>0.85988178304447205</v>
      </c>
      <c r="AR5" s="154">
        <v>0.86151577945100155</v>
      </c>
      <c r="AS5" s="154">
        <v>0.86322583547728271</v>
      </c>
      <c r="AT5" s="154">
        <v>0.86501383765166706</v>
      </c>
      <c r="AU5" s="154">
        <v>0.86688131308766092</v>
      </c>
      <c r="AV5" s="154">
        <v>0.86882964295260223</v>
      </c>
      <c r="AW5" s="154">
        <v>0.8708600322967005</v>
      </c>
      <c r="AX5" s="154">
        <v>0.87297336641018053</v>
      </c>
      <c r="AY5" s="154">
        <v>0.87517029381517208</v>
      </c>
      <c r="AZ5" s="154">
        <v>0.8774509754150589</v>
      </c>
      <c r="BA5" s="154">
        <v>0.87981548961467726</v>
      </c>
      <c r="BB5" s="154">
        <v>0.88226325765631519</v>
      </c>
      <c r="BC5" s="154">
        <v>0.88479313753976097</v>
      </c>
      <c r="BD5" s="154">
        <v>0.88740370955078107</v>
      </c>
      <c r="BE5" s="154">
        <v>0.89009293829408642</v>
      </c>
      <c r="BF5" s="154">
        <v>0.89285643637627909</v>
      </c>
      <c r="BG5" s="154">
        <v>0.89568738276040705</v>
      </c>
      <c r="BH5" s="154">
        <v>0.89857943519691807</v>
      </c>
      <c r="BI5" s="154">
        <v>0.90152614249432761</v>
      </c>
      <c r="BJ5" s="154">
        <v>0.90452139219137817</v>
      </c>
      <c r="BK5" s="154">
        <v>0.90755902685626477</v>
      </c>
      <c r="BL5" s="154">
        <v>0.9106330074727722</v>
      </c>
      <c r="BM5" s="154">
        <v>0.91373730942294507</v>
      </c>
      <c r="BN5" s="154">
        <v>0.91686575744443888</v>
      </c>
      <c r="BO5" s="154">
        <v>0.92001241160263181</v>
      </c>
      <c r="BP5" s="154">
        <v>0.92317087695601174</v>
      </c>
      <c r="BQ5" s="154">
        <v>0.92633506601185889</v>
      </c>
      <c r="BR5" s="154">
        <v>0.92949855094464395</v>
      </c>
      <c r="BS5" s="154">
        <v>0.93265495206477311</v>
      </c>
      <c r="BT5" s="154">
        <v>0.93579770115486272</v>
      </c>
      <c r="BU5" s="154">
        <v>0.93892044513515582</v>
      </c>
      <c r="BV5" s="154">
        <v>0.94201656822061464</v>
      </c>
      <c r="BW5" s="154">
        <v>0.94507741817890012</v>
      </c>
      <c r="BX5" s="154">
        <v>0.94808920828900412</v>
      </c>
      <c r="BY5" s="154">
        <v>0.95104100069076514</v>
      </c>
      <c r="BZ5" s="154">
        <v>0.95392476157783801</v>
      </c>
      <c r="CA5" s="154">
        <v>0.95673446437137122</v>
      </c>
      <c r="CB5" s="154">
        <v>0.95946379948899352</v>
      </c>
      <c r="CC5" s="154">
        <v>0.96210383259999677</v>
      </c>
      <c r="CD5" s="154">
        <v>0.96464457154267624</v>
      </c>
      <c r="CE5" s="154">
        <v>0.96707826711129974</v>
      </c>
      <c r="CF5" s="154">
        <v>0.96939998892016033</v>
      </c>
      <c r="CG5" s="154">
        <v>0.97160930479361973</v>
      </c>
      <c r="CH5" s="154">
        <v>0.97370208319961482</v>
      </c>
      <c r="CI5" s="154">
        <v>0.97567517802089887</v>
      </c>
      <c r="CJ5" s="154">
        <v>0.97753216504462692</v>
      </c>
      <c r="CK5" s="154">
        <v>0.97928397063224815</v>
      </c>
      <c r="CL5" s="154">
        <v>0.9809414116759827</v>
      </c>
      <c r="CM5" s="154">
        <v>0.98250914025602387</v>
      </c>
      <c r="CN5" s="253">
        <v>1.0135000000000001</v>
      </c>
      <c r="CO5" s="253">
        <v>1.0150999999999999</v>
      </c>
      <c r="CP5" s="253">
        <v>1.0166999999999999</v>
      </c>
      <c r="CQ5" s="253">
        <v>1.0181</v>
      </c>
      <c r="CR5" s="253">
        <v>1.0194000000000001</v>
      </c>
      <c r="CS5" s="253">
        <v>1.0206</v>
      </c>
      <c r="CT5" s="253">
        <v>1.0218</v>
      </c>
      <c r="CU5" s="253">
        <v>1.0227999999999999</v>
      </c>
      <c r="CV5" s="253">
        <v>1.0237000000000001</v>
      </c>
      <c r="CW5" s="254">
        <v>1.0246</v>
      </c>
      <c r="CX5" s="61"/>
      <c r="CY5" s="149"/>
      <c r="DB5" s="183" t="s">
        <v>578</v>
      </c>
      <c r="DF5" t="s">
        <v>292</v>
      </c>
      <c r="DG5" s="192">
        <v>0</v>
      </c>
      <c r="DH5" s="38" t="s">
        <v>29</v>
      </c>
      <c r="DI5" s="106"/>
      <c r="DS5" s="75"/>
      <c r="DW5" s="22">
        <v>1909</v>
      </c>
      <c r="DX5" s="16">
        <v>5004</v>
      </c>
      <c r="DY5" s="46">
        <v>5004</v>
      </c>
      <c r="DZ5" s="46">
        <v>5004</v>
      </c>
      <c r="EA5" s="46">
        <v>5004</v>
      </c>
      <c r="EB5" s="46">
        <v>5004</v>
      </c>
      <c r="EC5" s="46">
        <v>5004</v>
      </c>
      <c r="ED5" s="46">
        <v>5004</v>
      </c>
      <c r="EE5" s="46">
        <v>5004</v>
      </c>
      <c r="EF5" s="46">
        <v>5004</v>
      </c>
      <c r="EG5" s="46">
        <v>5004</v>
      </c>
      <c r="EH5" s="46">
        <v>5004</v>
      </c>
      <c r="EI5" s="46">
        <v>5004</v>
      </c>
      <c r="EJ5" s="46">
        <v>5004</v>
      </c>
      <c r="EK5" s="206">
        <v>5004</v>
      </c>
      <c r="EN5" s="50">
        <v>1909</v>
      </c>
      <c r="EO5" s="198"/>
      <c r="EP5" s="242"/>
      <c r="EQ5" s="117"/>
      <c r="ER5" s="242"/>
      <c r="ES5" s="242"/>
      <c r="ET5" s="242"/>
      <c r="EU5" s="242"/>
      <c r="EV5" s="184">
        <v>5004</v>
      </c>
      <c r="EW5" s="242">
        <v>5004</v>
      </c>
      <c r="EX5" s="200">
        <v>5004</v>
      </c>
      <c r="EY5" s="46">
        <v>5004</v>
      </c>
      <c r="EZ5" s="46">
        <v>5004</v>
      </c>
      <c r="FA5" s="46">
        <v>5004</v>
      </c>
      <c r="FB5" s="46">
        <v>5004</v>
      </c>
      <c r="FC5" s="46">
        <v>5004</v>
      </c>
      <c r="FD5" s="46">
        <v>5004</v>
      </c>
      <c r="FE5" s="46">
        <v>5004</v>
      </c>
      <c r="FF5" s="46">
        <v>5004</v>
      </c>
      <c r="FG5" s="46">
        <v>5004</v>
      </c>
      <c r="FH5" s="46">
        <v>5004</v>
      </c>
      <c r="FI5" s="46">
        <v>5004</v>
      </c>
      <c r="FJ5" s="46">
        <v>5004</v>
      </c>
      <c r="FK5" s="206">
        <v>5004</v>
      </c>
    </row>
    <row r="6" spans="1:167" ht="15.75" x14ac:dyDescent="0.25">
      <c r="A6" s="19">
        <v>64</v>
      </c>
      <c r="B6" s="121">
        <v>0.93</v>
      </c>
      <c r="C6" s="61"/>
      <c r="D6" s="207">
        <v>1</v>
      </c>
      <c r="E6" s="125">
        <v>1.0083</v>
      </c>
      <c r="F6" s="61"/>
      <c r="G6" s="174">
        <v>5</v>
      </c>
      <c r="H6" s="150">
        <v>1</v>
      </c>
      <c r="I6" s="62"/>
      <c r="J6" s="19">
        <v>2</v>
      </c>
      <c r="K6" s="121">
        <v>0.98888888888888893</v>
      </c>
      <c r="L6" s="61"/>
      <c r="M6" s="294">
        <v>2</v>
      </c>
      <c r="N6" s="121">
        <v>1.0200647886090237</v>
      </c>
      <c r="O6" s="61"/>
      <c r="P6" s="129">
        <v>56</v>
      </c>
      <c r="Q6" s="154">
        <v>0.8280728183673276</v>
      </c>
      <c r="R6" s="154">
        <v>0.82852345325902066</v>
      </c>
      <c r="S6" s="154">
        <v>0.82899886182336013</v>
      </c>
      <c r="T6" s="154">
        <v>0.82950037650143205</v>
      </c>
      <c r="U6" s="154">
        <v>0.83002939503315221</v>
      </c>
      <c r="V6" s="154">
        <v>0.83052319284837739</v>
      </c>
      <c r="W6" s="154">
        <v>0.83105245258461291</v>
      </c>
      <c r="X6" s="154">
        <v>0.83161735761518496</v>
      </c>
      <c r="Y6" s="154">
        <v>0.83221831670055602</v>
      </c>
      <c r="Z6" s="154">
        <v>0.83285610627244988</v>
      </c>
      <c r="AA6" s="154">
        <v>0.83353214763415462</v>
      </c>
      <c r="AB6" s="154">
        <v>0.8342476695214549</v>
      </c>
      <c r="AC6" s="154">
        <v>0.83500467908800347</v>
      </c>
      <c r="AD6" s="154">
        <v>0.83580539910508012</v>
      </c>
      <c r="AE6" s="154">
        <v>0.83665198899731985</v>
      </c>
      <c r="AF6" s="154">
        <v>0.83754654436894793</v>
      </c>
      <c r="AG6" s="154">
        <v>0.83849150300260644</v>
      </c>
      <c r="AH6" s="154">
        <v>0.83948909425290674</v>
      </c>
      <c r="AI6" s="154">
        <v>0.84054174286022076</v>
      </c>
      <c r="AJ6" s="154">
        <v>0.84165192584985904</v>
      </c>
      <c r="AK6" s="154">
        <v>0.84282203265525757</v>
      </c>
      <c r="AL6" s="154">
        <v>0.84405449291103329</v>
      </c>
      <c r="AM6" s="154">
        <v>0.84535163666626412</v>
      </c>
      <c r="AN6" s="154">
        <v>0.84671620820126059</v>
      </c>
      <c r="AO6" s="154">
        <v>0.84815056526758759</v>
      </c>
      <c r="AP6" s="154">
        <v>0.84965706275308706</v>
      </c>
      <c r="AQ6" s="154">
        <v>0.85123803650262342</v>
      </c>
      <c r="AR6" s="154">
        <v>0.85289578484510331</v>
      </c>
      <c r="AS6" s="154">
        <v>0.85463242336434553</v>
      </c>
      <c r="AT6" s="154">
        <v>0.85645011415191108</v>
      </c>
      <c r="AU6" s="154">
        <v>0.85835066822064321</v>
      </c>
      <c r="AV6" s="154">
        <v>0.86033577151604834</v>
      </c>
      <c r="AW6" s="154">
        <v>0.86240695469776063</v>
      </c>
      <c r="AX6" s="154">
        <v>0.86456544286946002</v>
      </c>
      <c r="AY6" s="154">
        <v>0.86681224375449584</v>
      </c>
      <c r="AZ6" s="154">
        <v>0.86914788260181264</v>
      </c>
      <c r="BA6" s="154">
        <v>0.87157282959013083</v>
      </c>
      <c r="BB6" s="154">
        <v>0.87408689076633606</v>
      </c>
      <c r="BC6" s="154">
        <v>0.87668930447399052</v>
      </c>
      <c r="BD6" s="154">
        <v>0.87937904149563195</v>
      </c>
      <c r="BE6" s="154">
        <v>0.88215444389114728</v>
      </c>
      <c r="BF6" s="154">
        <v>0.88501137305728472</v>
      </c>
      <c r="BG6" s="154">
        <v>0.88794310655020736</v>
      </c>
      <c r="BH6" s="154">
        <v>0.89094342452327591</v>
      </c>
      <c r="BI6" s="154">
        <v>0.89400598013092392</v>
      </c>
      <c r="BJ6" s="154">
        <v>0.89712477257185474</v>
      </c>
      <c r="BK6" s="154">
        <v>0.90029373462334983</v>
      </c>
      <c r="BL6" s="154">
        <v>0.90350690315461268</v>
      </c>
      <c r="BM6" s="154">
        <v>0.90675830312124017</v>
      </c>
      <c r="BN6" s="154">
        <v>0.91004176453399432</v>
      </c>
      <c r="BO6" s="154">
        <v>0.91335133022130222</v>
      </c>
      <c r="BP6" s="154">
        <v>0.91668050714315852</v>
      </c>
      <c r="BQ6" s="154">
        <v>0.92002307688415208</v>
      </c>
      <c r="BR6" s="154">
        <v>0.92337238871352478</v>
      </c>
      <c r="BS6" s="154">
        <v>0.92672176808530315</v>
      </c>
      <c r="BT6" s="154">
        <v>0.93006425480068922</v>
      </c>
      <c r="BU6" s="154">
        <v>0.93339303919967664</v>
      </c>
      <c r="BV6" s="154">
        <v>0.93670095083288107</v>
      </c>
      <c r="BW6" s="154">
        <v>0.93997853471979553</v>
      </c>
      <c r="BX6" s="154">
        <v>0.94321066871421266</v>
      </c>
      <c r="BY6" s="154">
        <v>0.9463852292731656</v>
      </c>
      <c r="BZ6" s="154">
        <v>0.94949317256263444</v>
      </c>
      <c r="CA6" s="154">
        <v>0.9525275758280255</v>
      </c>
      <c r="CB6" s="154">
        <v>0.95548114835497056</v>
      </c>
      <c r="CC6" s="154">
        <v>0.95834366890161726</v>
      </c>
      <c r="CD6" s="154">
        <v>0.96110369184113809</v>
      </c>
      <c r="CE6" s="154">
        <v>0.96375217025661775</v>
      </c>
      <c r="CF6" s="154">
        <v>0.96628311195813077</v>
      </c>
      <c r="CG6" s="154">
        <v>0.96869545261846846</v>
      </c>
      <c r="CH6" s="154">
        <v>0.97098406758547651</v>
      </c>
      <c r="CI6" s="154">
        <v>0.9731449196827533</v>
      </c>
      <c r="CJ6" s="154">
        <v>0.9751813908527952</v>
      </c>
      <c r="CK6" s="154">
        <v>0.9771050054270296</v>
      </c>
      <c r="CL6" s="154">
        <v>0.97892722531261134</v>
      </c>
      <c r="CM6" s="154">
        <v>0.98065276289492675</v>
      </c>
      <c r="CN6" s="255">
        <v>1.0150999999999999</v>
      </c>
      <c r="CO6" s="255">
        <v>1.0168999999999999</v>
      </c>
      <c r="CP6" s="255">
        <v>1.0185999999999999</v>
      </c>
      <c r="CQ6" s="255">
        <v>1.0202</v>
      </c>
      <c r="CR6" s="255">
        <v>1.0217000000000001</v>
      </c>
      <c r="CS6" s="255">
        <v>1.0229999999999999</v>
      </c>
      <c r="CT6" s="255">
        <v>1.0243</v>
      </c>
      <c r="CU6" s="255">
        <v>1.0254000000000001</v>
      </c>
      <c r="CV6" s="255">
        <v>1.0264</v>
      </c>
      <c r="CW6" s="256">
        <v>1.0274000000000001</v>
      </c>
      <c r="CX6" s="61"/>
      <c r="CY6" s="334" t="s">
        <v>313</v>
      </c>
      <c r="CZ6" s="333"/>
      <c r="DF6" t="s">
        <v>154</v>
      </c>
      <c r="DG6" s="29">
        <v>0</v>
      </c>
      <c r="DH6" s="38" t="s">
        <v>71</v>
      </c>
      <c r="DK6" t="s">
        <v>352</v>
      </c>
      <c r="DL6" t="s">
        <v>178</v>
      </c>
      <c r="DM6" s="75">
        <v>0</v>
      </c>
      <c r="DN6" t="s">
        <v>417</v>
      </c>
      <c r="DO6" s="272">
        <v>0</v>
      </c>
      <c r="DP6" s="272">
        <v>0</v>
      </c>
      <c r="DQ6" s="45">
        <v>0</v>
      </c>
      <c r="DW6" s="70">
        <v>1910</v>
      </c>
      <c r="DX6" s="16">
        <v>5316</v>
      </c>
      <c r="DY6" s="46">
        <v>5316</v>
      </c>
      <c r="DZ6" s="46">
        <v>5316</v>
      </c>
      <c r="EA6" s="46">
        <v>5316</v>
      </c>
      <c r="EB6" s="46">
        <v>5316</v>
      </c>
      <c r="EC6" s="46">
        <v>5316</v>
      </c>
      <c r="ED6" s="46">
        <v>5316</v>
      </c>
      <c r="EE6" s="46">
        <v>5316</v>
      </c>
      <c r="EF6" s="46">
        <v>5316</v>
      </c>
      <c r="EG6" s="46">
        <v>5316</v>
      </c>
      <c r="EH6" s="46">
        <v>5316</v>
      </c>
      <c r="EI6" s="46">
        <v>5316</v>
      </c>
      <c r="EJ6" s="46">
        <v>5316</v>
      </c>
      <c r="EK6" s="206">
        <v>5316</v>
      </c>
      <c r="EN6" s="88">
        <v>1910</v>
      </c>
      <c r="EO6" s="232"/>
      <c r="EP6" s="37"/>
      <c r="EQ6" s="164"/>
      <c r="ER6" s="37"/>
      <c r="ES6" s="37"/>
      <c r="ET6" s="37"/>
      <c r="EU6" s="37"/>
      <c r="EV6" s="223">
        <v>5316</v>
      </c>
      <c r="EW6" s="37">
        <v>5316</v>
      </c>
      <c r="EX6" s="200">
        <v>5316</v>
      </c>
      <c r="EY6" s="46">
        <v>5316</v>
      </c>
      <c r="EZ6" s="46">
        <v>5316</v>
      </c>
      <c r="FA6" s="46">
        <v>5316</v>
      </c>
      <c r="FB6" s="46">
        <v>5316</v>
      </c>
      <c r="FC6" s="46">
        <v>5316</v>
      </c>
      <c r="FD6" s="46">
        <v>5316</v>
      </c>
      <c r="FE6" s="46">
        <v>5316</v>
      </c>
      <c r="FF6" s="46">
        <v>5316</v>
      </c>
      <c r="FG6" s="46">
        <v>5316</v>
      </c>
      <c r="FH6" s="46">
        <v>5316</v>
      </c>
      <c r="FI6" s="46">
        <v>5316</v>
      </c>
      <c r="FJ6" s="46">
        <v>5316</v>
      </c>
      <c r="FK6" s="206">
        <v>5316</v>
      </c>
    </row>
    <row r="7" spans="1:167" ht="15.75" x14ac:dyDescent="0.25">
      <c r="A7" s="163">
        <v>63</v>
      </c>
      <c r="B7" s="113">
        <v>0.86</v>
      </c>
      <c r="C7" s="61"/>
      <c r="D7" s="207">
        <v>2</v>
      </c>
      <c r="E7" s="125">
        <v>1.0166999999999999</v>
      </c>
      <c r="F7" s="61"/>
      <c r="G7" s="174">
        <v>5</v>
      </c>
      <c r="H7" s="150">
        <v>1</v>
      </c>
      <c r="I7" s="62"/>
      <c r="J7" s="19">
        <v>3</v>
      </c>
      <c r="K7" s="121">
        <v>0.98333333333333339</v>
      </c>
      <c r="L7" s="61"/>
      <c r="M7" s="294">
        <v>3</v>
      </c>
      <c r="N7" s="121">
        <v>1.0300971829135355</v>
      </c>
      <c r="O7" s="61"/>
      <c r="P7" s="129">
        <v>57</v>
      </c>
      <c r="Q7" s="154">
        <v>0.81882418958528524</v>
      </c>
      <c r="R7" s="154">
        <v>0.8192770802696171</v>
      </c>
      <c r="S7" s="154">
        <v>0.81975487288909465</v>
      </c>
      <c r="T7" s="154">
        <v>0.82025890981942595</v>
      </c>
      <c r="U7" s="154">
        <v>0.82079060213099031</v>
      </c>
      <c r="V7" s="154">
        <v>0.8212844946289225</v>
      </c>
      <c r="W7" s="154">
        <v>0.82181423040787882</v>
      </c>
      <c r="X7" s="154">
        <v>0.82237995938737118</v>
      </c>
      <c r="Y7" s="154">
        <v>0.82298206671317409</v>
      </c>
      <c r="Z7" s="154">
        <v>0.82362132191849902</v>
      </c>
      <c r="AA7" s="154">
        <v>0.82429916914270285</v>
      </c>
      <c r="AB7" s="154">
        <v>0.82501685409033088</v>
      </c>
      <c r="AC7" s="154">
        <v>0.82577643837099635</v>
      </c>
      <c r="AD7" s="154">
        <v>0.82658021323893471</v>
      </c>
      <c r="AE7" s="154">
        <v>0.82743040909877563</v>
      </c>
      <c r="AF7" s="154">
        <v>0.82832919561963392</v>
      </c>
      <c r="AG7" s="154">
        <v>0.82927910677340599</v>
      </c>
      <c r="AH7" s="154">
        <v>0.8302824662581908</v>
      </c>
      <c r="AI7" s="154">
        <v>0.83134181029632614</v>
      </c>
      <c r="AJ7" s="154">
        <v>0.83245973896622638</v>
      </c>
      <c r="AK7" s="154">
        <v>0.83363877067897041</v>
      </c>
      <c r="AL7" s="154">
        <v>0.83488147675924296</v>
      </c>
      <c r="AM7" s="154">
        <v>0.83619033622241667</v>
      </c>
      <c r="AN7" s="154">
        <v>0.8375682756505366</v>
      </c>
      <c r="AO7" s="154">
        <v>0.83901783215376224</v>
      </c>
      <c r="AP7" s="154">
        <v>0.8405415569425666</v>
      </c>
      <c r="AQ7" s="154">
        <v>0.84214200033661613</v>
      </c>
      <c r="AR7" s="154">
        <v>0.84382169433976939</v>
      </c>
      <c r="AS7" s="154">
        <v>0.84558300201907421</v>
      </c>
      <c r="AT7" s="154">
        <v>0.84742836035008917</v>
      </c>
      <c r="AU7" s="154">
        <v>0.8493598644347583</v>
      </c>
      <c r="AV7" s="154">
        <v>0.85137950680070562</v>
      </c>
      <c r="AW7" s="154">
        <v>0.85348914747525395</v>
      </c>
      <c r="AX7" s="154">
        <v>0.85569035729600607</v>
      </c>
      <c r="AY7" s="154">
        <v>0.85798451205966308</v>
      </c>
      <c r="AZ7" s="154">
        <v>0.86037251355445676</v>
      </c>
      <c r="BA7" s="154">
        <v>0.86285524068487707</v>
      </c>
      <c r="BB7" s="154">
        <v>0.86543290558393804</v>
      </c>
      <c r="BC7" s="154">
        <v>0.86810515290745027</v>
      </c>
      <c r="BD7" s="154">
        <v>0.87087137522214264</v>
      </c>
      <c r="BE7" s="154">
        <v>0.87373032827576136</v>
      </c>
      <c r="BF7" s="154">
        <v>0.87667815967956098</v>
      </c>
      <c r="BG7" s="154">
        <v>0.8797082834729566</v>
      </c>
      <c r="BH7" s="154">
        <v>0.88281464755806183</v>
      </c>
      <c r="BI7" s="154">
        <v>0.88599106053352872</v>
      </c>
      <c r="BJ7" s="154">
        <v>0.8892316905790284</v>
      </c>
      <c r="BK7" s="154">
        <v>0.89253062212905576</v>
      </c>
      <c r="BL7" s="154">
        <v>0.89588203378307185</v>
      </c>
      <c r="BM7" s="154">
        <v>0.89928007039571412</v>
      </c>
      <c r="BN7" s="154">
        <v>0.90271864123502676</v>
      </c>
      <c r="BO7" s="154">
        <v>0.90619185041072525</v>
      </c>
      <c r="BP7" s="154">
        <v>0.90969318642461539</v>
      </c>
      <c r="BQ7" s="154">
        <v>0.91321638378205117</v>
      </c>
      <c r="BR7" s="154">
        <v>0.91675465335656947</v>
      </c>
      <c r="BS7" s="154">
        <v>0.92030110977489687</v>
      </c>
      <c r="BT7" s="154">
        <v>0.92384847802458336</v>
      </c>
      <c r="BU7" s="154">
        <v>0.92738955706122217</v>
      </c>
      <c r="BV7" s="154">
        <v>0.93091666608590951</v>
      </c>
      <c r="BW7" s="154">
        <v>0.93441955854888448</v>
      </c>
      <c r="BX7" s="154">
        <v>0.93788173250180651</v>
      </c>
      <c r="BY7" s="154">
        <v>0.94128983107461206</v>
      </c>
      <c r="BZ7" s="154">
        <v>0.94463375558811391</v>
      </c>
      <c r="CA7" s="154">
        <v>0.94790564162603175</v>
      </c>
      <c r="CB7" s="154">
        <v>0.95109715326190181</v>
      </c>
      <c r="CC7" s="154">
        <v>0.95419667742789149</v>
      </c>
      <c r="CD7" s="154">
        <v>0.95719117849565571</v>
      </c>
      <c r="CE7" s="154">
        <v>0.96007017246993753</v>
      </c>
      <c r="CF7" s="154">
        <v>0.962826470893001</v>
      </c>
      <c r="CG7" s="154">
        <v>0.96545826970623361</v>
      </c>
      <c r="CH7" s="154">
        <v>0.96795929395791047</v>
      </c>
      <c r="CI7" s="154">
        <v>0.97032445738614981</v>
      </c>
      <c r="CJ7" s="154">
        <v>0.97255685875469866</v>
      </c>
      <c r="CK7" s="154">
        <v>0.97466861903906132</v>
      </c>
      <c r="CL7" s="154">
        <v>0.9766718533079064</v>
      </c>
      <c r="CM7" s="154">
        <v>0.97857127648482323</v>
      </c>
      <c r="CN7" s="255">
        <v>1.0168999999999999</v>
      </c>
      <c r="CO7" s="255">
        <v>1.0188999999999999</v>
      </c>
      <c r="CP7" s="255">
        <v>1.0207999999999999</v>
      </c>
      <c r="CQ7" s="255">
        <v>1.0226</v>
      </c>
      <c r="CR7" s="255">
        <v>1.0242</v>
      </c>
      <c r="CS7" s="255">
        <v>1.0257000000000001</v>
      </c>
      <c r="CT7" s="255">
        <v>1.0270999999999999</v>
      </c>
      <c r="CU7" s="255">
        <v>1.0283</v>
      </c>
      <c r="CV7" s="255">
        <v>1.0295000000000001</v>
      </c>
      <c r="CW7" s="256">
        <v>1.0306</v>
      </c>
      <c r="CX7" s="61"/>
      <c r="CY7" s="149">
        <v>0.01</v>
      </c>
      <c r="CZ7">
        <v>0.05</v>
      </c>
      <c r="DB7" s="25">
        <v>41394</v>
      </c>
      <c r="DD7" s="183" t="s">
        <v>401</v>
      </c>
      <c r="DE7" s="183"/>
      <c r="DF7" t="s">
        <v>129</v>
      </c>
      <c r="DG7" s="149">
        <v>2.5000000000000001E-2</v>
      </c>
      <c r="DH7" s="38" t="s">
        <v>107</v>
      </c>
      <c r="DL7" t="s">
        <v>142</v>
      </c>
      <c r="DM7" s="75">
        <v>0</v>
      </c>
      <c r="DN7" t="s">
        <v>417</v>
      </c>
      <c r="DO7" s="272">
        <v>0</v>
      </c>
      <c r="DP7" s="272">
        <v>0</v>
      </c>
      <c r="DQ7" s="45">
        <v>0</v>
      </c>
      <c r="DW7" s="92">
        <v>1911</v>
      </c>
      <c r="DX7" s="16">
        <v>5664</v>
      </c>
      <c r="DY7" s="46">
        <v>5664</v>
      </c>
      <c r="DZ7" s="46">
        <v>5664</v>
      </c>
      <c r="EA7" s="46">
        <v>5664</v>
      </c>
      <c r="EB7" s="46">
        <v>5664</v>
      </c>
      <c r="EC7" s="46">
        <v>5664</v>
      </c>
      <c r="ED7" s="46">
        <v>5664</v>
      </c>
      <c r="EE7" s="46">
        <v>5664</v>
      </c>
      <c r="EF7" s="46">
        <v>5664</v>
      </c>
      <c r="EG7" s="46">
        <v>5664</v>
      </c>
      <c r="EH7" s="46">
        <v>5664</v>
      </c>
      <c r="EI7" s="46">
        <v>5664</v>
      </c>
      <c r="EJ7" s="46">
        <v>5664</v>
      </c>
      <c r="EK7" s="206">
        <v>5664</v>
      </c>
      <c r="EN7" s="42">
        <v>1911</v>
      </c>
      <c r="EO7" s="105"/>
      <c r="EP7" s="126"/>
      <c r="EQ7" s="148"/>
      <c r="ER7" s="126"/>
      <c r="ES7" s="126"/>
      <c r="ET7" s="126"/>
      <c r="EU7" s="126"/>
      <c r="EV7" s="40">
        <v>5664</v>
      </c>
      <c r="EW7" s="126">
        <v>5664</v>
      </c>
      <c r="EX7" s="200">
        <v>5664</v>
      </c>
      <c r="EY7" s="46">
        <v>5664</v>
      </c>
      <c r="EZ7" s="46">
        <v>5664</v>
      </c>
      <c r="FA7" s="46">
        <v>5664</v>
      </c>
      <c r="FB7" s="46">
        <v>5664</v>
      </c>
      <c r="FC7" s="46">
        <v>5664</v>
      </c>
      <c r="FD7" s="46">
        <v>5664</v>
      </c>
      <c r="FE7" s="46">
        <v>5664</v>
      </c>
      <c r="FF7" s="46">
        <v>5664</v>
      </c>
      <c r="FG7" s="46">
        <v>5664</v>
      </c>
      <c r="FH7" s="46">
        <v>5664</v>
      </c>
      <c r="FI7" s="46">
        <v>5664</v>
      </c>
      <c r="FJ7" s="46">
        <v>5664</v>
      </c>
      <c r="FK7" s="206">
        <v>5664</v>
      </c>
    </row>
    <row r="8" spans="1:167" ht="15.75" x14ac:dyDescent="0.25">
      <c r="A8" s="19">
        <v>62</v>
      </c>
      <c r="B8" s="121">
        <v>0.79</v>
      </c>
      <c r="C8" s="61"/>
      <c r="D8" s="207">
        <v>3</v>
      </c>
      <c r="E8" s="125">
        <v>1.0249999999999999</v>
      </c>
      <c r="F8" s="61"/>
      <c r="G8" s="174">
        <v>5</v>
      </c>
      <c r="H8" s="150">
        <v>1</v>
      </c>
      <c r="I8" s="62"/>
      <c r="J8" s="19">
        <v>4</v>
      </c>
      <c r="K8" s="121">
        <v>0.97777777777777786</v>
      </c>
      <c r="L8" s="61"/>
      <c r="M8" s="294">
        <v>4</v>
      </c>
      <c r="N8" s="121">
        <v>1.0401295772180472</v>
      </c>
      <c r="O8" s="61"/>
      <c r="P8" s="129">
        <v>58</v>
      </c>
      <c r="Q8" s="154">
        <v>0.80910600100234009</v>
      </c>
      <c r="R8" s="154">
        <v>0.80956095409163353</v>
      </c>
      <c r="S8" s="154">
        <v>0.8100409222726187</v>
      </c>
      <c r="T8" s="154">
        <v>0.81054725473953537</v>
      </c>
      <c r="U8" s="154">
        <v>0.81108137196155317</v>
      </c>
      <c r="V8" s="154">
        <v>0.81157502916260349</v>
      </c>
      <c r="W8" s="154">
        <v>0.81210488684903315</v>
      </c>
      <c r="X8" s="154">
        <v>0.8126710573857594</v>
      </c>
      <c r="Y8" s="154">
        <v>0.81327389792941851</v>
      </c>
      <c r="Z8" s="154">
        <v>0.81391416661889948</v>
      </c>
      <c r="AA8" s="154">
        <v>0.81459332610168833</v>
      </c>
      <c r="AB8" s="154">
        <v>0.81531263417921118</v>
      </c>
      <c r="AC8" s="154">
        <v>0.81607420243643347</v>
      </c>
      <c r="AD8" s="154">
        <v>0.81688038606176494</v>
      </c>
      <c r="AE8" s="154">
        <v>0.81773348163314363</v>
      </c>
      <c r="AF8" s="154">
        <v>0.81863572789275307</v>
      </c>
      <c r="AG8" s="154">
        <v>0.81958975030534642</v>
      </c>
      <c r="AH8" s="154">
        <v>0.82059796206558777</v>
      </c>
      <c r="AI8" s="154">
        <v>0.82166300636373035</v>
      </c>
      <c r="AJ8" s="154">
        <v>0.82278760206332191</v>
      </c>
      <c r="AK8" s="154">
        <v>0.82397439242880421</v>
      </c>
      <c r="AL8" s="154">
        <v>0.82522608663930774</v>
      </c>
      <c r="AM8" s="154">
        <v>0.82654530886454181</v>
      </c>
      <c r="AN8" s="154">
        <v>0.82793516461813133</v>
      </c>
      <c r="AO8" s="154">
        <v>0.82939836651122456</v>
      </c>
      <c r="AP8" s="154">
        <v>0.83093765823720589</v>
      </c>
      <c r="AQ8" s="154">
        <v>0.83255580096194981</v>
      </c>
      <c r="AR8" s="154">
        <v>0.83425555720453959</v>
      </c>
      <c r="AS8" s="154">
        <v>0.83603953486387328</v>
      </c>
      <c r="AT8" s="154">
        <v>0.83791044410921955</v>
      </c>
      <c r="AU8" s="154">
        <v>0.83987066308891134</v>
      </c>
      <c r="AV8" s="154">
        <v>0.84192249117670437</v>
      </c>
      <c r="AW8" s="154">
        <v>0.84406811980256113</v>
      </c>
      <c r="AX8" s="154">
        <v>0.84630946952528197</v>
      </c>
      <c r="AY8" s="154">
        <v>0.84864829076496295</v>
      </c>
      <c r="AZ8" s="154">
        <v>0.85108587122806334</v>
      </c>
      <c r="BA8" s="154">
        <v>0.85362351238690537</v>
      </c>
      <c r="BB8" s="154">
        <v>0.85626185046053227</v>
      </c>
      <c r="BC8" s="154">
        <v>0.85900095934802012</v>
      </c>
      <c r="BD8" s="154">
        <v>0.86184068215401954</v>
      </c>
      <c r="BE8" s="154">
        <v>0.86478022222786399</v>
      </c>
      <c r="BF8" s="154">
        <v>0.86781604821676461</v>
      </c>
      <c r="BG8" s="154">
        <v>0.8709417455594175</v>
      </c>
      <c r="BH8" s="154">
        <v>0.87415147257918502</v>
      </c>
      <c r="BI8" s="154">
        <v>0.87743924270920792</v>
      </c>
      <c r="BJ8" s="154">
        <v>0.880799450344249</v>
      </c>
      <c r="BK8" s="154">
        <v>0.88422639473802045</v>
      </c>
      <c r="BL8" s="154">
        <v>0.88771446474924809</v>
      </c>
      <c r="BM8" s="154">
        <v>0.89125799848902088</v>
      </c>
      <c r="BN8" s="154">
        <v>0.8948510624241558</v>
      </c>
      <c r="BO8" s="154">
        <v>0.89848790585561122</v>
      </c>
      <c r="BP8" s="154">
        <v>0.90216208507051965</v>
      </c>
      <c r="BQ8" s="154">
        <v>0.90586737868041389</v>
      </c>
      <c r="BR8" s="154">
        <v>0.90959695218633962</v>
      </c>
      <c r="BS8" s="154">
        <v>0.91334380517640346</v>
      </c>
      <c r="BT8" s="154">
        <v>0.91710044188435058</v>
      </c>
      <c r="BU8" s="154">
        <v>0.92085935880205649</v>
      </c>
      <c r="BV8" s="154">
        <v>0.92461243762236789</v>
      </c>
      <c r="BW8" s="154">
        <v>0.92834867664758092</v>
      </c>
      <c r="BX8" s="154">
        <v>0.93205016602803636</v>
      </c>
      <c r="BY8" s="154">
        <v>0.93570227947419904</v>
      </c>
      <c r="BZ8" s="154">
        <v>0.93929382774135861</v>
      </c>
      <c r="CA8" s="154">
        <v>0.94281596834311721</v>
      </c>
      <c r="CB8" s="154">
        <v>0.94625926431043117</v>
      </c>
      <c r="CC8" s="154">
        <v>0.94961060921106388</v>
      </c>
      <c r="CD8" s="154">
        <v>0.95285523898999003</v>
      </c>
      <c r="CE8" s="154">
        <v>0.95598108969577789</v>
      </c>
      <c r="CF8" s="154">
        <v>0.95897963966528899</v>
      </c>
      <c r="CG8" s="154">
        <v>0.96184823777328188</v>
      </c>
      <c r="CH8" s="154">
        <v>0.9645792908462153</v>
      </c>
      <c r="CI8" s="154">
        <v>0.96716648871148059</v>
      </c>
      <c r="CJ8" s="154">
        <v>0.96961254619160686</v>
      </c>
      <c r="CK8" s="154">
        <v>0.97193018045916724</v>
      </c>
      <c r="CL8" s="154">
        <v>0.97413217290953402</v>
      </c>
      <c r="CM8" s="154">
        <v>0.97622318006288789</v>
      </c>
      <c r="CN8" s="255">
        <v>1.0189999999999999</v>
      </c>
      <c r="CO8" s="255">
        <v>1.0212000000000001</v>
      </c>
      <c r="CP8" s="255">
        <v>1.0233000000000001</v>
      </c>
      <c r="CQ8" s="255">
        <v>1.0251999999999999</v>
      </c>
      <c r="CR8" s="255">
        <v>1.0269999999999999</v>
      </c>
      <c r="CS8" s="255">
        <v>1.0286999999999999</v>
      </c>
      <c r="CT8" s="255">
        <v>1.0302</v>
      </c>
      <c r="CU8" s="255">
        <v>1.0316000000000001</v>
      </c>
      <c r="CV8" s="255">
        <v>1.0328999999999999</v>
      </c>
      <c r="CW8" s="256">
        <v>1.0341</v>
      </c>
      <c r="CX8" s="61"/>
      <c r="CY8" s="149">
        <v>1.04</v>
      </c>
      <c r="CZ8">
        <v>7</v>
      </c>
      <c r="DF8" t="s">
        <v>438</v>
      </c>
      <c r="DG8" s="71">
        <v>5.0000000000000001E-3</v>
      </c>
      <c r="DH8" s="38" t="s">
        <v>146</v>
      </c>
      <c r="DL8" t="s">
        <v>136</v>
      </c>
      <c r="DM8">
        <v>0</v>
      </c>
      <c r="DN8" t="s">
        <v>417</v>
      </c>
      <c r="DO8" s="272">
        <v>0</v>
      </c>
      <c r="DP8" s="45">
        <v>0</v>
      </c>
      <c r="DQ8" s="45">
        <v>0</v>
      </c>
      <c r="DW8" s="92">
        <v>1912</v>
      </c>
      <c r="DX8" s="16">
        <v>6060</v>
      </c>
      <c r="DY8" s="46">
        <v>6060</v>
      </c>
      <c r="DZ8" s="46">
        <v>6060</v>
      </c>
      <c r="EA8" s="46">
        <v>6060</v>
      </c>
      <c r="EB8" s="46">
        <v>6060</v>
      </c>
      <c r="EC8" s="46">
        <v>6060</v>
      </c>
      <c r="ED8" s="46">
        <v>6060</v>
      </c>
      <c r="EE8" s="46">
        <v>6060</v>
      </c>
      <c r="EF8" s="46">
        <v>6060</v>
      </c>
      <c r="EG8" s="46">
        <v>6060</v>
      </c>
      <c r="EH8" s="46">
        <v>6060</v>
      </c>
      <c r="EI8" s="46">
        <v>6060</v>
      </c>
      <c r="EJ8" s="46">
        <v>6060</v>
      </c>
      <c r="EK8" s="206">
        <v>6060</v>
      </c>
      <c r="EN8" s="42">
        <v>1912</v>
      </c>
      <c r="EO8" s="105"/>
      <c r="EP8" s="126"/>
      <c r="EQ8" s="148"/>
      <c r="ER8" s="126"/>
      <c r="ES8" s="126"/>
      <c r="ET8" s="126"/>
      <c r="EU8" s="126"/>
      <c r="EV8" s="40">
        <v>6060</v>
      </c>
      <c r="EW8" s="126">
        <v>6060</v>
      </c>
      <c r="EX8" s="200">
        <v>6060</v>
      </c>
      <c r="EY8" s="46">
        <v>6060</v>
      </c>
      <c r="EZ8" s="46">
        <v>6060</v>
      </c>
      <c r="FA8" s="46">
        <v>6060</v>
      </c>
      <c r="FB8" s="46">
        <v>6060</v>
      </c>
      <c r="FC8" s="46">
        <v>6060</v>
      </c>
      <c r="FD8" s="46">
        <v>6060</v>
      </c>
      <c r="FE8" s="46">
        <v>6060</v>
      </c>
      <c r="FF8" s="46">
        <v>6060</v>
      </c>
      <c r="FG8" s="46">
        <v>6060</v>
      </c>
      <c r="FH8" s="46">
        <v>6060</v>
      </c>
      <c r="FI8" s="46">
        <v>6060</v>
      </c>
      <c r="FJ8" s="46">
        <v>6060</v>
      </c>
      <c r="FK8" s="206">
        <v>6060</v>
      </c>
    </row>
    <row r="9" spans="1:167" ht="16.5" thickBot="1" x14ac:dyDescent="0.3">
      <c r="A9" s="163">
        <v>61</v>
      </c>
      <c r="B9" s="113">
        <v>0.72</v>
      </c>
      <c r="C9" s="61"/>
      <c r="D9" s="207">
        <v>4</v>
      </c>
      <c r="E9" s="125">
        <v>1.0333000000000001</v>
      </c>
      <c r="F9" s="61"/>
      <c r="G9" s="147">
        <v>5</v>
      </c>
      <c r="H9" s="104">
        <v>1</v>
      </c>
      <c r="I9" s="62"/>
      <c r="J9" s="19">
        <v>5</v>
      </c>
      <c r="K9" s="121">
        <v>0.97222222222222232</v>
      </c>
      <c r="L9" s="61"/>
      <c r="M9" s="294">
        <v>5</v>
      </c>
      <c r="N9" s="121">
        <v>1.050161971522559</v>
      </c>
      <c r="O9" s="61"/>
      <c r="P9" s="129">
        <v>59</v>
      </c>
      <c r="Q9" s="154">
        <v>0.79889481291190767</v>
      </c>
      <c r="R9" s="154">
        <v>0.79935161509270647</v>
      </c>
      <c r="S9" s="154">
        <v>0.79983353025985471</v>
      </c>
      <c r="T9" s="154">
        <v>0.80034191188058157</v>
      </c>
      <c r="U9" s="154">
        <v>0.80087818635635066</v>
      </c>
      <c r="V9" s="154">
        <v>0.80137126494174393</v>
      </c>
      <c r="W9" s="154">
        <v>0.80190087613421202</v>
      </c>
      <c r="X9" s="154">
        <v>0.80246709085947976</v>
      </c>
      <c r="Y9" s="154">
        <v>0.8030702340869279</v>
      </c>
      <c r="Z9" s="154">
        <v>0.80371104817138483</v>
      </c>
      <c r="AA9" s="154">
        <v>0.80439100994577861</v>
      </c>
      <c r="AB9" s="154">
        <v>0.8051113844031641</v>
      </c>
      <c r="AC9" s="154">
        <v>0.80587432846592422</v>
      </c>
      <c r="AD9" s="154">
        <v>0.80668225647783132</v>
      </c>
      <c r="AE9" s="154">
        <v>0.8075375260753922</v>
      </c>
      <c r="AF9" s="154">
        <v>0.80844243969094953</v>
      </c>
      <c r="AG9" s="154">
        <v>0.80939970907652714</v>
      </c>
      <c r="AH9" s="154">
        <v>0.81041183149868312</v>
      </c>
      <c r="AI9" s="154">
        <v>0.81148155192853233</v>
      </c>
      <c r="AJ9" s="154">
        <v>0.81261170303343067</v>
      </c>
      <c r="AK9" s="154">
        <v>0.81380504807332854</v>
      </c>
      <c r="AL9" s="154">
        <v>0.81506442951374825</v>
      </c>
      <c r="AM9" s="154">
        <v>0.81639261227468796</v>
      </c>
      <c r="AN9" s="154">
        <v>0.81779287697688019</v>
      </c>
      <c r="AO9" s="154">
        <v>0.81926810748993195</v>
      </c>
      <c r="AP9" s="154">
        <v>0.82082123567417942</v>
      </c>
      <c r="AQ9" s="154">
        <v>0.82245522923319114</v>
      </c>
      <c r="AR9" s="154">
        <v>0.8241730771085124</v>
      </c>
      <c r="AS9" s="154">
        <v>0.82597762827590093</v>
      </c>
      <c r="AT9" s="154">
        <v>0.82787186320798434</v>
      </c>
      <c r="AU9" s="154">
        <v>0.82985844073588766</v>
      </c>
      <c r="AV9" s="154">
        <v>0.83193996575428231</v>
      </c>
      <c r="AW9" s="154">
        <v>0.83411896117576745</v>
      </c>
      <c r="AX9" s="154">
        <v>0.83639769908877548</v>
      </c>
      <c r="AY9" s="154">
        <v>0.8387783086424867</v>
      </c>
      <c r="AZ9" s="154">
        <v>0.84126246995446785</v>
      </c>
      <c r="BA9" s="154">
        <v>0.84385191742481702</v>
      </c>
      <c r="BB9" s="154">
        <v>0.84654772553357815</v>
      </c>
      <c r="BC9" s="154">
        <v>0.84935041631794406</v>
      </c>
      <c r="BD9" s="154">
        <v>0.8522603083448318</v>
      </c>
      <c r="BE9" s="154">
        <v>0.85527708315314199</v>
      </c>
      <c r="BF9" s="154">
        <v>0.85839756227157038</v>
      </c>
      <c r="BG9" s="154">
        <v>0.86161553438390315</v>
      </c>
      <c r="BH9" s="154">
        <v>0.86492540747546731</v>
      </c>
      <c r="BI9" s="154">
        <v>0.8683214460532328</v>
      </c>
      <c r="BJ9" s="154">
        <v>0.87179832581669892</v>
      </c>
      <c r="BK9" s="154">
        <v>0.8753506235652877</v>
      </c>
      <c r="BL9" s="154">
        <v>0.87897300843735149</v>
      </c>
      <c r="BM9" s="154">
        <v>0.88266008766323578</v>
      </c>
      <c r="BN9" s="154">
        <v>0.88640616570204345</v>
      </c>
      <c r="BO9" s="154">
        <v>0.89020572481113558</v>
      </c>
      <c r="BP9" s="154">
        <v>0.89405248064779319</v>
      </c>
      <c r="BQ9" s="154">
        <v>0.89794035384963622</v>
      </c>
      <c r="BR9" s="154">
        <v>0.90186256499806439</v>
      </c>
      <c r="BS9" s="154">
        <v>0.9058121031967753</v>
      </c>
      <c r="BT9" s="154">
        <v>0.90978135824315309</v>
      </c>
      <c r="BU9" s="154">
        <v>0.91376263105200672</v>
      </c>
      <c r="BV9" s="154">
        <v>0.91774746396311202</v>
      </c>
      <c r="BW9" s="154">
        <v>0.92172416655425404</v>
      </c>
      <c r="BX9" s="154">
        <v>0.92567341818125748</v>
      </c>
      <c r="BY9" s="154">
        <v>0.92957930595318872</v>
      </c>
      <c r="BZ9" s="154">
        <v>0.93342952818182068</v>
      </c>
      <c r="CA9" s="154">
        <v>0.93721423860105402</v>
      </c>
      <c r="CB9" s="154">
        <v>0.94092285254441821</v>
      </c>
      <c r="CC9" s="154">
        <v>0.9445406750737374</v>
      </c>
      <c r="CD9" s="154">
        <v>0.94805107743678252</v>
      </c>
      <c r="CE9" s="154">
        <v>0.95144027235838413</v>
      </c>
      <c r="CF9" s="154">
        <v>0.95469826680338998</v>
      </c>
      <c r="CG9" s="154">
        <v>0.95782145770617388</v>
      </c>
      <c r="CH9" s="154">
        <v>0.96080076148056348</v>
      </c>
      <c r="CI9" s="154">
        <v>0.96362845903911976</v>
      </c>
      <c r="CJ9" s="154">
        <v>0.96630677281880484</v>
      </c>
      <c r="CK9" s="154">
        <v>0.96884901622398278</v>
      </c>
      <c r="CL9" s="154">
        <v>0.97126865193080503</v>
      </c>
      <c r="CM9" s="154">
        <v>0.97357021142852851</v>
      </c>
      <c r="CN9" s="255">
        <v>1.0213000000000001</v>
      </c>
      <c r="CO9" s="255">
        <v>1.0238</v>
      </c>
      <c r="CP9" s="255">
        <v>1.0261</v>
      </c>
      <c r="CQ9" s="255">
        <v>1.0282</v>
      </c>
      <c r="CR9" s="255">
        <v>1.0302</v>
      </c>
      <c r="CS9" s="255">
        <v>1.032</v>
      </c>
      <c r="CT9" s="255">
        <v>1.0337000000000001</v>
      </c>
      <c r="CU9" s="255">
        <v>1.0353000000000001</v>
      </c>
      <c r="CV9" s="255">
        <v>1.0367999999999999</v>
      </c>
      <c r="CW9" s="256">
        <v>1.0381</v>
      </c>
      <c r="CX9" s="61"/>
      <c r="CY9" s="149">
        <v>1.04</v>
      </c>
      <c r="CZ9">
        <v>8</v>
      </c>
      <c r="DB9" s="183" t="s">
        <v>252</v>
      </c>
      <c r="DD9" t="s">
        <v>400</v>
      </c>
      <c r="DF9" t="s">
        <v>530</v>
      </c>
      <c r="DG9" s="192">
        <v>0</v>
      </c>
      <c r="DH9" s="38" t="s">
        <v>95</v>
      </c>
      <c r="DL9" t="s">
        <v>347</v>
      </c>
      <c r="DM9">
        <v>0</v>
      </c>
      <c r="DN9" t="s">
        <v>417</v>
      </c>
      <c r="DO9" s="272">
        <v>0</v>
      </c>
      <c r="DP9" s="45">
        <v>0</v>
      </c>
      <c r="DQ9" s="45">
        <v>0</v>
      </c>
      <c r="DW9" s="92">
        <v>1913</v>
      </c>
      <c r="DX9" s="16">
        <v>6480</v>
      </c>
      <c r="DY9" s="46">
        <v>6480</v>
      </c>
      <c r="DZ9" s="46">
        <v>6480</v>
      </c>
      <c r="EA9" s="46">
        <v>6480</v>
      </c>
      <c r="EB9" s="46">
        <v>6480</v>
      </c>
      <c r="EC9" s="46">
        <v>6480</v>
      </c>
      <c r="ED9" s="46">
        <v>6480</v>
      </c>
      <c r="EE9" s="46">
        <v>6480</v>
      </c>
      <c r="EF9" s="46">
        <v>6480</v>
      </c>
      <c r="EG9" s="46">
        <v>6480</v>
      </c>
      <c r="EH9" s="46">
        <v>6480</v>
      </c>
      <c r="EI9" s="46">
        <v>6480</v>
      </c>
      <c r="EJ9" s="46">
        <v>6480</v>
      </c>
      <c r="EK9" s="206">
        <v>6480</v>
      </c>
      <c r="EN9" s="42">
        <v>1913</v>
      </c>
      <c r="EO9" s="105"/>
      <c r="EP9" s="126"/>
      <c r="EQ9" s="148"/>
      <c r="ER9" s="126"/>
      <c r="ES9" s="126"/>
      <c r="ET9" s="126"/>
      <c r="EU9" s="126"/>
      <c r="EV9" s="40">
        <v>6480</v>
      </c>
      <c r="EW9" s="126">
        <v>6480</v>
      </c>
      <c r="EX9" s="200">
        <v>6480</v>
      </c>
      <c r="EY9" s="46">
        <v>6480</v>
      </c>
      <c r="EZ9" s="46">
        <v>6480</v>
      </c>
      <c r="FA9" s="46">
        <v>6480</v>
      </c>
      <c r="FB9" s="46">
        <v>6480</v>
      </c>
      <c r="FC9" s="46">
        <v>6480</v>
      </c>
      <c r="FD9" s="46">
        <v>6480</v>
      </c>
      <c r="FE9" s="46">
        <v>6480</v>
      </c>
      <c r="FF9" s="46">
        <v>6480</v>
      </c>
      <c r="FG9" s="46">
        <v>6480</v>
      </c>
      <c r="FH9" s="46">
        <v>6480</v>
      </c>
      <c r="FI9" s="46">
        <v>6480</v>
      </c>
      <c r="FJ9" s="46">
        <v>6480</v>
      </c>
      <c r="FK9" s="206">
        <v>6480</v>
      </c>
    </row>
    <row r="10" spans="1:167" ht="16.5" thickBot="1" x14ac:dyDescent="0.3">
      <c r="A10" s="19">
        <v>60</v>
      </c>
      <c r="B10" s="121">
        <v>0.65</v>
      </c>
      <c r="C10" s="61"/>
      <c r="D10" s="207">
        <v>5</v>
      </c>
      <c r="E10" s="125">
        <v>1.0417000000000001</v>
      </c>
      <c r="F10" s="61"/>
      <c r="G10" s="61"/>
      <c r="H10" s="61"/>
      <c r="I10" s="61"/>
      <c r="J10" s="19">
        <v>6</v>
      </c>
      <c r="K10" s="121">
        <v>0.96666666666666679</v>
      </c>
      <c r="L10" s="61"/>
      <c r="M10" s="294">
        <v>6</v>
      </c>
      <c r="N10" s="121">
        <v>1.0601943658270709</v>
      </c>
      <c r="O10" s="61"/>
      <c r="P10" s="129">
        <v>60</v>
      </c>
      <c r="Q10" s="154">
        <v>0.7882184459842051</v>
      </c>
      <c r="R10" s="154">
        <v>0.78867686177114937</v>
      </c>
      <c r="S10" s="154">
        <v>0.7891604717117191</v>
      </c>
      <c r="T10" s="154">
        <v>0.78967063136960736</v>
      </c>
      <c r="U10" s="154">
        <v>0.79020877010563784</v>
      </c>
      <c r="V10" s="154">
        <v>0.79070092233352329</v>
      </c>
      <c r="W10" s="154">
        <v>0.79122991248827756</v>
      </c>
      <c r="X10" s="154">
        <v>0.79179576665932805</v>
      </c>
      <c r="Y10" s="154">
        <v>0.79239877386269186</v>
      </c>
      <c r="Z10" s="154">
        <v>0.7930396566142337</v>
      </c>
      <c r="AA10" s="154">
        <v>0.79371990172922957</v>
      </c>
      <c r="AB10" s="154">
        <v>0.79444077665216506</v>
      </c>
      <c r="AC10" s="154">
        <v>0.7952044788772622</v>
      </c>
      <c r="AD10" s="154">
        <v>0.7960134768790218</v>
      </c>
      <c r="AE10" s="154">
        <v>0.79687018395997744</v>
      </c>
      <c r="AF10" s="154">
        <v>0.79777696051767322</v>
      </c>
      <c r="AG10" s="154">
        <v>0.79873659883465342</v>
      </c>
      <c r="AH10" s="154">
        <v>0.79975167424701776</v>
      </c>
      <c r="AI10" s="154">
        <v>0.80082502757557805</v>
      </c>
      <c r="AJ10" s="154">
        <v>0.8019595994531572</v>
      </c>
      <c r="AK10" s="154">
        <v>0.80315826739602125</v>
      </c>
      <c r="AL10" s="154">
        <v>0.80442400164245664</v>
      </c>
      <c r="AM10" s="154">
        <v>0.80575970252923468</v>
      </c>
      <c r="AN10" s="154">
        <v>0.80716882099040976</v>
      </c>
      <c r="AO10" s="154">
        <v>0.80865440722439619</v>
      </c>
      <c r="AP10" s="154">
        <v>0.81021957624298613</v>
      </c>
      <c r="AQ10" s="154">
        <v>0.81186749712935347</v>
      </c>
      <c r="AR10" s="154">
        <v>0.81360138002702242</v>
      </c>
      <c r="AS10" s="154">
        <v>0.81542430981495262</v>
      </c>
      <c r="AT10" s="154">
        <v>0.81733953264342307</v>
      </c>
      <c r="AU10" s="154">
        <v>0.81934998384955504</v>
      </c>
      <c r="AV10" s="154">
        <v>0.82145857046708637</v>
      </c>
      <c r="AW10" s="154">
        <v>0.82366814452806125</v>
      </c>
      <c r="AX10" s="154">
        <v>0.82598132856058426</v>
      </c>
      <c r="AY10" s="154">
        <v>0.82840063127759533</v>
      </c>
      <c r="AZ10" s="154">
        <v>0.83092812810859062</v>
      </c>
      <c r="BA10" s="154">
        <v>0.83356599241111951</v>
      </c>
      <c r="BB10" s="154">
        <v>0.83631574613484372</v>
      </c>
      <c r="BC10" s="154">
        <v>0.83917837290611641</v>
      </c>
      <c r="BD10" s="154">
        <v>0.84215468575924946</v>
      </c>
      <c r="BE10" s="154">
        <v>0.84524486922738951</v>
      </c>
      <c r="BF10" s="154">
        <v>0.84844612505676043</v>
      </c>
      <c r="BG10" s="154">
        <v>0.85175247363104478</v>
      </c>
      <c r="BH10" s="154">
        <v>0.85515860778831931</v>
      </c>
      <c r="BI10" s="154">
        <v>0.85865908491300791</v>
      </c>
      <c r="BJ10" s="154">
        <v>0.86224891267977744</v>
      </c>
      <c r="BK10" s="154">
        <v>0.8659230047486397</v>
      </c>
      <c r="BL10" s="154">
        <v>0.86967637878516446</v>
      </c>
      <c r="BM10" s="154">
        <v>0.873503987148466</v>
      </c>
      <c r="BN10" s="154">
        <v>0.87740045421682411</v>
      </c>
      <c r="BO10" s="154">
        <v>0.88136058413656182</v>
      </c>
      <c r="BP10" s="154">
        <v>0.88537834578783792</v>
      </c>
      <c r="BQ10" s="154">
        <v>0.88944790324058931</v>
      </c>
      <c r="BR10" s="154">
        <v>0.89356263752989273</v>
      </c>
      <c r="BS10" s="154">
        <v>0.89771563722747416</v>
      </c>
      <c r="BT10" s="154">
        <v>0.9018992906904596</v>
      </c>
      <c r="BU10" s="154">
        <v>0.90610582028302877</v>
      </c>
      <c r="BV10" s="154">
        <v>0.91032654334602559</v>
      </c>
      <c r="BW10" s="154">
        <v>0.91454917211737419</v>
      </c>
      <c r="BX10" s="154">
        <v>0.91875300505670088</v>
      </c>
      <c r="BY10" s="154">
        <v>0.92292085402156754</v>
      </c>
      <c r="BZ10" s="154">
        <v>0.9270393037654987</v>
      </c>
      <c r="CA10" s="154">
        <v>0.93109749269882458</v>
      </c>
      <c r="CB10" s="154">
        <v>0.9350836520791066</v>
      </c>
      <c r="CC10" s="154">
        <v>0.93898141314512329</v>
      </c>
      <c r="CD10" s="154">
        <v>0.94277215587577701</v>
      </c>
      <c r="CE10" s="154">
        <v>0.94644023381002118</v>
      </c>
      <c r="CF10" s="154">
        <v>0.94997404941545449</v>
      </c>
      <c r="CG10" s="154">
        <v>0.95336894660879345</v>
      </c>
      <c r="CH10" s="154">
        <v>0.95661418414036692</v>
      </c>
      <c r="CI10" s="154">
        <v>0.95970045279976235</v>
      </c>
      <c r="CJ10" s="154">
        <v>0.96262937428243989</v>
      </c>
      <c r="CK10" s="154">
        <v>0.96541485507708302</v>
      </c>
      <c r="CL10" s="154">
        <v>0.96807104695880442</v>
      </c>
      <c r="CM10" s="154">
        <v>0.97060227774667718</v>
      </c>
      <c r="CN10" s="255">
        <v>1.024</v>
      </c>
      <c r="CO10" s="255">
        <v>1.0266999999999999</v>
      </c>
      <c r="CP10" s="255">
        <v>1.0291999999999999</v>
      </c>
      <c r="CQ10" s="255">
        <v>1.0316000000000001</v>
      </c>
      <c r="CR10" s="255">
        <v>1.0338000000000001</v>
      </c>
      <c r="CS10" s="255">
        <v>1.0358000000000001</v>
      </c>
      <c r="CT10" s="255">
        <v>1.0377000000000001</v>
      </c>
      <c r="CU10" s="255">
        <v>1.0395000000000001</v>
      </c>
      <c r="CV10" s="255">
        <v>1.0410999999999999</v>
      </c>
      <c r="CW10" s="256">
        <v>1.0426</v>
      </c>
      <c r="CX10" s="61"/>
      <c r="CY10" s="149">
        <v>1.04</v>
      </c>
      <c r="CZ10">
        <v>999</v>
      </c>
      <c r="DD10" s="75" t="s">
        <v>716</v>
      </c>
      <c r="DF10" t="s">
        <v>482</v>
      </c>
      <c r="DG10" s="192">
        <v>0</v>
      </c>
      <c r="DH10" s="38" t="s">
        <v>385</v>
      </c>
      <c r="DL10" t="s">
        <v>399</v>
      </c>
      <c r="DM10">
        <v>0</v>
      </c>
      <c r="DN10" t="s">
        <v>417</v>
      </c>
      <c r="DO10" s="45">
        <v>0</v>
      </c>
      <c r="DP10" s="45">
        <v>0</v>
      </c>
      <c r="DQ10" s="45">
        <v>0</v>
      </c>
      <c r="DW10" s="92">
        <v>1914</v>
      </c>
      <c r="DX10" s="16">
        <v>7044</v>
      </c>
      <c r="DY10" s="46">
        <v>7044</v>
      </c>
      <c r="DZ10" s="46">
        <v>7044</v>
      </c>
      <c r="EA10" s="46">
        <v>7044</v>
      </c>
      <c r="EB10" s="46">
        <v>7044</v>
      </c>
      <c r="EC10" s="46">
        <v>7044</v>
      </c>
      <c r="ED10" s="46">
        <v>7044</v>
      </c>
      <c r="EE10" s="46">
        <v>7044</v>
      </c>
      <c r="EF10" s="46">
        <v>7044</v>
      </c>
      <c r="EG10" s="46">
        <v>7044</v>
      </c>
      <c r="EH10" s="46">
        <v>7044</v>
      </c>
      <c r="EI10" s="46">
        <v>7044</v>
      </c>
      <c r="EJ10" s="46">
        <v>7044</v>
      </c>
      <c r="EK10" s="206">
        <v>7044</v>
      </c>
      <c r="EN10" s="42">
        <v>1914</v>
      </c>
      <c r="EO10" s="105"/>
      <c r="EP10" s="126"/>
      <c r="EQ10" s="148"/>
      <c r="ER10" s="126"/>
      <c r="ES10" s="126"/>
      <c r="ET10" s="126"/>
      <c r="EU10" s="126"/>
      <c r="EV10" s="40">
        <v>7044</v>
      </c>
      <c r="EW10" s="126">
        <v>7044</v>
      </c>
      <c r="EX10" s="200">
        <v>7044</v>
      </c>
      <c r="EY10" s="46">
        <v>7044</v>
      </c>
      <c r="EZ10" s="46">
        <v>7044</v>
      </c>
      <c r="FA10" s="46">
        <v>7044</v>
      </c>
      <c r="FB10" s="46">
        <v>7044</v>
      </c>
      <c r="FC10" s="46">
        <v>7044</v>
      </c>
      <c r="FD10" s="46">
        <v>7044</v>
      </c>
      <c r="FE10" s="46">
        <v>7044</v>
      </c>
      <c r="FF10" s="46">
        <v>7044</v>
      </c>
      <c r="FG10" s="46">
        <v>7044</v>
      </c>
      <c r="FH10" s="46">
        <v>7044</v>
      </c>
      <c r="FI10" s="46">
        <v>7044</v>
      </c>
      <c r="FJ10" s="46">
        <v>7044</v>
      </c>
      <c r="FK10" s="206">
        <v>7044</v>
      </c>
    </row>
    <row r="11" spans="1:167" ht="16.5" thickBot="1" x14ac:dyDescent="0.3">
      <c r="A11" s="163">
        <v>59</v>
      </c>
      <c r="B11" s="121">
        <v>0.61</v>
      </c>
      <c r="C11" s="61"/>
      <c r="D11" s="207">
        <v>6</v>
      </c>
      <c r="E11" s="125">
        <v>1.05</v>
      </c>
      <c r="F11" s="61"/>
      <c r="G11" s="53" t="s">
        <v>23</v>
      </c>
      <c r="H11" s="110" t="s">
        <v>381</v>
      </c>
      <c r="I11" s="61"/>
      <c r="J11" s="19">
        <v>7</v>
      </c>
      <c r="K11" s="121">
        <v>0.96111111111111125</v>
      </c>
      <c r="L11" s="61"/>
      <c r="M11" s="294">
        <v>7</v>
      </c>
      <c r="N11" s="121">
        <v>1.0702267601315827</v>
      </c>
      <c r="O11" s="61"/>
      <c r="P11" s="129">
        <v>61</v>
      </c>
      <c r="Q11" s="154">
        <v>0.77709108556115258</v>
      </c>
      <c r="R11" s="154">
        <v>0.77755085905398291</v>
      </c>
      <c r="S11" s="154">
        <v>0.77803589005594331</v>
      </c>
      <c r="T11" s="154">
        <v>0.7785475338705159</v>
      </c>
      <c r="U11" s="154">
        <v>0.77908722026966803</v>
      </c>
      <c r="V11" s="154">
        <v>0.77957809172925263</v>
      </c>
      <c r="W11" s="154">
        <v>0.78010607817292521</v>
      </c>
      <c r="X11" s="154">
        <v>0.7806711578792066</v>
      </c>
      <c r="Y11" s="154">
        <v>0.78127358053754536</v>
      </c>
      <c r="Z11" s="154">
        <v>0.78191404507188345</v>
      </c>
      <c r="AA11" s="154">
        <v>0.78259404421883905</v>
      </c>
      <c r="AB11" s="154">
        <v>0.78331484332142243</v>
      </c>
      <c r="AC11" s="154">
        <v>0.78407867562530964</v>
      </c>
      <c r="AD11" s="154">
        <v>0.78488805855842614</v>
      </c>
      <c r="AE11" s="154">
        <v>0.78574545551182073</v>
      </c>
      <c r="AF11" s="154">
        <v>0.78665327889836412</v>
      </c>
      <c r="AG11" s="154">
        <v>0.78761439535973887</v>
      </c>
      <c r="AH11" s="154">
        <v>0.78863145184638994</v>
      </c>
      <c r="AI11" s="154">
        <v>0.78970737848526795</v>
      </c>
      <c r="AJ11" s="154">
        <v>0.79084521730574853</v>
      </c>
      <c r="AK11" s="154">
        <v>0.79204795353928736</v>
      </c>
      <c r="AL11" s="154">
        <v>0.7933186788161124</v>
      </c>
      <c r="AM11" s="154">
        <v>0.79466042267149684</v>
      </c>
      <c r="AN11" s="154">
        <v>0.79607680053688068</v>
      </c>
      <c r="AO11" s="154">
        <v>0.797571023232302</v>
      </c>
      <c r="AP11" s="154">
        <v>0.79914638329394083</v>
      </c>
      <c r="AQ11" s="154">
        <v>0.80080624541848877</v>
      </c>
      <c r="AR11" s="154">
        <v>0.80255403497989874</v>
      </c>
      <c r="AS11" s="154">
        <v>0.80439306659568643</v>
      </c>
      <c r="AT11" s="154">
        <v>0.80632684609381622</v>
      </c>
      <c r="AU11" s="154">
        <v>0.80835857958062152</v>
      </c>
      <c r="AV11" s="154">
        <v>0.81049147112421671</v>
      </c>
      <c r="AW11" s="154">
        <v>0.81272869755462473</v>
      </c>
      <c r="AX11" s="154">
        <v>0.81507322844331498</v>
      </c>
      <c r="AY11" s="154">
        <v>0.81752795008219303</v>
      </c>
      <c r="AZ11" s="154">
        <v>0.82009533300445925</v>
      </c>
      <c r="BA11" s="154">
        <v>0.82277799194785661</v>
      </c>
      <c r="BB11" s="154">
        <v>0.82557790139785348</v>
      </c>
      <c r="BC11" s="154">
        <v>0.82849651514859035</v>
      </c>
      <c r="BD11" s="154">
        <v>0.83153515421017055</v>
      </c>
      <c r="BE11" s="154">
        <v>0.83469452507579256</v>
      </c>
      <c r="BF11" s="154">
        <v>0.83797223206950822</v>
      </c>
      <c r="BG11" s="154">
        <v>0.84136255198516652</v>
      </c>
      <c r="BH11" s="154">
        <v>0.8448604937160844</v>
      </c>
      <c r="BI11" s="154">
        <v>0.84846094493154534</v>
      </c>
      <c r="BJ11" s="154">
        <v>0.85215929094298204</v>
      </c>
      <c r="BK11" s="154">
        <v>0.85595083682061868</v>
      </c>
      <c r="BL11" s="154">
        <v>0.85983101328767864</v>
      </c>
      <c r="BM11" s="154">
        <v>0.86379519201052968</v>
      </c>
      <c r="BN11" s="154">
        <v>0.86783839960321696</v>
      </c>
      <c r="BO11" s="154">
        <v>0.87195585236971029</v>
      </c>
      <c r="BP11" s="154">
        <v>0.87614186805629735</v>
      </c>
      <c r="BQ11" s="154">
        <v>0.88039095824303559</v>
      </c>
      <c r="BR11" s="154">
        <v>0.88469677423245197</v>
      </c>
      <c r="BS11" s="154">
        <v>0.88905261991007956</v>
      </c>
      <c r="BT11" s="154">
        <v>0.89345100182454729</v>
      </c>
      <c r="BU11" s="154">
        <v>0.8978841887672665</v>
      </c>
      <c r="BV11" s="154">
        <v>0.90234339953576215</v>
      </c>
      <c r="BW11" s="154">
        <v>0.90681585981314061</v>
      </c>
      <c r="BX11" s="154">
        <v>0.91127954641533382</v>
      </c>
      <c r="BY11" s="154">
        <v>0.91571604104343951</v>
      </c>
      <c r="BZ11" s="154">
        <v>0.9201108433502837</v>
      </c>
      <c r="CA11" s="154">
        <v>0.92445208678310753</v>
      </c>
      <c r="CB11" s="154">
        <v>0.92872679760273713</v>
      </c>
      <c r="CC11" s="154">
        <v>0.93291685875372532</v>
      </c>
      <c r="CD11" s="154">
        <v>0.93700154080569154</v>
      </c>
      <c r="CE11" s="154">
        <v>0.94096320927328569</v>
      </c>
      <c r="CF11" s="154">
        <v>0.94478853396296447</v>
      </c>
      <c r="CG11" s="154">
        <v>0.94847170812111781</v>
      </c>
      <c r="CH11" s="154">
        <v>0.95200016767089779</v>
      </c>
      <c r="CI11" s="154">
        <v>0.95536283412261436</v>
      </c>
      <c r="CJ11" s="154">
        <v>0.95856062332913938</v>
      </c>
      <c r="CK11" s="154">
        <v>0.96160803563301689</v>
      </c>
      <c r="CL11" s="154">
        <v>0.96451992132978914</v>
      </c>
      <c r="CM11" s="154">
        <v>0.9673003196734189</v>
      </c>
      <c r="CN11" s="255">
        <v>1.0269999999999999</v>
      </c>
      <c r="CO11" s="255">
        <v>1.0299</v>
      </c>
      <c r="CP11" s="255">
        <v>1.0327</v>
      </c>
      <c r="CQ11" s="255">
        <v>1.0354000000000001</v>
      </c>
      <c r="CR11" s="255">
        <v>1.0378000000000001</v>
      </c>
      <c r="CS11" s="255">
        <v>1.0401</v>
      </c>
      <c r="CT11" s="255">
        <v>1.0422</v>
      </c>
      <c r="CU11" s="255">
        <v>1.0441</v>
      </c>
      <c r="CV11" s="255">
        <v>1.0459000000000001</v>
      </c>
      <c r="CW11" s="256">
        <v>1.0476000000000001</v>
      </c>
      <c r="CX11" s="61"/>
      <c r="CY11" s="149"/>
      <c r="DB11" s="78">
        <v>40298</v>
      </c>
      <c r="DF11" t="s">
        <v>213</v>
      </c>
      <c r="DG11" s="149" t="e">
        <v>#DIV/0!</v>
      </c>
      <c r="DH11" s="38" t="s">
        <v>329</v>
      </c>
      <c r="DI11">
        <v>9</v>
      </c>
      <c r="DL11" t="s">
        <v>125</v>
      </c>
      <c r="DM11">
        <v>0</v>
      </c>
      <c r="DN11" t="s">
        <v>417</v>
      </c>
      <c r="DO11" s="45">
        <v>0</v>
      </c>
      <c r="DP11" s="45">
        <v>0</v>
      </c>
      <c r="DQ11" s="45">
        <v>0</v>
      </c>
      <c r="DW11" s="92">
        <v>1915</v>
      </c>
      <c r="DX11" s="16">
        <v>7692</v>
      </c>
      <c r="DY11" s="46">
        <v>7692</v>
      </c>
      <c r="DZ11" s="46">
        <v>7692</v>
      </c>
      <c r="EA11" s="46">
        <v>7692</v>
      </c>
      <c r="EB11" s="46">
        <v>7692</v>
      </c>
      <c r="EC11" s="46">
        <v>7692</v>
      </c>
      <c r="ED11" s="46">
        <v>7692</v>
      </c>
      <c r="EE11" s="46">
        <v>7692</v>
      </c>
      <c r="EF11" s="46">
        <v>7692</v>
      </c>
      <c r="EG11" s="46">
        <v>7692</v>
      </c>
      <c r="EH11" s="46">
        <v>7692</v>
      </c>
      <c r="EI11" s="46">
        <v>7692</v>
      </c>
      <c r="EJ11" s="46">
        <v>7692</v>
      </c>
      <c r="EK11" s="206">
        <v>7692</v>
      </c>
      <c r="EN11" s="42">
        <v>1915</v>
      </c>
      <c r="EO11" s="105"/>
      <c r="EP11" s="126"/>
      <c r="EQ11" s="148"/>
      <c r="ER11" s="126"/>
      <c r="ES11" s="126"/>
      <c r="ET11" s="126"/>
      <c r="EU11" s="126"/>
      <c r="EV11" s="40">
        <v>7692</v>
      </c>
      <c r="EW11" s="126">
        <v>7692</v>
      </c>
      <c r="EX11" s="200">
        <v>7692</v>
      </c>
      <c r="EY11" s="46">
        <v>7692</v>
      </c>
      <c r="EZ11" s="46">
        <v>7692</v>
      </c>
      <c r="FA11" s="46">
        <v>7692</v>
      </c>
      <c r="FB11" s="46">
        <v>7692</v>
      </c>
      <c r="FC11" s="46">
        <v>7692</v>
      </c>
      <c r="FD11" s="46">
        <v>7692</v>
      </c>
      <c r="FE11" s="46">
        <v>7692</v>
      </c>
      <c r="FF11" s="46">
        <v>7692</v>
      </c>
      <c r="FG11" s="46">
        <v>7692</v>
      </c>
      <c r="FH11" s="46">
        <v>7692</v>
      </c>
      <c r="FI11" s="46">
        <v>7692</v>
      </c>
      <c r="FJ11" s="46">
        <v>7692</v>
      </c>
      <c r="FK11" s="206">
        <v>7692</v>
      </c>
    </row>
    <row r="12" spans="1:167" ht="15.75" x14ac:dyDescent="0.25">
      <c r="A12" s="19">
        <v>58</v>
      </c>
      <c r="B12" s="121">
        <v>0.56999999999999995</v>
      </c>
      <c r="C12" s="61"/>
      <c r="D12" s="207">
        <v>7</v>
      </c>
      <c r="E12" s="125">
        <v>1.0583</v>
      </c>
      <c r="F12" s="61"/>
      <c r="G12" s="180">
        <v>0</v>
      </c>
      <c r="H12" s="249">
        <v>0</v>
      </c>
      <c r="I12" s="61"/>
      <c r="J12" s="19">
        <v>8</v>
      </c>
      <c r="K12" s="121">
        <v>0.95555555555555571</v>
      </c>
      <c r="L12" s="61"/>
      <c r="M12" s="294">
        <v>8</v>
      </c>
      <c r="N12" s="121">
        <v>1.0802591544360944</v>
      </c>
      <c r="O12" s="61"/>
      <c r="P12" s="129">
        <v>62</v>
      </c>
      <c r="Q12" s="154">
        <v>0.76550737183043516</v>
      </c>
      <c r="R12" s="154">
        <v>0.76596822574835244</v>
      </c>
      <c r="S12" s="154">
        <v>0.76645438277920108</v>
      </c>
      <c r="T12" s="154">
        <v>0.76696719466759522</v>
      </c>
      <c r="U12" s="154">
        <v>0.767508088887079</v>
      </c>
      <c r="V12" s="154">
        <v>0.76799731380526426</v>
      </c>
      <c r="W12" s="154">
        <v>0.76852390115767333</v>
      </c>
      <c r="X12" s="154">
        <v>0.76908777878503787</v>
      </c>
      <c r="Y12" s="154">
        <v>0.76968915399436644</v>
      </c>
      <c r="Z12" s="154">
        <v>0.77032869862759612</v>
      </c>
      <c r="AA12" s="154">
        <v>0.77100790741237901</v>
      </c>
      <c r="AB12" s="154">
        <v>0.77172803921271671</v>
      </c>
      <c r="AC12" s="154">
        <v>0.77249135820771886</v>
      </c>
      <c r="AD12" s="154">
        <v>0.77330042552353162</v>
      </c>
      <c r="AE12" s="154">
        <v>0.77415774895336487</v>
      </c>
      <c r="AF12" s="154">
        <v>0.77506578682433724</v>
      </c>
      <c r="AG12" s="154">
        <v>0.77602747368109148</v>
      </c>
      <c r="AH12" s="154">
        <v>0.77704552129058091</v>
      </c>
      <c r="AI12" s="154">
        <v>0.77812294205668908</v>
      </c>
      <c r="AJ12" s="154">
        <v>0.7792628722306536</v>
      </c>
      <c r="AK12" s="154">
        <v>0.78046839752470609</v>
      </c>
      <c r="AL12" s="154">
        <v>0.78174272378097065</v>
      </c>
      <c r="AM12" s="154">
        <v>0.78308900268701365</v>
      </c>
      <c r="AN12" s="154">
        <v>0.78451100739781143</v>
      </c>
      <c r="AO12" s="154">
        <v>0.78601210277027522</v>
      </c>
      <c r="AP12" s="154">
        <v>0.78759575251678293</v>
      </c>
      <c r="AQ12" s="154">
        <v>0.78926551065879813</v>
      </c>
      <c r="AR12" s="154">
        <v>0.7910250113318873</v>
      </c>
      <c r="AS12" s="154">
        <v>0.79287779212796461</v>
      </c>
      <c r="AT12" s="154">
        <v>0.79482761164946658</v>
      </c>
      <c r="AU12" s="154">
        <v>0.79687793984677735</v>
      </c>
      <c r="AV12" s="154">
        <v>0.79903227127473175</v>
      </c>
      <c r="AW12" s="154">
        <v>0.80129410165514658</v>
      </c>
      <c r="AX12" s="154">
        <v>0.80366674243346159</v>
      </c>
      <c r="AY12" s="154">
        <v>0.80615345334400046</v>
      </c>
      <c r="AZ12" s="154">
        <v>0.80875709720958522</v>
      </c>
      <c r="BA12" s="154">
        <v>0.8114807295560279</v>
      </c>
      <c r="BB12" s="154">
        <v>0.81432677914105944</v>
      </c>
      <c r="BC12" s="154">
        <v>0.8172971745765627</v>
      </c>
      <c r="BD12" s="154">
        <v>0.82039375357939281</v>
      </c>
      <c r="BE12" s="154">
        <v>0.82361775827608952</v>
      </c>
      <c r="BF12" s="154">
        <v>0.82696721278941265</v>
      </c>
      <c r="BG12" s="154">
        <v>0.83043667062160165</v>
      </c>
      <c r="BH12" s="154">
        <v>0.8340214836915697</v>
      </c>
      <c r="BI12" s="154">
        <v>0.8377169031231223</v>
      </c>
      <c r="BJ12" s="154">
        <v>0.8415187327208854</v>
      </c>
      <c r="BK12" s="154">
        <v>0.84542271824693926</v>
      </c>
      <c r="BL12" s="154">
        <v>0.84942476300388003</v>
      </c>
      <c r="BM12" s="154">
        <v>0.85352072839439874</v>
      </c>
      <c r="BN12" s="154">
        <v>0.8577061240278433</v>
      </c>
      <c r="BO12" s="154">
        <v>0.86197666946094853</v>
      </c>
      <c r="BP12" s="154">
        <v>0.86632712917273247</v>
      </c>
      <c r="BQ12" s="154">
        <v>0.87075246887178159</v>
      </c>
      <c r="BR12" s="154">
        <v>0.87524672384011326</v>
      </c>
      <c r="BS12" s="154">
        <v>0.87980353494295394</v>
      </c>
      <c r="BT12" s="154">
        <v>0.88441565420555324</v>
      </c>
      <c r="BU12" s="154">
        <v>0.88907553032922004</v>
      </c>
      <c r="BV12" s="154">
        <v>0.89377442030896481</v>
      </c>
      <c r="BW12" s="154">
        <v>0.89849918920149585</v>
      </c>
      <c r="BX12" s="154">
        <v>0.90322657400131046</v>
      </c>
      <c r="BY12" s="154">
        <v>0.90793700183485815</v>
      </c>
      <c r="BZ12" s="154">
        <v>0.9126149517784844</v>
      </c>
      <c r="CA12" s="154">
        <v>0.91724759508399067</v>
      </c>
      <c r="CB12" s="154">
        <v>0.92182075640963368</v>
      </c>
      <c r="CC12" s="154">
        <v>0.92631451187225466</v>
      </c>
      <c r="CD12" s="154">
        <v>0.93070591312322237</v>
      </c>
      <c r="CE12" s="154">
        <v>0.9349752139931885</v>
      </c>
      <c r="CF12" s="154">
        <v>0.93910722764336629</v>
      </c>
      <c r="CG12" s="154">
        <v>0.94309490302564403</v>
      </c>
      <c r="CH12" s="154">
        <v>0.94692368745666478</v>
      </c>
      <c r="CI12" s="154">
        <v>0.95058055137708164</v>
      </c>
      <c r="CJ12" s="154">
        <v>0.9540656023294467</v>
      </c>
      <c r="CK12" s="154">
        <v>0.95739394655146359</v>
      </c>
      <c r="CL12" s="154">
        <v>0.96058115412605638</v>
      </c>
      <c r="CM12" s="154">
        <v>0.96363089342511632</v>
      </c>
      <c r="CN12" s="255">
        <v>1.0303</v>
      </c>
      <c r="CO12" s="255">
        <v>1.0336000000000001</v>
      </c>
      <c r="CP12" s="255">
        <v>1.0367</v>
      </c>
      <c r="CQ12" s="255">
        <v>1.0396000000000001</v>
      </c>
      <c r="CR12" s="255">
        <v>1.0423</v>
      </c>
      <c r="CS12" s="255">
        <v>1.0448</v>
      </c>
      <c r="CT12" s="255">
        <v>1.0470999999999999</v>
      </c>
      <c r="CU12" s="255">
        <v>1.0492999999999999</v>
      </c>
      <c r="CV12" s="255">
        <v>1.0512999999999999</v>
      </c>
      <c r="CW12" s="256">
        <v>1.0531999999999999</v>
      </c>
      <c r="CX12" s="61"/>
      <c r="CY12" s="334" t="s">
        <v>454</v>
      </c>
      <c r="CZ12" s="333"/>
      <c r="DH12" s="65"/>
      <c r="DO12" s="45">
        <v>0</v>
      </c>
      <c r="DP12" s="45"/>
      <c r="DQ12" s="45">
        <v>0</v>
      </c>
      <c r="DW12" s="92">
        <v>1916</v>
      </c>
      <c r="DX12" s="16">
        <v>8460</v>
      </c>
      <c r="DY12" s="46">
        <v>8460</v>
      </c>
      <c r="DZ12" s="46">
        <v>8460</v>
      </c>
      <c r="EA12" s="46">
        <v>8460</v>
      </c>
      <c r="EB12" s="46">
        <v>8460</v>
      </c>
      <c r="EC12" s="46">
        <v>8460</v>
      </c>
      <c r="ED12" s="46">
        <v>8460</v>
      </c>
      <c r="EE12" s="46">
        <v>8460</v>
      </c>
      <c r="EF12" s="46">
        <v>8460</v>
      </c>
      <c r="EG12" s="46">
        <v>8460</v>
      </c>
      <c r="EH12" s="46">
        <v>8460</v>
      </c>
      <c r="EI12" s="46">
        <v>8460</v>
      </c>
      <c r="EJ12" s="46">
        <v>8460</v>
      </c>
      <c r="EK12" s="206">
        <v>8460</v>
      </c>
      <c r="EN12" s="42">
        <v>1916</v>
      </c>
      <c r="EO12" s="105"/>
      <c r="EP12" s="126"/>
      <c r="EQ12" s="148"/>
      <c r="ER12" s="126"/>
      <c r="ES12" s="126"/>
      <c r="ET12" s="126"/>
      <c r="EU12" s="126"/>
      <c r="EV12" s="40">
        <v>8460</v>
      </c>
      <c r="EW12" s="126">
        <v>8460</v>
      </c>
      <c r="EX12" s="200">
        <v>8460</v>
      </c>
      <c r="EY12" s="46">
        <v>8460</v>
      </c>
      <c r="EZ12" s="46">
        <v>8460</v>
      </c>
      <c r="FA12" s="46">
        <v>8460</v>
      </c>
      <c r="FB12" s="46">
        <v>8460</v>
      </c>
      <c r="FC12" s="46">
        <v>8460</v>
      </c>
      <c r="FD12" s="46">
        <v>8460</v>
      </c>
      <c r="FE12" s="46">
        <v>8460</v>
      </c>
      <c r="FF12" s="46">
        <v>8460</v>
      </c>
      <c r="FG12" s="46">
        <v>8460</v>
      </c>
      <c r="FH12" s="46">
        <v>8460</v>
      </c>
      <c r="FI12" s="46">
        <v>8460</v>
      </c>
      <c r="FJ12" s="46">
        <v>8460</v>
      </c>
      <c r="FK12" s="206">
        <v>8460</v>
      </c>
    </row>
    <row r="13" spans="1:167" ht="15.75" x14ac:dyDescent="0.25">
      <c r="A13" s="163">
        <v>57</v>
      </c>
      <c r="B13" s="121">
        <v>0.53</v>
      </c>
      <c r="C13" s="61"/>
      <c r="D13" s="207">
        <v>8</v>
      </c>
      <c r="E13" s="125">
        <v>1.0667</v>
      </c>
      <c r="F13" s="61"/>
      <c r="G13" s="174">
        <v>5</v>
      </c>
      <c r="H13" s="150">
        <v>1</v>
      </c>
      <c r="I13" s="61"/>
      <c r="J13" s="19">
        <v>9</v>
      </c>
      <c r="K13" s="121">
        <v>0.95000000000000018</v>
      </c>
      <c r="L13" s="61"/>
      <c r="M13" s="294">
        <v>9</v>
      </c>
      <c r="N13" s="121">
        <v>1.0902915487406062</v>
      </c>
      <c r="O13" s="61"/>
      <c r="P13" s="129">
        <v>63</v>
      </c>
      <c r="Q13" s="154">
        <v>0.75344533780428768</v>
      </c>
      <c r="R13" s="154">
        <v>0.75390696957164183</v>
      </c>
      <c r="S13" s="154">
        <v>0.75439393318217995</v>
      </c>
      <c r="T13" s="154">
        <v>0.75490757281489818</v>
      </c>
      <c r="U13" s="154">
        <v>0.75544930993779336</v>
      </c>
      <c r="V13" s="154">
        <v>0.75593650583882177</v>
      </c>
      <c r="W13" s="154">
        <v>0.75646128049942007</v>
      </c>
      <c r="X13" s="154">
        <v>0.75702350902374549</v>
      </c>
      <c r="Y13" s="154">
        <v>0.75762335355347421</v>
      </c>
      <c r="Z13" s="154">
        <v>0.75826145557972602</v>
      </c>
      <c r="AA13" s="154">
        <v>0.75893930802458509</v>
      </c>
      <c r="AB13" s="154">
        <v>0.75965815904377443</v>
      </c>
      <c r="AC13" s="154">
        <v>0.76042029896321051</v>
      </c>
      <c r="AD13" s="154">
        <v>0.76122832732537604</v>
      </c>
      <c r="AE13" s="154">
        <v>0.76208479057931255</v>
      </c>
      <c r="AF13" s="154">
        <v>0.7629921867659003</v>
      </c>
      <c r="AG13" s="154">
        <v>0.76395351166349668</v>
      </c>
      <c r="AH13" s="154">
        <v>0.76497153480625812</v>
      </c>
      <c r="AI13" s="154">
        <v>0.76604934345658304</v>
      </c>
      <c r="AJ13" s="154">
        <v>0.76719016040548138</v>
      </c>
      <c r="AK13" s="154">
        <v>0.76839716400269475</v>
      </c>
      <c r="AL13" s="154">
        <v>0.76967366639693202</v>
      </c>
      <c r="AM13" s="154">
        <v>0.77102293357179341</v>
      </c>
      <c r="AN13" s="154">
        <v>0.77244888870837003</v>
      </c>
      <c r="AO13" s="154">
        <v>0.77395504321693342</v>
      </c>
      <c r="AP13" s="154">
        <v>0.77554502474796838</v>
      </c>
      <c r="AQ13" s="154">
        <v>0.77722256965118464</v>
      </c>
      <c r="AR13" s="154">
        <v>0.77899151387604149</v>
      </c>
      <c r="AS13" s="154">
        <v>0.78085561080996879</v>
      </c>
      <c r="AT13" s="154">
        <v>0.78281886436768611</v>
      </c>
      <c r="AU13" s="154">
        <v>0.78488500062313538</v>
      </c>
      <c r="AV13" s="154">
        <v>0.78705779692701339</v>
      </c>
      <c r="AW13" s="154">
        <v>0.78934106059207376</v>
      </c>
      <c r="AX13" s="154">
        <v>0.79173843826771972</v>
      </c>
      <c r="AY13" s="154">
        <v>0.79425355728811908</v>
      </c>
      <c r="AZ13" s="154">
        <v>0.79688966790861004</v>
      </c>
      <c r="BA13" s="154">
        <v>0.7996502632482817</v>
      </c>
      <c r="BB13" s="154">
        <v>0.8025382251897305</v>
      </c>
      <c r="BC13" s="154">
        <v>0.80555595857671258</v>
      </c>
      <c r="BD13" s="154">
        <v>0.80870582264049906</v>
      </c>
      <c r="BE13" s="154">
        <v>0.81198960408892396</v>
      </c>
      <c r="BF13" s="154">
        <v>0.81540575915436309</v>
      </c>
      <c r="BG13" s="154">
        <v>0.81894913345228482</v>
      </c>
      <c r="BH13" s="154">
        <v>0.82261544397944397</v>
      </c>
      <c r="BI13" s="154">
        <v>0.8264003339442445</v>
      </c>
      <c r="BJ13" s="154">
        <v>0.83030006187231853</v>
      </c>
      <c r="BK13" s="154">
        <v>0.83431085839879937</v>
      </c>
      <c r="BL13" s="154">
        <v>0.83842915332527712</v>
      </c>
      <c r="BM13" s="154">
        <v>0.84265136299188947</v>
      </c>
      <c r="BN13" s="154">
        <v>0.84697355701573751</v>
      </c>
      <c r="BO13" s="154">
        <v>0.85139204794900591</v>
      </c>
      <c r="BP13" s="154">
        <v>0.85590214639281414</v>
      </c>
      <c r="BQ13" s="154">
        <v>0.8604993817804204</v>
      </c>
      <c r="BR13" s="154">
        <v>0.86517829070307928</v>
      </c>
      <c r="BS13" s="154">
        <v>0.86993297782085632</v>
      </c>
      <c r="BT13" s="154">
        <v>0.87475657538665841</v>
      </c>
      <c r="BU13" s="154">
        <v>0.87964185508636339</v>
      </c>
      <c r="BV13" s="154">
        <v>0.88458025964330989</v>
      </c>
      <c r="BW13" s="154">
        <v>0.8895584321776564</v>
      </c>
      <c r="BX13" s="154">
        <v>0.89455196870283016</v>
      </c>
      <c r="BY13" s="154">
        <v>0.89954024113650355</v>
      </c>
      <c r="BZ13" s="154">
        <v>0.90450680576712472</v>
      </c>
      <c r="CA13" s="154">
        <v>0.90943795466022892</v>
      </c>
      <c r="CB13" s="154">
        <v>0.91431835033642006</v>
      </c>
      <c r="CC13" s="154">
        <v>0.91912622877840122</v>
      </c>
      <c r="CD13" s="154">
        <v>0.92383632728958009</v>
      </c>
      <c r="CE13" s="154">
        <v>0.92842667044954985</v>
      </c>
      <c r="CF13" s="154">
        <v>0.93288009377696834</v>
      </c>
      <c r="CG13" s="154">
        <v>0.93718821303854483</v>
      </c>
      <c r="CH13" s="154">
        <v>0.94133431954382196</v>
      </c>
      <c r="CI13" s="154">
        <v>0.94530324528492715</v>
      </c>
      <c r="CJ13" s="154">
        <v>0.94909418734970474</v>
      </c>
      <c r="CK13" s="154">
        <v>0.95272288454127008</v>
      </c>
      <c r="CL13" s="154">
        <v>0.95620566876795388</v>
      </c>
      <c r="CM13" s="154">
        <v>0.95954576613327314</v>
      </c>
      <c r="CN13" s="255">
        <v>1.034</v>
      </c>
      <c r="CO13" s="255">
        <v>1.0377000000000001</v>
      </c>
      <c r="CP13" s="255">
        <v>1.0410999999999999</v>
      </c>
      <c r="CQ13" s="255">
        <v>1.0443</v>
      </c>
      <c r="CR13" s="255">
        <v>1.0472999999999999</v>
      </c>
      <c r="CS13" s="255">
        <v>1.05</v>
      </c>
      <c r="CT13" s="255">
        <v>1.0526</v>
      </c>
      <c r="CU13" s="255">
        <v>1.0549999999999999</v>
      </c>
      <c r="CV13" s="255">
        <v>1.0572999999999999</v>
      </c>
      <c r="CW13" s="256">
        <v>1.0592999999999999</v>
      </c>
      <c r="CX13" s="61"/>
      <c r="CY13" s="149">
        <v>2.5000000000000001E-2</v>
      </c>
      <c r="CZ13">
        <v>20</v>
      </c>
      <c r="DB13" s="183" t="s">
        <v>389</v>
      </c>
      <c r="DD13" s="183" t="s">
        <v>295</v>
      </c>
      <c r="DE13" s="183"/>
      <c r="DF13" s="111" t="s">
        <v>384</v>
      </c>
      <c r="DG13" s="41">
        <v>1.11E-2</v>
      </c>
      <c r="DH13" s="89" t="s">
        <v>204</v>
      </c>
      <c r="DI13" s="111" t="s">
        <v>335</v>
      </c>
      <c r="DP13" s="45"/>
      <c r="DW13" s="92">
        <v>1917</v>
      </c>
      <c r="DX13" s="16">
        <v>9300</v>
      </c>
      <c r="DY13" s="46">
        <v>9300</v>
      </c>
      <c r="DZ13" s="46">
        <v>9300</v>
      </c>
      <c r="EA13" s="46">
        <v>9300</v>
      </c>
      <c r="EB13" s="46">
        <v>9300</v>
      </c>
      <c r="EC13" s="46">
        <v>9300</v>
      </c>
      <c r="ED13" s="46">
        <v>9300</v>
      </c>
      <c r="EE13" s="46">
        <v>9300</v>
      </c>
      <c r="EF13" s="46">
        <v>9300</v>
      </c>
      <c r="EG13" s="46">
        <v>9300</v>
      </c>
      <c r="EH13" s="46">
        <v>9300</v>
      </c>
      <c r="EI13" s="46">
        <v>9300</v>
      </c>
      <c r="EJ13" s="46">
        <v>9300</v>
      </c>
      <c r="EK13" s="206">
        <v>9300</v>
      </c>
      <c r="EN13" s="42">
        <v>1917</v>
      </c>
      <c r="EO13" s="105">
        <v>11004</v>
      </c>
      <c r="EP13" s="126"/>
      <c r="EQ13" s="148"/>
      <c r="ER13" s="126"/>
      <c r="ES13" s="126"/>
      <c r="ET13" s="126"/>
      <c r="EU13" s="126"/>
      <c r="EV13" s="40">
        <v>9300</v>
      </c>
      <c r="EW13" s="126">
        <v>9300</v>
      </c>
      <c r="EX13" s="200">
        <v>9300</v>
      </c>
      <c r="EY13" s="46">
        <v>9300</v>
      </c>
      <c r="EZ13" s="46">
        <v>9300</v>
      </c>
      <c r="FA13" s="46">
        <v>9300</v>
      </c>
      <c r="FB13" s="46">
        <v>9300</v>
      </c>
      <c r="FC13" s="46">
        <v>9300</v>
      </c>
      <c r="FD13" s="46">
        <v>9300</v>
      </c>
      <c r="FE13" s="46">
        <v>9300</v>
      </c>
      <c r="FF13" s="46">
        <v>9300</v>
      </c>
      <c r="FG13" s="46">
        <v>9300</v>
      </c>
      <c r="FH13" s="46">
        <v>9300</v>
      </c>
      <c r="FI13" s="46">
        <v>9300</v>
      </c>
      <c r="FJ13" s="46">
        <v>9300</v>
      </c>
      <c r="FK13" s="206">
        <v>9300</v>
      </c>
    </row>
    <row r="14" spans="1:167" ht="15.75" x14ac:dyDescent="0.25">
      <c r="A14" s="19">
        <v>56</v>
      </c>
      <c r="B14" s="121">
        <v>0.49</v>
      </c>
      <c r="C14" s="61"/>
      <c r="D14" s="207">
        <v>9</v>
      </c>
      <c r="E14" s="125">
        <v>1.075</v>
      </c>
      <c r="F14" s="61"/>
      <c r="G14" s="174">
        <v>5</v>
      </c>
      <c r="H14" s="150">
        <v>1</v>
      </c>
      <c r="I14" s="61"/>
      <c r="J14" s="19">
        <v>10</v>
      </c>
      <c r="K14" s="121">
        <v>0.94444444444444464</v>
      </c>
      <c r="L14" s="61"/>
      <c r="M14" s="294">
        <v>10</v>
      </c>
      <c r="N14" s="121">
        <v>1.1003239430451182</v>
      </c>
      <c r="O14" s="61"/>
      <c r="P14" s="129">
        <v>64</v>
      </c>
      <c r="Q14" s="154">
        <v>0.74088879415116249</v>
      </c>
      <c r="R14" s="154">
        <v>0.74135087196905169</v>
      </c>
      <c r="S14" s="154">
        <v>0.74183829399590628</v>
      </c>
      <c r="T14" s="154">
        <v>0.74235239303072531</v>
      </c>
      <c r="U14" s="154">
        <v>0.74289458003115905</v>
      </c>
      <c r="V14" s="154">
        <v>0.74337934734017541</v>
      </c>
      <c r="W14" s="154">
        <v>0.74390187665671703</v>
      </c>
      <c r="X14" s="154">
        <v>0.74446198845419798</v>
      </c>
      <c r="Y14" s="154">
        <v>0.74505979727890193</v>
      </c>
      <c r="Z14" s="154">
        <v>0.74569591126792989</v>
      </c>
      <c r="AA14" s="154">
        <v>0.74637181789073259</v>
      </c>
      <c r="AB14" s="154">
        <v>0.74708875056304169</v>
      </c>
      <c r="AC14" s="154">
        <v>0.74784902100734163</v>
      </c>
      <c r="AD14" s="154">
        <v>0.74865526189283393</v>
      </c>
      <c r="AE14" s="154">
        <v>0.74951005255390613</v>
      </c>
      <c r="AF14" s="154">
        <v>0.75041592448708561</v>
      </c>
      <c r="AG14" s="154">
        <v>0.75137592785714324</v>
      </c>
      <c r="AH14" s="154">
        <v>0.75239288271003657</v>
      </c>
      <c r="AI14" s="154">
        <v>0.75346994342693119</v>
      </c>
      <c r="AJ14" s="154">
        <v>0.75461041120506045</v>
      </c>
      <c r="AK14" s="154">
        <v>0.75581754863237571</v>
      </c>
      <c r="AL14" s="154">
        <v>0.75709476556730815</v>
      </c>
      <c r="AM14" s="154">
        <v>0.75844543363872041</v>
      </c>
      <c r="AN14" s="154">
        <v>0.75987361736226222</v>
      </c>
      <c r="AO14" s="154">
        <v>0.76138296624195334</v>
      </c>
      <c r="AP14" s="154">
        <v>0.76297726360592533</v>
      </c>
      <c r="AQ14" s="154">
        <v>0.76466042011518776</v>
      </c>
      <c r="AR14" s="154">
        <v>0.76643646575266933</v>
      </c>
      <c r="AS14" s="154">
        <v>0.76830936195352839</v>
      </c>
      <c r="AT14" s="154">
        <v>0.77028334992120817</v>
      </c>
      <c r="AU14" s="154">
        <v>0.77236240347751506</v>
      </c>
      <c r="AV14" s="154">
        <v>0.77455057410739614</v>
      </c>
      <c r="AW14" s="154">
        <v>0.77685197204932988</v>
      </c>
      <c r="AX14" s="154">
        <v>0.77927057085835472</v>
      </c>
      <c r="AY14" s="154">
        <v>0.7818103578397646</v>
      </c>
      <c r="AZ14" s="154">
        <v>0.78447496384671345</v>
      </c>
      <c r="BA14" s="154">
        <v>0.78726831392934182</v>
      </c>
      <c r="BB14" s="154">
        <v>0.79019373896958489</v>
      </c>
      <c r="BC14" s="154">
        <v>0.79325411813079771</v>
      </c>
      <c r="BD14" s="154">
        <v>0.79645233315332198</v>
      </c>
      <c r="BE14" s="154">
        <v>0.79979071975227889</v>
      </c>
      <c r="BF14" s="154">
        <v>0.80326817363632641</v>
      </c>
      <c r="BG14" s="154">
        <v>0.80687984293646642</v>
      </c>
      <c r="BH14" s="154">
        <v>0.81062182612597067</v>
      </c>
      <c r="BI14" s="154">
        <v>0.81449018155687913</v>
      </c>
      <c r="BJ14" s="154">
        <v>0.81848165339883427</v>
      </c>
      <c r="BK14" s="154">
        <v>0.82259299599405467</v>
      </c>
      <c r="BL14" s="154">
        <v>0.82682121362205907</v>
      </c>
      <c r="BM14" s="154">
        <v>0.83116333625793382</v>
      </c>
      <c r="BN14" s="154">
        <v>0.83561606445654202</v>
      </c>
      <c r="BO14" s="154">
        <v>0.84017638891872759</v>
      </c>
      <c r="BP14" s="154">
        <v>0.84484026394474121</v>
      </c>
      <c r="BQ14" s="154">
        <v>0.84960389343992959</v>
      </c>
      <c r="BR14" s="154">
        <v>0.85446243552432166</v>
      </c>
      <c r="BS14" s="154">
        <v>0.85941058897991751</v>
      </c>
      <c r="BT14" s="154">
        <v>0.8644420062910918</v>
      </c>
      <c r="BU14" s="154">
        <v>0.86954993294596594</v>
      </c>
      <c r="BV14" s="154">
        <v>0.87472615509897611</v>
      </c>
      <c r="BW14" s="154">
        <v>0.87995724430940714</v>
      </c>
      <c r="BX14" s="154">
        <v>0.8852177683792245</v>
      </c>
      <c r="BY14" s="154">
        <v>0.89048616148440207</v>
      </c>
      <c r="BZ14" s="154">
        <v>0.89574518072817555</v>
      </c>
      <c r="CA14" s="154">
        <v>0.90098035856741809</v>
      </c>
      <c r="CB14" s="154">
        <v>0.90617527895118721</v>
      </c>
      <c r="CC14" s="154">
        <v>0.91130634285504775</v>
      </c>
      <c r="CD14" s="154">
        <v>0.91634590380021863</v>
      </c>
      <c r="CE14" s="154">
        <v>0.92126965419911255</v>
      </c>
      <c r="CF14" s="154">
        <v>0.92605833739802723</v>
      </c>
      <c r="CG14" s="154">
        <v>0.93070215230068909</v>
      </c>
      <c r="CH14" s="154">
        <v>0.93518206738710796</v>
      </c>
      <c r="CI14" s="154">
        <v>0.93948058579170357</v>
      </c>
      <c r="CJ14" s="154">
        <v>0.94359589281541401</v>
      </c>
      <c r="CK14" s="154">
        <v>0.94754439907907972</v>
      </c>
      <c r="CL14" s="154">
        <v>0.95134326085302345</v>
      </c>
      <c r="CM14" s="154">
        <v>0.95499520616534828</v>
      </c>
      <c r="CN14" s="255">
        <v>1.0382</v>
      </c>
      <c r="CO14" s="255">
        <v>1.0421</v>
      </c>
      <c r="CP14" s="255">
        <v>1.0459000000000001</v>
      </c>
      <c r="CQ14" s="255">
        <v>1.0494000000000001</v>
      </c>
      <c r="CR14" s="255">
        <v>1.0527</v>
      </c>
      <c r="CS14" s="255">
        <v>1.0558000000000001</v>
      </c>
      <c r="CT14" s="255">
        <v>1.0587</v>
      </c>
      <c r="CU14" s="255">
        <v>1.0613999999999999</v>
      </c>
      <c r="CV14" s="255">
        <v>1.0638000000000001</v>
      </c>
      <c r="CW14" s="256">
        <v>1.0661</v>
      </c>
      <c r="CX14" s="61"/>
      <c r="CY14" s="149">
        <v>3.2000000000000001E-2</v>
      </c>
      <c r="CZ14">
        <v>999</v>
      </c>
      <c r="DB14" s="173">
        <v>4789.7700000000004</v>
      </c>
      <c r="DH14" s="65"/>
      <c r="DK14" t="s">
        <v>124</v>
      </c>
      <c r="DL14" t="s">
        <v>178</v>
      </c>
      <c r="DM14" s="75">
        <v>0</v>
      </c>
      <c r="DN14" t="s">
        <v>417</v>
      </c>
      <c r="DO14" s="272">
        <v>0</v>
      </c>
      <c r="DP14" s="272">
        <v>0</v>
      </c>
      <c r="DQ14" s="45">
        <v>0</v>
      </c>
      <c r="DS14" s="75"/>
      <c r="DW14" s="92">
        <v>1918</v>
      </c>
      <c r="DX14" s="16">
        <v>10236</v>
      </c>
      <c r="DY14" s="46">
        <v>10236</v>
      </c>
      <c r="DZ14" s="46">
        <v>10236</v>
      </c>
      <c r="EA14" s="46">
        <v>10236</v>
      </c>
      <c r="EB14" s="46">
        <v>10236</v>
      </c>
      <c r="EC14" s="46">
        <v>10236</v>
      </c>
      <c r="ED14" s="46">
        <v>10236</v>
      </c>
      <c r="EE14" s="46">
        <v>10236</v>
      </c>
      <c r="EF14" s="46">
        <v>10236</v>
      </c>
      <c r="EG14" s="46">
        <v>10236</v>
      </c>
      <c r="EH14" s="46">
        <v>10236</v>
      </c>
      <c r="EI14" s="46">
        <v>10236</v>
      </c>
      <c r="EJ14" s="46">
        <v>10236</v>
      </c>
      <c r="EK14" s="206">
        <v>10236</v>
      </c>
      <c r="EN14" s="42">
        <v>1918</v>
      </c>
      <c r="EO14" s="105">
        <v>11892</v>
      </c>
      <c r="EP14" s="126">
        <v>11892</v>
      </c>
      <c r="EQ14" s="148"/>
      <c r="ER14" s="126"/>
      <c r="ES14" s="126"/>
      <c r="ET14" s="126"/>
      <c r="EU14" s="126"/>
      <c r="EV14" s="40">
        <v>10236</v>
      </c>
      <c r="EW14" s="126">
        <v>10236</v>
      </c>
      <c r="EX14" s="200">
        <v>10236</v>
      </c>
      <c r="EY14" s="46">
        <v>10236</v>
      </c>
      <c r="EZ14" s="46">
        <v>10236</v>
      </c>
      <c r="FA14" s="46">
        <v>10236</v>
      </c>
      <c r="FB14" s="46">
        <v>10236</v>
      </c>
      <c r="FC14" s="46">
        <v>10236</v>
      </c>
      <c r="FD14" s="46">
        <v>10236</v>
      </c>
      <c r="FE14" s="46">
        <v>10236</v>
      </c>
      <c r="FF14" s="46">
        <v>10236</v>
      </c>
      <c r="FG14" s="46">
        <v>10236</v>
      </c>
      <c r="FH14" s="46">
        <v>10236</v>
      </c>
      <c r="FI14" s="46">
        <v>10236</v>
      </c>
      <c r="FJ14" s="46">
        <v>10236</v>
      </c>
      <c r="FK14" s="206">
        <v>10236</v>
      </c>
    </row>
    <row r="15" spans="1:167" ht="15.75" x14ac:dyDescent="0.25">
      <c r="A15" s="163">
        <v>55</v>
      </c>
      <c r="B15" s="121">
        <v>0.45</v>
      </c>
      <c r="C15" s="61"/>
      <c r="D15" s="207">
        <v>10</v>
      </c>
      <c r="E15" s="125">
        <v>1.0832999999999999</v>
      </c>
      <c r="F15" s="61"/>
      <c r="G15" s="174">
        <v>5</v>
      </c>
      <c r="H15" s="150">
        <v>1</v>
      </c>
      <c r="I15" s="61"/>
      <c r="J15" s="19">
        <v>11</v>
      </c>
      <c r="K15" s="121">
        <v>0.93888888888888911</v>
      </c>
      <c r="L15" s="61"/>
      <c r="M15" s="294">
        <v>11</v>
      </c>
      <c r="N15" s="121">
        <v>1.1103563373496297</v>
      </c>
      <c r="O15" s="61"/>
      <c r="P15" s="129">
        <v>65</v>
      </c>
      <c r="Q15" s="154">
        <v>0.72786182841307223</v>
      </c>
      <c r="R15" s="154">
        <v>0.72832399227619304</v>
      </c>
      <c r="S15" s="154">
        <v>0.72881149602438988</v>
      </c>
      <c r="T15" s="154">
        <v>0.72932565763470647</v>
      </c>
      <c r="U15" s="154">
        <v>0.72986787315974455</v>
      </c>
      <c r="V15" s="154">
        <v>0.7303498052561469</v>
      </c>
      <c r="W15" s="154">
        <v>0.73086964726873715</v>
      </c>
      <c r="X15" s="154">
        <v>0.73142716371631711</v>
      </c>
      <c r="Y15" s="154">
        <v>0.73202241966268888</v>
      </c>
      <c r="Z15" s="154">
        <v>0.73265598732737447</v>
      </c>
      <c r="AA15" s="154">
        <v>0.73332934530517002</v>
      </c>
      <c r="AB15" s="154">
        <v>0.73404370855869117</v>
      </c>
      <c r="AC15" s="154">
        <v>0.7348014055366362</v>
      </c>
      <c r="AD15" s="154">
        <v>0.73560509674333818</v>
      </c>
      <c r="AE15" s="154">
        <v>0.73645738864859656</v>
      </c>
      <c r="AF15" s="154">
        <v>0.73736083996346857</v>
      </c>
      <c r="AG15" s="154">
        <v>0.7383185482408956</v>
      </c>
      <c r="AH15" s="154">
        <v>0.73933337664714094</v>
      </c>
      <c r="AI15" s="154">
        <v>0.7404085386608471</v>
      </c>
      <c r="AJ15" s="154">
        <v>0.74154740536220753</v>
      </c>
      <c r="AK15" s="154">
        <v>0.74275331468243777</v>
      </c>
      <c r="AL15" s="154">
        <v>0.74402976494047934</v>
      </c>
      <c r="AM15" s="154">
        <v>0.74538022399361115</v>
      </c>
      <c r="AN15" s="154">
        <v>0.74680888792530065</v>
      </c>
      <c r="AO15" s="154">
        <v>0.7483195347902647</v>
      </c>
      <c r="AP15" s="154">
        <v>0.74991609415582516</v>
      </c>
      <c r="AQ15" s="154">
        <v>0.75160264171816138</v>
      </c>
      <c r="AR15" s="154">
        <v>0.75338339241941432</v>
      </c>
      <c r="AS15" s="154">
        <v>0.75526250691222685</v>
      </c>
      <c r="AT15" s="154">
        <v>0.75724445474035207</v>
      </c>
      <c r="AU15" s="154">
        <v>0.75933344825574856</v>
      </c>
      <c r="AV15" s="154">
        <v>0.76153380335359966</v>
      </c>
      <c r="AW15" s="154">
        <v>0.76384992306003963</v>
      </c>
      <c r="AX15" s="154">
        <v>0.76628609761202948</v>
      </c>
      <c r="AY15" s="154">
        <v>0.76884666433032822</v>
      </c>
      <c r="AZ15" s="154">
        <v>0.77153562534118558</v>
      </c>
      <c r="BA15" s="154">
        <v>0.77435732899565779</v>
      </c>
      <c r="BB15" s="154">
        <v>0.77731554764241839</v>
      </c>
      <c r="BC15" s="154">
        <v>0.78041362877617826</v>
      </c>
      <c r="BD15" s="154">
        <v>0.78365497293166464</v>
      </c>
      <c r="BE15" s="154">
        <v>0.7870424639917154</v>
      </c>
      <c r="BF15" s="154">
        <v>0.79057543931793217</v>
      </c>
      <c r="BG15" s="154">
        <v>0.79424935485387183</v>
      </c>
      <c r="BH15" s="154">
        <v>0.7980607007521886</v>
      </c>
      <c r="BI15" s="154">
        <v>0.80200596678910507</v>
      </c>
      <c r="BJ15" s="154">
        <v>0.80608240668461251</v>
      </c>
      <c r="BK15" s="154">
        <v>0.81028733059965008</v>
      </c>
      <c r="BL15" s="154">
        <v>0.8146183582643366</v>
      </c>
      <c r="BM15" s="154">
        <v>0.81907318417708874</v>
      </c>
      <c r="BN15" s="154">
        <v>0.8236492022350721</v>
      </c>
      <c r="BO15" s="154">
        <v>0.82834415794571237</v>
      </c>
      <c r="BP15" s="154">
        <v>0.83315474016297209</v>
      </c>
      <c r="BQ15" s="154">
        <v>0.83807793372807837</v>
      </c>
      <c r="BR15" s="154">
        <v>0.84310963753886936</v>
      </c>
      <c r="BS15" s="154">
        <v>0.84824527534196981</v>
      </c>
      <c r="BT15" s="154">
        <v>0.85347916090185583</v>
      </c>
      <c r="BU15" s="154">
        <v>0.85880516675756313</v>
      </c>
      <c r="BV15" s="154">
        <v>0.86421558526614939</v>
      </c>
      <c r="BW15" s="154">
        <v>0.8696970756315221</v>
      </c>
      <c r="BX15" s="154">
        <v>0.87522330389904945</v>
      </c>
      <c r="BY15" s="154">
        <v>0.88077189777304721</v>
      </c>
      <c r="BZ15" s="154">
        <v>0.88632495650661047</v>
      </c>
      <c r="CA15" s="154">
        <v>0.89186739842216256</v>
      </c>
      <c r="CB15" s="154">
        <v>0.89738185091734324</v>
      </c>
      <c r="CC15" s="154">
        <v>0.90284293365810964</v>
      </c>
      <c r="CD15" s="154">
        <v>0.9082205906835058</v>
      </c>
      <c r="CE15" s="154">
        <v>0.9134881099581359</v>
      </c>
      <c r="CF15" s="154">
        <v>0.91862404644546802</v>
      </c>
      <c r="CG15" s="154">
        <v>0.92361710735491098</v>
      </c>
      <c r="CH15" s="154">
        <v>0.92844577812063311</v>
      </c>
      <c r="CI15" s="154">
        <v>0.93309004802642614</v>
      </c>
      <c r="CJ15" s="154">
        <v>0.93754699362208671</v>
      </c>
      <c r="CK15" s="154">
        <v>0.941833742847762</v>
      </c>
      <c r="CL15" s="154">
        <v>0.94596834874805769</v>
      </c>
      <c r="CM15" s="154">
        <v>0.94995299703313607</v>
      </c>
      <c r="CN15" s="255">
        <v>1.0427</v>
      </c>
      <c r="CO15" s="255">
        <v>1.0470999999999999</v>
      </c>
      <c r="CP15" s="255">
        <v>1.0511999999999999</v>
      </c>
      <c r="CQ15" s="255">
        <v>1.0550999999999999</v>
      </c>
      <c r="CR15" s="255">
        <v>1.0588</v>
      </c>
      <c r="CS15" s="255">
        <v>1.0622</v>
      </c>
      <c r="CT15" s="255">
        <v>1.0653999999999999</v>
      </c>
      <c r="CU15" s="255">
        <v>1.0683</v>
      </c>
      <c r="CV15" s="255">
        <v>1.0710999999999999</v>
      </c>
      <c r="CW15" s="256">
        <v>1.0736000000000001</v>
      </c>
      <c r="CX15" s="61"/>
      <c r="CY15" s="149"/>
      <c r="DB15" s="78"/>
      <c r="DD15" t="s">
        <v>400</v>
      </c>
      <c r="DH15" s="65"/>
      <c r="DL15" t="s">
        <v>142</v>
      </c>
      <c r="DM15" s="75">
        <v>0</v>
      </c>
      <c r="DN15" t="s">
        <v>417</v>
      </c>
      <c r="DO15" s="272">
        <v>0</v>
      </c>
      <c r="DP15" s="272">
        <v>0</v>
      </c>
      <c r="DQ15" s="45">
        <v>0</v>
      </c>
      <c r="DS15" s="75"/>
      <c r="DW15" s="92">
        <v>1919</v>
      </c>
      <c r="DX15" s="16">
        <v>11232</v>
      </c>
      <c r="DY15" s="46">
        <v>11232</v>
      </c>
      <c r="DZ15" s="46">
        <v>11232</v>
      </c>
      <c r="EA15" s="46">
        <v>11232</v>
      </c>
      <c r="EB15" s="46">
        <v>11232</v>
      </c>
      <c r="EC15" s="46">
        <v>11232</v>
      </c>
      <c r="ED15" s="46">
        <v>11232</v>
      </c>
      <c r="EE15" s="46">
        <v>11232</v>
      </c>
      <c r="EF15" s="46">
        <v>11232</v>
      </c>
      <c r="EG15" s="46">
        <v>11232</v>
      </c>
      <c r="EH15" s="46">
        <v>11232</v>
      </c>
      <c r="EI15" s="46">
        <v>11232</v>
      </c>
      <c r="EJ15" s="46">
        <v>11232</v>
      </c>
      <c r="EK15" s="206">
        <v>11232</v>
      </c>
      <c r="EN15" s="42">
        <v>1919</v>
      </c>
      <c r="EO15" s="105">
        <v>12708</v>
      </c>
      <c r="EP15" s="126">
        <v>12840</v>
      </c>
      <c r="EQ15" s="148">
        <v>12640</v>
      </c>
      <c r="ER15" s="126"/>
      <c r="ES15" s="126"/>
      <c r="ET15" s="126"/>
      <c r="EU15" s="126"/>
      <c r="EV15" s="40">
        <v>11232</v>
      </c>
      <c r="EW15" s="126">
        <v>11232</v>
      </c>
      <c r="EX15" s="200">
        <v>11232</v>
      </c>
      <c r="EY15" s="46">
        <v>11232</v>
      </c>
      <c r="EZ15" s="46">
        <v>11232</v>
      </c>
      <c r="FA15" s="46">
        <v>11232</v>
      </c>
      <c r="FB15" s="46">
        <v>11232</v>
      </c>
      <c r="FC15" s="46">
        <v>11232</v>
      </c>
      <c r="FD15" s="46">
        <v>11232</v>
      </c>
      <c r="FE15" s="46">
        <v>11232</v>
      </c>
      <c r="FF15" s="46">
        <v>11232</v>
      </c>
      <c r="FG15" s="46">
        <v>11232</v>
      </c>
      <c r="FH15" s="46">
        <v>11232</v>
      </c>
      <c r="FI15" s="46">
        <v>11232</v>
      </c>
      <c r="FJ15" s="46">
        <v>11232</v>
      </c>
      <c r="FK15" s="206">
        <v>11232</v>
      </c>
    </row>
    <row r="16" spans="1:167" ht="15.75" x14ac:dyDescent="0.25">
      <c r="A16" s="19">
        <v>54</v>
      </c>
      <c r="B16" s="121">
        <v>0.43</v>
      </c>
      <c r="C16" s="61"/>
      <c r="D16" s="207">
        <v>11</v>
      </c>
      <c r="E16" s="125">
        <v>1.0916999999999999</v>
      </c>
      <c r="F16" s="61"/>
      <c r="G16" s="174">
        <v>5</v>
      </c>
      <c r="H16" s="150">
        <v>1</v>
      </c>
      <c r="I16" s="61"/>
      <c r="J16" s="19">
        <v>12</v>
      </c>
      <c r="K16" s="121">
        <v>0.93333333333333357</v>
      </c>
      <c r="L16" s="61"/>
      <c r="M16" s="294">
        <v>12</v>
      </c>
      <c r="N16" s="121">
        <v>1.1203887316541417</v>
      </c>
      <c r="O16" s="61"/>
      <c r="P16" s="129">
        <v>66</v>
      </c>
      <c r="Q16" s="154">
        <v>0.71442484859106259</v>
      </c>
      <c r="R16" s="154">
        <v>0.71488671715947671</v>
      </c>
      <c r="S16" s="154">
        <v>0.71537390296016035</v>
      </c>
      <c r="T16" s="154">
        <v>0.71588770684645486</v>
      </c>
      <c r="U16" s="154">
        <v>0.71642950589546861</v>
      </c>
      <c r="V16" s="154">
        <v>0.71690820114495746</v>
      </c>
      <c r="W16" s="154">
        <v>0.71742491679920894</v>
      </c>
      <c r="X16" s="154">
        <v>0.71797936080284042</v>
      </c>
      <c r="Y16" s="154">
        <v>0.71857154749847862</v>
      </c>
      <c r="Z16" s="154">
        <v>0.71920201118704963</v>
      </c>
      <c r="AA16" s="154">
        <v>0.71987221848293792</v>
      </c>
      <c r="AB16" s="154">
        <v>0.72058336261075984</v>
      </c>
      <c r="AC16" s="154">
        <v>0.72133778419194294</v>
      </c>
      <c r="AD16" s="154">
        <v>0.72213816633174999</v>
      </c>
      <c r="AE16" s="154">
        <v>0.72298713696788408</v>
      </c>
      <c r="AF16" s="154">
        <v>0.72388727590180657</v>
      </c>
      <c r="AG16" s="154">
        <v>0.72484172100776267</v>
      </c>
      <c r="AH16" s="154">
        <v>0.72585337116061543</v>
      </c>
      <c r="AI16" s="154">
        <v>0.72692549073837931</v>
      </c>
      <c r="AJ16" s="154">
        <v>0.7280615118946383</v>
      </c>
      <c r="AK16" s="154">
        <v>0.72926483866428826</v>
      </c>
      <c r="AL16" s="154">
        <v>0.73053904805898429</v>
      </c>
      <c r="AM16" s="154">
        <v>0.73188769411782473</v>
      </c>
      <c r="AN16" s="154">
        <v>0.73331509371191683</v>
      </c>
      <c r="AO16" s="154">
        <v>0.73482514289871392</v>
      </c>
      <c r="AP16" s="154">
        <v>0.73642190685630626</v>
      </c>
      <c r="AQ16" s="154">
        <v>0.73810961572978961</v>
      </c>
      <c r="AR16" s="154">
        <v>0.73989265892584599</v>
      </c>
      <c r="AS16" s="154">
        <v>0.74177538606713367</v>
      </c>
      <c r="AT16" s="154">
        <v>0.74376248474693485</v>
      </c>
      <c r="AU16" s="154">
        <v>0.74585839561084644</v>
      </c>
      <c r="AV16" s="154">
        <v>0.74806768815861313</v>
      </c>
      <c r="AW16" s="154">
        <v>0.75039504669547241</v>
      </c>
      <c r="AX16" s="154">
        <v>0.75284506611303892</v>
      </c>
      <c r="AY16" s="154">
        <v>0.75542242137662452</v>
      </c>
      <c r="AZ16" s="154">
        <v>0.75813147377786216</v>
      </c>
      <c r="BA16" s="154">
        <v>0.76097698304062933</v>
      </c>
      <c r="BB16" s="154">
        <v>0.76396315186071007</v>
      </c>
      <c r="BC16" s="154">
        <v>0.76709378587930632</v>
      </c>
      <c r="BD16" s="154">
        <v>0.77037279548140913</v>
      </c>
      <c r="BE16" s="154">
        <v>0.77380360602692222</v>
      </c>
      <c r="BF16" s="154">
        <v>0.77738599347782344</v>
      </c>
      <c r="BG16" s="154">
        <v>0.78111572221184566</v>
      </c>
      <c r="BH16" s="154">
        <v>0.78498967786738494</v>
      </c>
      <c r="BI16" s="154">
        <v>0.78900479065411422</v>
      </c>
      <c r="BJ16" s="154">
        <v>0.79315883941224952</v>
      </c>
      <c r="BK16" s="154">
        <v>0.79744971377970375</v>
      </c>
      <c r="BL16" s="154">
        <v>0.80187568151277355</v>
      </c>
      <c r="BM16" s="154">
        <v>0.80643514371432135</v>
      </c>
      <c r="BN16" s="154">
        <v>0.81112624030843927</v>
      </c>
      <c r="BO16" s="154">
        <v>0.81594753720287772</v>
      </c>
      <c r="BP16" s="154">
        <v>0.8208965380196791</v>
      </c>
      <c r="BQ16" s="154">
        <v>0.82597110539433516</v>
      </c>
      <c r="BR16" s="154">
        <v>0.83116799164445121</v>
      </c>
      <c r="BS16" s="154">
        <v>0.83648347276022739</v>
      </c>
      <c r="BT16" s="154">
        <v>0.8419126628442456</v>
      </c>
      <c r="BU16" s="154">
        <v>0.84745021256061548</v>
      </c>
      <c r="BV16" s="154">
        <v>0.85308908268195383</v>
      </c>
      <c r="BW16" s="154">
        <v>0.85881618362767731</v>
      </c>
      <c r="BX16" s="154">
        <v>0.86460441968731039</v>
      </c>
      <c r="BY16" s="154">
        <v>0.87043075499005451</v>
      </c>
      <c r="BZ16" s="154">
        <v>0.87627678312498969</v>
      </c>
      <c r="CA16" s="154">
        <v>0.8821269690024629</v>
      </c>
      <c r="CB16" s="154">
        <v>0.88796313198703491</v>
      </c>
      <c r="CC16" s="154">
        <v>0.89375820828296948</v>
      </c>
      <c r="CD16" s="154">
        <v>0.89947976262967155</v>
      </c>
      <c r="CE16" s="154">
        <v>0.90509865467790174</v>
      </c>
      <c r="CF16" s="154">
        <v>0.91059118822935081</v>
      </c>
      <c r="CG16" s="154">
        <v>0.91594452128969517</v>
      </c>
      <c r="CH16" s="154">
        <v>0.92113451044622896</v>
      </c>
      <c r="CI16" s="154">
        <v>0.92613845714478615</v>
      </c>
      <c r="CJ16" s="154">
        <v>0.93095223787401316</v>
      </c>
      <c r="CK16" s="154">
        <v>0.93559374362866754</v>
      </c>
      <c r="CL16" s="154">
        <v>0.94008199812183824</v>
      </c>
      <c r="CM16" s="154">
        <v>0.94441860713881276</v>
      </c>
      <c r="CN16" s="255">
        <v>1.0477000000000001</v>
      </c>
      <c r="CO16" s="255">
        <v>1.0525</v>
      </c>
      <c r="CP16" s="255">
        <v>1.0569999999999999</v>
      </c>
      <c r="CQ16" s="255">
        <v>1.0612999999999999</v>
      </c>
      <c r="CR16" s="255">
        <v>1.0653999999999999</v>
      </c>
      <c r="CS16" s="255">
        <v>1.0691999999999999</v>
      </c>
      <c r="CT16" s="255">
        <v>1.0727</v>
      </c>
      <c r="CU16" s="255">
        <v>1.0760000000000001</v>
      </c>
      <c r="CV16" s="255">
        <v>1.079</v>
      </c>
      <c r="CW16" s="256">
        <v>1.0819000000000001</v>
      </c>
      <c r="CX16" s="61"/>
      <c r="CY16" s="149"/>
      <c r="DB16" s="78"/>
      <c r="DD16" s="75" t="s">
        <v>487</v>
      </c>
      <c r="DH16" s="65"/>
      <c r="DL16" t="s">
        <v>136</v>
      </c>
      <c r="DM16">
        <v>0</v>
      </c>
      <c r="DN16" t="s">
        <v>417</v>
      </c>
      <c r="DO16" s="45">
        <v>0</v>
      </c>
      <c r="DP16" s="45">
        <v>0</v>
      </c>
      <c r="DQ16" s="45">
        <v>0</v>
      </c>
      <c r="DW16" s="92">
        <v>1920</v>
      </c>
      <c r="DX16" s="16">
        <v>12276</v>
      </c>
      <c r="DY16" s="46">
        <v>12276</v>
      </c>
      <c r="DZ16" s="46">
        <v>12276</v>
      </c>
      <c r="EA16" s="46">
        <v>12276</v>
      </c>
      <c r="EB16" s="46">
        <v>12276</v>
      </c>
      <c r="EC16" s="46">
        <v>12276</v>
      </c>
      <c r="ED16" s="46">
        <v>12276</v>
      </c>
      <c r="EE16" s="46">
        <v>12276</v>
      </c>
      <c r="EF16" s="46">
        <v>12276</v>
      </c>
      <c r="EG16" s="46">
        <v>12276</v>
      </c>
      <c r="EH16" s="46">
        <v>12276</v>
      </c>
      <c r="EI16" s="46">
        <v>12276</v>
      </c>
      <c r="EJ16" s="46">
        <v>12276</v>
      </c>
      <c r="EK16" s="206">
        <v>12276</v>
      </c>
      <c r="EN16" s="42">
        <v>1920</v>
      </c>
      <c r="EO16" s="105">
        <v>13464</v>
      </c>
      <c r="EP16" s="126">
        <v>13716</v>
      </c>
      <c r="EQ16" s="148">
        <v>13800</v>
      </c>
      <c r="ER16" s="126">
        <v>13800</v>
      </c>
      <c r="ES16" s="126"/>
      <c r="ET16" s="126"/>
      <c r="EU16" s="126"/>
      <c r="EV16" s="40">
        <v>12276</v>
      </c>
      <c r="EW16" s="126">
        <v>12276</v>
      </c>
      <c r="EX16" s="200">
        <v>12276</v>
      </c>
      <c r="EY16" s="46">
        <v>12276</v>
      </c>
      <c r="EZ16" s="46">
        <v>12276</v>
      </c>
      <c r="FA16" s="46">
        <v>12276</v>
      </c>
      <c r="FB16" s="46">
        <v>12276</v>
      </c>
      <c r="FC16" s="46">
        <v>12276</v>
      </c>
      <c r="FD16" s="46">
        <v>12276</v>
      </c>
      <c r="FE16" s="46">
        <v>12276</v>
      </c>
      <c r="FF16" s="46">
        <v>12276</v>
      </c>
      <c r="FG16" s="46">
        <v>12276</v>
      </c>
      <c r="FH16" s="46">
        <v>12276</v>
      </c>
      <c r="FI16" s="46">
        <v>12276</v>
      </c>
      <c r="FJ16" s="46">
        <v>12276</v>
      </c>
      <c r="FK16" s="206">
        <v>12276</v>
      </c>
    </row>
    <row r="17" spans="1:167" ht="16.5" thickBot="1" x14ac:dyDescent="0.3">
      <c r="A17" s="163">
        <v>53</v>
      </c>
      <c r="B17" s="121">
        <v>0.41</v>
      </c>
      <c r="C17" s="61"/>
      <c r="D17" s="207">
        <v>12</v>
      </c>
      <c r="E17" s="125">
        <v>1.1000000000000001</v>
      </c>
      <c r="F17" s="61"/>
      <c r="G17" s="147">
        <v>5</v>
      </c>
      <c r="H17" s="104">
        <v>1</v>
      </c>
      <c r="I17" s="61"/>
      <c r="J17" s="19">
        <v>13</v>
      </c>
      <c r="K17" s="121">
        <v>0.92777777777777803</v>
      </c>
      <c r="L17" s="61"/>
      <c r="M17" s="294">
        <v>13</v>
      </c>
      <c r="N17" s="121">
        <v>1.1319896413382136</v>
      </c>
      <c r="O17" s="61"/>
      <c r="P17" s="129">
        <v>67</v>
      </c>
      <c r="Q17" s="154">
        <v>0.70064025276736197</v>
      </c>
      <c r="R17" s="154">
        <v>0.70110142781899065</v>
      </c>
      <c r="S17" s="154">
        <v>0.70158787966537328</v>
      </c>
      <c r="T17" s="154">
        <v>0.70210088778918578</v>
      </c>
      <c r="U17" s="154">
        <v>0.70264180744815341</v>
      </c>
      <c r="V17" s="154">
        <v>0.70311687317442984</v>
      </c>
      <c r="W17" s="154">
        <v>0.70363003074862907</v>
      </c>
      <c r="X17" s="154">
        <v>0.70418093159137252</v>
      </c>
      <c r="Y17" s="154">
        <v>0.7047695387191989</v>
      </c>
      <c r="Z17" s="154">
        <v>0.70539634703667642</v>
      </c>
      <c r="AA17" s="154">
        <v>0.70606280840308311</v>
      </c>
      <c r="AB17" s="154">
        <v>0.7067700914789804</v>
      </c>
      <c r="AC17" s="154">
        <v>0.70752054465298686</v>
      </c>
      <c r="AD17" s="154">
        <v>0.70831686849529296</v>
      </c>
      <c r="AE17" s="154">
        <v>0.70916170691051061</v>
      </c>
      <c r="AF17" s="154">
        <v>0.71005765485562156</v>
      </c>
      <c r="AG17" s="154">
        <v>0.71100788350148469</v>
      </c>
      <c r="AH17" s="154">
        <v>0.7120153201267464</v>
      </c>
      <c r="AI17" s="154">
        <v>0.71308327177708497</v>
      </c>
      <c r="AJ17" s="154">
        <v>0.71421522274420413</v>
      </c>
      <c r="AK17" s="154">
        <v>0.71541463375280134</v>
      </c>
      <c r="AL17" s="154">
        <v>0.71668515044151504</v>
      </c>
      <c r="AM17" s="154">
        <v>0.71803040257093442</v>
      </c>
      <c r="AN17" s="154">
        <v>0.71945481623998586</v>
      </c>
      <c r="AO17" s="154">
        <v>0.720962394178565</v>
      </c>
      <c r="AP17" s="154">
        <v>0.72255732557383279</v>
      </c>
      <c r="AQ17" s="154">
        <v>0.72424398327377393</v>
      </c>
      <c r="AR17" s="154">
        <v>0.7260269193793889</v>
      </c>
      <c r="AS17" s="154">
        <v>0.72791066091947276</v>
      </c>
      <c r="AT17" s="154">
        <v>0.72990010181028731</v>
      </c>
      <c r="AU17" s="154">
        <v>0.7319998996171494</v>
      </c>
      <c r="AV17" s="154">
        <v>0.73421486571858052</v>
      </c>
      <c r="AW17" s="154">
        <v>0.73654995321376615</v>
      </c>
      <c r="AX17" s="154">
        <v>0.73901004840931117</v>
      </c>
      <c r="AY17" s="154">
        <v>0.74160014979742062</v>
      </c>
      <c r="AZ17" s="154">
        <v>0.74432496346243571</v>
      </c>
      <c r="BA17" s="154">
        <v>0.74718964562998091</v>
      </c>
      <c r="BB17" s="154">
        <v>0.75019881508921427</v>
      </c>
      <c r="BC17" s="154">
        <v>0.75335672190973657</v>
      </c>
      <c r="BD17" s="154">
        <v>0.75666777296383947</v>
      </c>
      <c r="BE17" s="154">
        <v>0.76013592307393196</v>
      </c>
      <c r="BF17" s="154">
        <v>0.7637613790246558</v>
      </c>
      <c r="BG17" s="154">
        <v>0.76754021028235397</v>
      </c>
      <c r="BH17" s="154">
        <v>0.77146969613931426</v>
      </c>
      <c r="BI17" s="154">
        <v>0.77554720921510067</v>
      </c>
      <c r="BJ17" s="154">
        <v>0.77977106067979574</v>
      </c>
      <c r="BK17" s="154">
        <v>0.78413973411210969</v>
      </c>
      <c r="BL17" s="154">
        <v>0.78865216839668995</v>
      </c>
      <c r="BM17" s="154">
        <v>0.79330750399434391</v>
      </c>
      <c r="BN17" s="154">
        <v>0.79810466990785056</v>
      </c>
      <c r="BO17" s="154">
        <v>0.80304310698865344</v>
      </c>
      <c r="BP17" s="154">
        <v>0.80812120200186799</v>
      </c>
      <c r="BQ17" s="154">
        <v>0.81333778001731771</v>
      </c>
      <c r="BR17" s="154">
        <v>0.81869054902572558</v>
      </c>
      <c r="BS17" s="154">
        <v>0.82417675699337034</v>
      </c>
      <c r="BT17" s="154">
        <v>0.82979245348665498</v>
      </c>
      <c r="BU17" s="154">
        <v>0.83553321561509819</v>
      </c>
      <c r="BV17" s="154">
        <v>0.84139283233494977</v>
      </c>
      <c r="BW17" s="154">
        <v>0.84735863052442795</v>
      </c>
      <c r="BX17" s="154">
        <v>0.85340290429412879</v>
      </c>
      <c r="BY17" s="154">
        <v>0.85950210779660285</v>
      </c>
      <c r="BZ17" s="154">
        <v>0.86563748932214624</v>
      </c>
      <c r="CA17" s="154">
        <v>0.87179322941945181</v>
      </c>
      <c r="CB17" s="154">
        <v>0.87795050438037536</v>
      </c>
      <c r="CC17" s="154">
        <v>0.88408069724892835</v>
      </c>
      <c r="CD17" s="154">
        <v>0.89014907342190064</v>
      </c>
      <c r="CE17" s="154">
        <v>0.89612409825732808</v>
      </c>
      <c r="CF17" s="154">
        <v>0.90197981028489982</v>
      </c>
      <c r="CG17" s="154">
        <v>0.90770179019035535</v>
      </c>
      <c r="CH17" s="154">
        <v>0.91326314334692371</v>
      </c>
      <c r="CI17" s="154">
        <v>0.91863832252697941</v>
      </c>
      <c r="CJ17" s="154">
        <v>0.92382191479686515</v>
      </c>
      <c r="CK17" s="154">
        <v>0.92883261642111437</v>
      </c>
      <c r="CL17" s="154">
        <v>0.93369049642733293</v>
      </c>
      <c r="CM17" s="154">
        <v>0.93839655153349355</v>
      </c>
      <c r="CN17" s="255">
        <v>1.0531999999999999</v>
      </c>
      <c r="CO17" s="255">
        <v>1.0584</v>
      </c>
      <c r="CP17" s="255">
        <v>1.0633999999999999</v>
      </c>
      <c r="CQ17" s="255">
        <v>1.0681</v>
      </c>
      <c r="CR17" s="255">
        <v>1.0726</v>
      </c>
      <c r="CS17" s="255">
        <v>1.0768</v>
      </c>
      <c r="CT17" s="255">
        <v>1.0807</v>
      </c>
      <c r="CU17" s="255">
        <v>1.0843</v>
      </c>
      <c r="CV17" s="255">
        <v>1.0876999999999999</v>
      </c>
      <c r="CW17" s="256">
        <v>1.0909</v>
      </c>
      <c r="CX17" s="61"/>
      <c r="CY17" s="149"/>
      <c r="DB17" s="78"/>
      <c r="DH17" s="65"/>
      <c r="DL17" t="s">
        <v>347</v>
      </c>
      <c r="DM17">
        <v>0</v>
      </c>
      <c r="DN17" t="s">
        <v>417</v>
      </c>
      <c r="DO17" s="45">
        <v>0</v>
      </c>
      <c r="DP17" s="45">
        <v>0</v>
      </c>
      <c r="DQ17" s="45">
        <v>0</v>
      </c>
      <c r="DW17" s="92">
        <v>1921</v>
      </c>
      <c r="DX17" s="16">
        <v>13368</v>
      </c>
      <c r="DY17" s="46">
        <v>13368</v>
      </c>
      <c r="DZ17" s="46">
        <v>13368</v>
      </c>
      <c r="EA17" s="46">
        <v>13368</v>
      </c>
      <c r="EB17" s="46">
        <v>13368</v>
      </c>
      <c r="EC17" s="46">
        <v>13368</v>
      </c>
      <c r="ED17" s="46">
        <v>13368</v>
      </c>
      <c r="EE17" s="46">
        <v>13368</v>
      </c>
      <c r="EF17" s="46">
        <v>13368</v>
      </c>
      <c r="EG17" s="46">
        <v>13368</v>
      </c>
      <c r="EH17" s="46">
        <v>13368</v>
      </c>
      <c r="EI17" s="46">
        <v>13368</v>
      </c>
      <c r="EJ17" s="46">
        <v>13368</v>
      </c>
      <c r="EK17" s="206">
        <v>13368</v>
      </c>
      <c r="EN17" s="42">
        <v>1921</v>
      </c>
      <c r="EO17" s="105">
        <v>14172</v>
      </c>
      <c r="EP17" s="126">
        <v>14532</v>
      </c>
      <c r="EQ17" s="148">
        <v>14688</v>
      </c>
      <c r="ER17" s="126">
        <v>14760</v>
      </c>
      <c r="ES17" s="126">
        <v>14760</v>
      </c>
      <c r="ET17" s="126"/>
      <c r="EU17" s="126"/>
      <c r="EV17" s="40">
        <v>13368</v>
      </c>
      <c r="EW17" s="126">
        <v>13368</v>
      </c>
      <c r="EX17" s="200">
        <v>13368</v>
      </c>
      <c r="EY17" s="46">
        <v>13368</v>
      </c>
      <c r="EZ17" s="46">
        <v>13368</v>
      </c>
      <c r="FA17" s="46">
        <v>13368</v>
      </c>
      <c r="FB17" s="46">
        <v>13368</v>
      </c>
      <c r="FC17" s="46">
        <v>13368</v>
      </c>
      <c r="FD17" s="46">
        <v>13368</v>
      </c>
      <c r="FE17" s="46">
        <v>13368</v>
      </c>
      <c r="FF17" s="46">
        <v>13368</v>
      </c>
      <c r="FG17" s="46">
        <v>13368</v>
      </c>
      <c r="FH17" s="46">
        <v>13368</v>
      </c>
      <c r="FI17" s="46">
        <v>13368</v>
      </c>
      <c r="FJ17" s="46">
        <v>13368</v>
      </c>
      <c r="FK17" s="206">
        <v>13368</v>
      </c>
    </row>
    <row r="18" spans="1:167" ht="15.75" x14ac:dyDescent="0.25">
      <c r="A18" s="19">
        <v>52</v>
      </c>
      <c r="B18" s="121">
        <v>0.39</v>
      </c>
      <c r="C18" s="61"/>
      <c r="D18" s="207">
        <v>13</v>
      </c>
      <c r="E18" s="125">
        <v>1.1092</v>
      </c>
      <c r="F18" s="61"/>
      <c r="G18" s="61"/>
      <c r="H18" s="61"/>
      <c r="I18" s="61"/>
      <c r="J18" s="19">
        <v>14</v>
      </c>
      <c r="K18" s="121">
        <v>0.9222222222222225</v>
      </c>
      <c r="L18" s="61"/>
      <c r="M18" s="294">
        <v>14</v>
      </c>
      <c r="N18" s="121">
        <v>1.1435905510222857</v>
      </c>
      <c r="O18" s="61"/>
      <c r="P18" s="129">
        <v>68</v>
      </c>
      <c r="Q18" s="154">
        <v>0.68656136283004365</v>
      </c>
      <c r="R18" s="154">
        <v>0.68702143143600369</v>
      </c>
      <c r="S18" s="154">
        <v>0.68750672008644054</v>
      </c>
      <c r="T18" s="154">
        <v>0.68801848222142936</v>
      </c>
      <c r="U18" s="154">
        <v>0.68855804634012641</v>
      </c>
      <c r="V18" s="154">
        <v>0.68902909930596989</v>
      </c>
      <c r="W18" s="154">
        <v>0.68953827531067136</v>
      </c>
      <c r="X18" s="154">
        <v>0.69008516987963109</v>
      </c>
      <c r="Y18" s="154">
        <v>0.69066969466449735</v>
      </c>
      <c r="Z18" s="154">
        <v>0.69129230418050047</v>
      </c>
      <c r="AA18" s="154">
        <v>0.69195443304601645</v>
      </c>
      <c r="AB18" s="154">
        <v>0.69265722296568311</v>
      </c>
      <c r="AC18" s="154">
        <v>0.69340302588346214</v>
      </c>
      <c r="AD18" s="154">
        <v>0.69419455482783843</v>
      </c>
      <c r="AE18" s="154">
        <v>0.69503446436405336</v>
      </c>
      <c r="AF18" s="154">
        <v>0.69592535892956209</v>
      </c>
      <c r="AG18" s="154">
        <v>0.69687043609076293</v>
      </c>
      <c r="AH18" s="154">
        <v>0.69787264442797214</v>
      </c>
      <c r="AI18" s="154">
        <v>0.6989353255223073</v>
      </c>
      <c r="AJ18" s="154">
        <v>0.70006200688989495</v>
      </c>
      <c r="AK18" s="154">
        <v>0.70125619651576843</v>
      </c>
      <c r="AL18" s="154">
        <v>0.70252159847809659</v>
      </c>
      <c r="AM18" s="154">
        <v>0.70386190760882072</v>
      </c>
      <c r="AN18" s="154">
        <v>0.70528164715101138</v>
      </c>
      <c r="AO18" s="154">
        <v>0.70678491463279502</v>
      </c>
      <c r="AP18" s="154">
        <v>0.70837601092168101</v>
      </c>
      <c r="AQ18" s="154">
        <v>0.71005943890982115</v>
      </c>
      <c r="AR18" s="154">
        <v>0.71183990053089219</v>
      </c>
      <c r="AS18" s="154">
        <v>0.71372208751899979</v>
      </c>
      <c r="AT18" s="154">
        <v>0.71571108710930809</v>
      </c>
      <c r="AU18" s="154">
        <v>0.71781176121405976</v>
      </c>
      <c r="AV18" s="154">
        <v>0.72002915038133175</v>
      </c>
      <c r="AW18" s="154">
        <v>0.72236846330157667</v>
      </c>
      <c r="AX18" s="154">
        <v>0.72483486376517903</v>
      </c>
      <c r="AY18" s="154">
        <v>0.72743365868658949</v>
      </c>
      <c r="AZ18" s="154">
        <v>0.73016988315209408</v>
      </c>
      <c r="BA18" s="154">
        <v>0.7330490728107929</v>
      </c>
      <c r="BB18" s="154">
        <v>0.73607624570937369</v>
      </c>
      <c r="BC18" s="154">
        <v>0.73925607978033114</v>
      </c>
      <c r="BD18" s="154">
        <v>0.74259346157081529</v>
      </c>
      <c r="BE18" s="154">
        <v>0.74609285917582113</v>
      </c>
      <c r="BF18" s="154">
        <v>0.74975489840055198</v>
      </c>
      <c r="BG18" s="154">
        <v>0.75357594704933628</v>
      </c>
      <c r="BH18" s="154">
        <v>0.75755367152939901</v>
      </c>
      <c r="BI18" s="154">
        <v>0.76168588279142335</v>
      </c>
      <c r="BJ18" s="154">
        <v>0.76597142365564463</v>
      </c>
      <c r="BK18" s="154">
        <v>0.77040937711667645</v>
      </c>
      <c r="BL18" s="154">
        <v>0.77499936629463972</v>
      </c>
      <c r="BM18" s="154">
        <v>0.77974129360067057</v>
      </c>
      <c r="BN18" s="154">
        <v>0.7846349103645428</v>
      </c>
      <c r="BO18" s="154">
        <v>0.78968057647421319</v>
      </c>
      <c r="BP18" s="154">
        <v>0.79487761892353725</v>
      </c>
      <c r="BQ18" s="154">
        <v>0.80022589697738744</v>
      </c>
      <c r="BR18" s="154">
        <v>0.80572416400695179</v>
      </c>
      <c r="BS18" s="154">
        <v>0.81137074881138616</v>
      </c>
      <c r="BT18" s="154">
        <v>0.81716276416817457</v>
      </c>
      <c r="BU18" s="154">
        <v>0.82309685817138123</v>
      </c>
      <c r="BV18" s="154">
        <v>0.82916780588843475</v>
      </c>
      <c r="BW18" s="154">
        <v>0.83536351665006126</v>
      </c>
      <c r="BX18" s="154">
        <v>0.84165583521504062</v>
      </c>
      <c r="BY18" s="154">
        <v>0.84802086837093993</v>
      </c>
      <c r="BZ18" s="154">
        <v>0.8544396872954384</v>
      </c>
      <c r="CA18" s="154">
        <v>0.86089636343850418</v>
      </c>
      <c r="CB18" s="154">
        <v>0.86737160459979057</v>
      </c>
      <c r="CC18" s="154">
        <v>0.87383539273876043</v>
      </c>
      <c r="CD18" s="154">
        <v>0.88025081036271324</v>
      </c>
      <c r="CE18" s="154">
        <v>0.88658401281511889</v>
      </c>
      <c r="CF18" s="154">
        <v>0.89280681773700576</v>
      </c>
      <c r="CG18" s="154">
        <v>0.89890324624272144</v>
      </c>
      <c r="CH18" s="154">
        <v>0.90484356675032263</v>
      </c>
      <c r="CI18" s="154">
        <v>0.91059924387686131</v>
      </c>
      <c r="CJ18" s="154">
        <v>0.91616348779028356</v>
      </c>
      <c r="CK18" s="154">
        <v>0.92155583368237937</v>
      </c>
      <c r="CL18" s="154">
        <v>0.92679746904833127</v>
      </c>
      <c r="CM18" s="154">
        <v>0.93188876301144019</v>
      </c>
      <c r="CN18" s="255">
        <v>1.0591999999999999</v>
      </c>
      <c r="CO18" s="255">
        <v>1.0649</v>
      </c>
      <c r="CP18" s="255">
        <v>1.0704</v>
      </c>
      <c r="CQ18" s="255">
        <v>1.0755999999999999</v>
      </c>
      <c r="CR18" s="255">
        <v>1.0805</v>
      </c>
      <c r="CS18" s="255">
        <v>1.0851</v>
      </c>
      <c r="CT18" s="255">
        <v>1.0893999999999999</v>
      </c>
      <c r="CU18" s="255">
        <v>1.0933999999999999</v>
      </c>
      <c r="CV18" s="255">
        <v>1.0972</v>
      </c>
      <c r="CW18" s="256">
        <v>1.1007</v>
      </c>
      <c r="CX18" s="61"/>
      <c r="CY18" s="149"/>
      <c r="DB18" s="78"/>
      <c r="DH18" s="65"/>
      <c r="DL18" t="s">
        <v>399</v>
      </c>
      <c r="DM18">
        <v>0</v>
      </c>
      <c r="DN18" t="s">
        <v>417</v>
      </c>
      <c r="DO18" s="45">
        <v>0</v>
      </c>
      <c r="DP18" s="45">
        <v>0</v>
      </c>
      <c r="DQ18" s="45">
        <v>0</v>
      </c>
      <c r="DW18" s="92">
        <v>1922</v>
      </c>
      <c r="DX18" s="16">
        <v>14520</v>
      </c>
      <c r="DY18" s="46">
        <v>14520</v>
      </c>
      <c r="DZ18" s="46">
        <v>14520</v>
      </c>
      <c r="EA18" s="46">
        <v>14520</v>
      </c>
      <c r="EB18" s="46">
        <v>14520</v>
      </c>
      <c r="EC18" s="46">
        <v>14520</v>
      </c>
      <c r="ED18" s="46">
        <v>14520</v>
      </c>
      <c r="EE18" s="46">
        <v>14520</v>
      </c>
      <c r="EF18" s="46">
        <v>14520</v>
      </c>
      <c r="EG18" s="46">
        <v>14520</v>
      </c>
      <c r="EH18" s="46">
        <v>14520</v>
      </c>
      <c r="EI18" s="46">
        <v>14520</v>
      </c>
      <c r="EJ18" s="46">
        <v>14520</v>
      </c>
      <c r="EK18" s="206">
        <v>14520</v>
      </c>
      <c r="EN18" s="42">
        <v>1922</v>
      </c>
      <c r="EO18" s="105">
        <v>14820</v>
      </c>
      <c r="EP18" s="126">
        <v>15288</v>
      </c>
      <c r="EQ18" s="148">
        <v>15516</v>
      </c>
      <c r="ER18" s="126">
        <v>15648</v>
      </c>
      <c r="ES18" s="126">
        <v>15732</v>
      </c>
      <c r="ET18" s="126">
        <v>15732</v>
      </c>
      <c r="EU18" s="126"/>
      <c r="EV18" s="40">
        <v>14520</v>
      </c>
      <c r="EW18" s="126">
        <v>14520</v>
      </c>
      <c r="EX18" s="200">
        <v>14520</v>
      </c>
      <c r="EY18" s="46">
        <v>14520</v>
      </c>
      <c r="EZ18" s="46">
        <v>14520</v>
      </c>
      <c r="FA18" s="46">
        <v>14520</v>
      </c>
      <c r="FB18" s="46">
        <v>14520</v>
      </c>
      <c r="FC18" s="46">
        <v>14520</v>
      </c>
      <c r="FD18" s="46">
        <v>14520</v>
      </c>
      <c r="FE18" s="46">
        <v>14520</v>
      </c>
      <c r="FF18" s="46">
        <v>14520</v>
      </c>
      <c r="FG18" s="46">
        <v>14520</v>
      </c>
      <c r="FH18" s="46">
        <v>14520</v>
      </c>
      <c r="FI18" s="46">
        <v>14520</v>
      </c>
      <c r="FJ18" s="46">
        <v>14520</v>
      </c>
      <c r="FK18" s="206">
        <v>14520</v>
      </c>
    </row>
    <row r="19" spans="1:167" ht="15.75" x14ac:dyDescent="0.25">
      <c r="A19" s="163">
        <v>51</v>
      </c>
      <c r="B19" s="121">
        <v>0.37</v>
      </c>
      <c r="C19" s="61"/>
      <c r="D19" s="207">
        <v>14</v>
      </c>
      <c r="E19" s="125">
        <v>1.1183000000000001</v>
      </c>
      <c r="F19" s="61"/>
      <c r="G19" s="61"/>
      <c r="H19" s="61"/>
      <c r="I19" s="61"/>
      <c r="J19" s="19">
        <v>15</v>
      </c>
      <c r="K19" s="121">
        <v>0.91666666666666696</v>
      </c>
      <c r="L19" s="61"/>
      <c r="M19" s="294">
        <v>15</v>
      </c>
      <c r="N19" s="121">
        <v>1.1551914607063576</v>
      </c>
      <c r="O19" s="61"/>
      <c r="P19" s="129">
        <v>69</v>
      </c>
      <c r="Q19" s="154">
        <v>0.67219611671520185</v>
      </c>
      <c r="R19" s="154">
        <v>0.67265464656694451</v>
      </c>
      <c r="S19" s="154">
        <v>0.67313832318429456</v>
      </c>
      <c r="T19" s="154">
        <v>0.67364837164301183</v>
      </c>
      <c r="U19" s="154">
        <v>0.67418608834222438</v>
      </c>
      <c r="V19" s="154">
        <v>0.67465274179455126</v>
      </c>
      <c r="W19" s="154">
        <v>0.67515750795076268</v>
      </c>
      <c r="X19" s="154">
        <v>0.67569992744758589</v>
      </c>
      <c r="Y19" s="154">
        <v>0.67627986091632886</v>
      </c>
      <c r="Z19" s="154">
        <v>0.67689772183065011</v>
      </c>
      <c r="AA19" s="154">
        <v>0.67755492530792416</v>
      </c>
      <c r="AB19" s="154">
        <v>0.67825258398004473</v>
      </c>
      <c r="AC19" s="154">
        <v>0.67899304930377757</v>
      </c>
      <c r="AD19" s="154">
        <v>0.67977904190956628</v>
      </c>
      <c r="AE19" s="154">
        <v>0.68061322188655404</v>
      </c>
      <c r="AF19" s="154">
        <v>0.68149819769758657</v>
      </c>
      <c r="AG19" s="154">
        <v>0.6824371865856359</v>
      </c>
      <c r="AH19" s="154">
        <v>0.683433151542443</v>
      </c>
      <c r="AI19" s="154">
        <v>0.68448946071934635</v>
      </c>
      <c r="AJ19" s="154">
        <v>0.68560967606585066</v>
      </c>
      <c r="AK19" s="154">
        <v>0.68679734348137256</v>
      </c>
      <c r="AL19" s="154">
        <v>0.68805621530060423</v>
      </c>
      <c r="AM19" s="154">
        <v>0.68939004071557541</v>
      </c>
      <c r="AN19" s="154">
        <v>0.69080342777127979</v>
      </c>
      <c r="AO19" s="154">
        <v>0.69230055659255607</v>
      </c>
      <c r="AP19" s="154">
        <v>0.69388582691324496</v>
      </c>
      <c r="AQ19" s="154">
        <v>0.6955638583647501</v>
      </c>
      <c r="AR19" s="154">
        <v>0.69733948904848531</v>
      </c>
      <c r="AS19" s="154">
        <v>0.69921756178811556</v>
      </c>
      <c r="AT19" s="154">
        <v>0.70120334313632926</v>
      </c>
      <c r="AU19" s="154">
        <v>0.70330188581729924</v>
      </c>
      <c r="AV19" s="154">
        <v>0.70551844591414159</v>
      </c>
      <c r="AW19" s="154">
        <v>0.70785847389181988</v>
      </c>
      <c r="AX19" s="154">
        <v>0.71032739688636137</v>
      </c>
      <c r="AY19" s="154">
        <v>0.71293081498171962</v>
      </c>
      <c r="AZ19" s="154">
        <v>0.71567407617337453</v>
      </c>
      <c r="BA19" s="154">
        <v>0.71856307760214011</v>
      </c>
      <c r="BB19" s="154">
        <v>0.72160321837909569</v>
      </c>
      <c r="BC19" s="154">
        <v>0.72479958598721672</v>
      </c>
      <c r="BD19" s="154">
        <v>0.72815752778587961</v>
      </c>
      <c r="BE19" s="154">
        <v>0.73168200654870152</v>
      </c>
      <c r="BF19" s="154">
        <v>0.73537405286796764</v>
      </c>
      <c r="BG19" s="154">
        <v>0.73923032350474427</v>
      </c>
      <c r="BH19" s="154">
        <v>0.74324886175991856</v>
      </c>
      <c r="BI19" s="154">
        <v>0.74742790816835081</v>
      </c>
      <c r="BJ19" s="154">
        <v>0.75176683023543223</v>
      </c>
      <c r="BK19" s="154">
        <v>0.75626530794037616</v>
      </c>
      <c r="BL19" s="154">
        <v>0.76092365269652695</v>
      </c>
      <c r="BM19" s="154">
        <v>0.7657425415800897</v>
      </c>
      <c r="BN19" s="154">
        <v>0.77072257175791292</v>
      </c>
      <c r="BO19" s="154">
        <v>0.77586505690789542</v>
      </c>
      <c r="BP19" s="154">
        <v>0.78117031206493281</v>
      </c>
      <c r="BQ19" s="154">
        <v>0.78663929197508964</v>
      </c>
      <c r="BR19" s="154">
        <v>0.79227187376628339</v>
      </c>
      <c r="BS19" s="154">
        <v>0.79806756502416842</v>
      </c>
      <c r="BT19" s="154">
        <v>0.80402466109360804</v>
      </c>
      <c r="BU19" s="154">
        <v>0.81014102124401277</v>
      </c>
      <c r="BV19" s="154">
        <v>0.81641256523610517</v>
      </c>
      <c r="BW19" s="154">
        <v>0.82282795535361597</v>
      </c>
      <c r="BX19" s="154">
        <v>0.82935875655530844</v>
      </c>
      <c r="BY19" s="154">
        <v>0.83598089920365315</v>
      </c>
      <c r="BZ19" s="154">
        <v>0.84267545421042123</v>
      </c>
      <c r="CA19" s="154">
        <v>0.84942656840802433</v>
      </c>
      <c r="CB19" s="154">
        <v>0.85621466582634898</v>
      </c>
      <c r="CC19" s="154">
        <v>0.86300849409937719</v>
      </c>
      <c r="CD19" s="154">
        <v>0.86976909235510047</v>
      </c>
      <c r="CE19" s="154">
        <v>0.87646042374264921</v>
      </c>
      <c r="CF19" s="154">
        <v>0.88305217756260868</v>
      </c>
      <c r="CG19" s="154">
        <v>0.88952689064046397</v>
      </c>
      <c r="CH19" s="154">
        <v>0.89585195946014584</v>
      </c>
      <c r="CI19" s="154">
        <v>0.90199575111283137</v>
      </c>
      <c r="CJ19" s="154">
        <v>0.90795002087590815</v>
      </c>
      <c r="CK19" s="154">
        <v>0.91373517431894025</v>
      </c>
      <c r="CL19" s="154">
        <v>0.9193735926012877</v>
      </c>
      <c r="CM19" s="154">
        <v>0.92486501189820514</v>
      </c>
      <c r="CN19" s="255">
        <v>1.0659000000000001</v>
      </c>
      <c r="CO19" s="255">
        <v>1.0722</v>
      </c>
      <c r="CP19" s="255">
        <v>1.0782</v>
      </c>
      <c r="CQ19" s="255">
        <v>1.0839000000000001</v>
      </c>
      <c r="CR19" s="255">
        <v>1.0892999999999999</v>
      </c>
      <c r="CS19" s="255">
        <v>1.0944</v>
      </c>
      <c r="CT19" s="255">
        <v>1.0991</v>
      </c>
      <c r="CU19" s="255">
        <v>1.1035999999999999</v>
      </c>
      <c r="CV19" s="255">
        <v>1.1077999999999999</v>
      </c>
      <c r="CW19" s="256">
        <v>1.1116999999999999</v>
      </c>
      <c r="CX19" s="61"/>
      <c r="CY19" s="149"/>
      <c r="DB19" s="78"/>
      <c r="DD19" s="183" t="s">
        <v>224</v>
      </c>
      <c r="DH19" s="65"/>
      <c r="DL19" t="s">
        <v>125</v>
      </c>
      <c r="DM19">
        <v>0</v>
      </c>
      <c r="DN19" t="s">
        <v>417</v>
      </c>
      <c r="DO19" s="45">
        <v>0</v>
      </c>
      <c r="DP19" s="45">
        <v>0</v>
      </c>
      <c r="DQ19" s="45">
        <v>0</v>
      </c>
      <c r="DR19" s="45" t="s">
        <v>359</v>
      </c>
      <c r="DW19" s="92">
        <v>1923</v>
      </c>
      <c r="DX19" s="16">
        <v>15708</v>
      </c>
      <c r="DY19" s="46">
        <v>15708</v>
      </c>
      <c r="DZ19" s="46">
        <v>15708</v>
      </c>
      <c r="EA19" s="46">
        <v>15708</v>
      </c>
      <c r="EB19" s="46">
        <v>15708</v>
      </c>
      <c r="EC19" s="46">
        <v>15708</v>
      </c>
      <c r="ED19" s="46">
        <v>15708</v>
      </c>
      <c r="EE19" s="46">
        <v>15708</v>
      </c>
      <c r="EF19" s="46">
        <v>15708</v>
      </c>
      <c r="EG19" s="46">
        <v>15708</v>
      </c>
      <c r="EH19" s="46">
        <v>15708</v>
      </c>
      <c r="EI19" s="46">
        <v>15708</v>
      </c>
      <c r="EJ19" s="46">
        <v>15708</v>
      </c>
      <c r="EK19" s="206">
        <v>15708</v>
      </c>
      <c r="EN19" s="42">
        <v>1923</v>
      </c>
      <c r="EO19" s="105">
        <v>15420</v>
      </c>
      <c r="EP19" s="126">
        <v>15996</v>
      </c>
      <c r="EQ19" s="148">
        <v>16284</v>
      </c>
      <c r="ER19" s="126">
        <v>16464</v>
      </c>
      <c r="ES19" s="126">
        <v>16632</v>
      </c>
      <c r="ET19" s="126">
        <v>16692</v>
      </c>
      <c r="EU19" s="126">
        <v>16692</v>
      </c>
      <c r="EV19" s="40">
        <v>15708</v>
      </c>
      <c r="EW19" s="126">
        <v>15708</v>
      </c>
      <c r="EX19" s="200">
        <v>15708</v>
      </c>
      <c r="EY19" s="46">
        <v>15708</v>
      </c>
      <c r="EZ19" s="46">
        <v>15708</v>
      </c>
      <c r="FA19" s="46">
        <v>15708</v>
      </c>
      <c r="FB19" s="46">
        <v>15708</v>
      </c>
      <c r="FC19" s="46">
        <v>15708</v>
      </c>
      <c r="FD19" s="46">
        <v>15708</v>
      </c>
      <c r="FE19" s="46">
        <v>15708</v>
      </c>
      <c r="FF19" s="46">
        <v>15708</v>
      </c>
      <c r="FG19" s="46">
        <v>15708</v>
      </c>
      <c r="FH19" s="46">
        <v>15708</v>
      </c>
      <c r="FI19" s="46">
        <v>15708</v>
      </c>
      <c r="FJ19" s="46">
        <v>15708</v>
      </c>
      <c r="FK19" s="206">
        <v>15708</v>
      </c>
    </row>
    <row r="20" spans="1:167" ht="15.75" x14ac:dyDescent="0.25">
      <c r="A20" s="19">
        <v>50</v>
      </c>
      <c r="B20" s="121">
        <v>0.35</v>
      </c>
      <c r="C20" s="61"/>
      <c r="D20" s="207">
        <v>15</v>
      </c>
      <c r="E20" s="125">
        <v>1.1274999999999999</v>
      </c>
      <c r="F20" s="61"/>
      <c r="G20" s="61"/>
      <c r="H20" s="61"/>
      <c r="I20" s="61"/>
      <c r="J20" s="19">
        <v>16</v>
      </c>
      <c r="K20" s="121">
        <v>0.91111111111111143</v>
      </c>
      <c r="L20" s="61"/>
      <c r="M20" s="294">
        <v>16</v>
      </c>
      <c r="N20" s="121">
        <v>1.1667923703904295</v>
      </c>
      <c r="O20" s="61"/>
      <c r="P20" s="129">
        <v>70</v>
      </c>
      <c r="Q20" s="154">
        <v>0.65763145686920976</v>
      </c>
      <c r="R20" s="154">
        <v>0.65808801792623783</v>
      </c>
      <c r="S20" s="154">
        <v>0.6585696322085326</v>
      </c>
      <c r="T20" s="154">
        <v>0.65907749750965849</v>
      </c>
      <c r="U20" s="154">
        <v>0.65961287516807054</v>
      </c>
      <c r="V20" s="154">
        <v>0.66007476808055121</v>
      </c>
      <c r="W20" s="154">
        <v>0.66057472157964636</v>
      </c>
      <c r="X20" s="154">
        <v>0.66111222296791761</v>
      </c>
      <c r="Y20" s="154">
        <v>0.66168708277108224</v>
      </c>
      <c r="Z20" s="154">
        <v>0.66229967330947637</v>
      </c>
      <c r="AA20" s="154">
        <v>0.66295138831409495</v>
      </c>
      <c r="AB20" s="154">
        <v>0.66364330972014918</v>
      </c>
      <c r="AC20" s="154">
        <v>0.66437778469895103</v>
      </c>
      <c r="AD20" s="154">
        <v>0.6651575368544268</v>
      </c>
      <c r="AE20" s="154">
        <v>0.66598522694834084</v>
      </c>
      <c r="AF20" s="154">
        <v>0.66686346234182914</v>
      </c>
      <c r="AG20" s="154">
        <v>0.66779547347988222</v>
      </c>
      <c r="AH20" s="154">
        <v>0.66878423123870079</v>
      </c>
      <c r="AI20" s="154">
        <v>0.6698331226507479</v>
      </c>
      <c r="AJ20" s="154">
        <v>0.67094573555525883</v>
      </c>
      <c r="AK20" s="154">
        <v>0.67212564466116209</v>
      </c>
      <c r="AL20" s="154">
        <v>0.67337664053232416</v>
      </c>
      <c r="AM20" s="154">
        <v>0.67470251612070509</v>
      </c>
      <c r="AN20" s="154">
        <v>0.67610795175363003</v>
      </c>
      <c r="AO20" s="154">
        <v>0.67759719778853578</v>
      </c>
      <c r="AP20" s="154">
        <v>0.67917473965271125</v>
      </c>
      <c r="AQ20" s="154">
        <v>0.68084529984789521</v>
      </c>
      <c r="AR20" s="154">
        <v>0.68261383819775567</v>
      </c>
      <c r="AS20" s="154">
        <v>0.68448533405709455</v>
      </c>
      <c r="AT20" s="154">
        <v>0.68646521808204952</v>
      </c>
      <c r="AU20" s="154">
        <v>0.68855871905158306</v>
      </c>
      <c r="AV20" s="154">
        <v>0.69077129362353251</v>
      </c>
      <c r="AW20" s="154">
        <v>0.69310861884275865</v>
      </c>
      <c r="AX20" s="154">
        <v>0.69557636996682148</v>
      </c>
      <c r="AY20" s="154">
        <v>0.69818042419442206</v>
      </c>
      <c r="AZ20" s="154">
        <v>0.7009264255780705</v>
      </c>
      <c r="BA20" s="154">
        <v>0.70382061352573444</v>
      </c>
      <c r="BB20" s="154">
        <v>0.70686874818715573</v>
      </c>
      <c r="BC20" s="154">
        <v>0.71007630571394664</v>
      </c>
      <c r="BD20" s="154">
        <v>0.71344907204465247</v>
      </c>
      <c r="BE20" s="154">
        <v>0.71699248223076728</v>
      </c>
      <c r="BF20" s="154">
        <v>0.72070795427451373</v>
      </c>
      <c r="BG20" s="154">
        <v>0.72459242210122321</v>
      </c>
      <c r="BH20" s="154">
        <v>0.72864429176284806</v>
      </c>
      <c r="BI20" s="154">
        <v>0.73286221974683374</v>
      </c>
      <c r="BJ20" s="154">
        <v>0.73724608487856325</v>
      </c>
      <c r="BK20" s="154">
        <v>0.74179615351697736</v>
      </c>
      <c r="BL20" s="154">
        <v>0.74651341912252356</v>
      </c>
      <c r="BM20" s="154">
        <v>0.75139933434158324</v>
      </c>
      <c r="BN20" s="154">
        <v>0.75645535277975262</v>
      </c>
      <c r="BO20" s="154">
        <v>0.76168376317038888</v>
      </c>
      <c r="BP20" s="154">
        <v>0.76708590347705874</v>
      </c>
      <c r="BQ20" s="154">
        <v>0.77266387120924263</v>
      </c>
      <c r="BR20" s="154">
        <v>0.7784187302018919</v>
      </c>
      <c r="BS20" s="154">
        <v>0.78435124742239248</v>
      </c>
      <c r="BT20" s="154">
        <v>0.79046100273103193</v>
      </c>
      <c r="BU20" s="154">
        <v>0.79674719082121981</v>
      </c>
      <c r="BV20" s="154">
        <v>0.8032070227739978</v>
      </c>
      <c r="BW20" s="154">
        <v>0.80983008010771707</v>
      </c>
      <c r="BX20" s="154">
        <v>0.81658782498199478</v>
      </c>
      <c r="BY20" s="154">
        <v>0.82345618734185422</v>
      </c>
      <c r="BZ20" s="154">
        <v>0.83041641721887194</v>
      </c>
      <c r="CA20" s="154">
        <v>0.83745292299782359</v>
      </c>
      <c r="CB20" s="154">
        <v>0.84454603414522966</v>
      </c>
      <c r="CC20" s="154">
        <v>0.85166344228630864</v>
      </c>
      <c r="CD20" s="154">
        <v>0.85876430220884326</v>
      </c>
      <c r="CE20" s="154">
        <v>0.86581052990137919</v>
      </c>
      <c r="CF20" s="154">
        <v>0.87276981745156568</v>
      </c>
      <c r="CG20" s="154">
        <v>0.87962334284578869</v>
      </c>
      <c r="CH20" s="154">
        <v>0.88633567145761971</v>
      </c>
      <c r="CI20" s="154">
        <v>0.89287203211033661</v>
      </c>
      <c r="CJ20" s="154">
        <v>0.8992226815413551</v>
      </c>
      <c r="CK20" s="154">
        <v>0.9054089230954625</v>
      </c>
      <c r="CL20" s="154">
        <v>0.91145438572055248</v>
      </c>
      <c r="CM20" s="154">
        <v>0.91735815791993525</v>
      </c>
      <c r="CN20" s="255">
        <v>1.0733999999999999</v>
      </c>
      <c r="CO20" s="255">
        <v>1.0803</v>
      </c>
      <c r="CP20" s="255">
        <v>1.0869</v>
      </c>
      <c r="CQ20" s="255">
        <v>1.0931999999999999</v>
      </c>
      <c r="CR20" s="255">
        <v>1.0991</v>
      </c>
      <c r="CS20" s="255">
        <v>1.1047</v>
      </c>
      <c r="CT20" s="255">
        <v>1.1100000000000001</v>
      </c>
      <c r="CU20" s="255">
        <v>1.115</v>
      </c>
      <c r="CV20" s="255">
        <v>1.1195999999999999</v>
      </c>
      <c r="CW20" s="256">
        <v>1.1240000000000001</v>
      </c>
      <c r="CX20" s="61"/>
      <c r="DH20" s="65"/>
      <c r="DO20" s="45">
        <v>0</v>
      </c>
      <c r="DP20" s="45"/>
      <c r="DQ20" s="45">
        <v>0</v>
      </c>
      <c r="DW20" s="92">
        <v>1924</v>
      </c>
      <c r="DX20" s="16">
        <v>16968</v>
      </c>
      <c r="DY20" s="46">
        <v>16968</v>
      </c>
      <c r="DZ20" s="46">
        <v>16968</v>
      </c>
      <c r="EA20" s="46">
        <v>16968</v>
      </c>
      <c r="EB20" s="46">
        <v>16968</v>
      </c>
      <c r="EC20" s="46">
        <v>16968</v>
      </c>
      <c r="ED20" s="46">
        <v>16968</v>
      </c>
      <c r="EE20" s="46">
        <v>16968</v>
      </c>
      <c r="EF20" s="46">
        <v>16968</v>
      </c>
      <c r="EG20" s="46">
        <v>16968</v>
      </c>
      <c r="EH20" s="46">
        <v>16968</v>
      </c>
      <c r="EI20" s="46">
        <v>16968</v>
      </c>
      <c r="EJ20" s="46">
        <v>16968</v>
      </c>
      <c r="EK20" s="206">
        <v>16968</v>
      </c>
      <c r="EN20" s="42">
        <v>1924</v>
      </c>
      <c r="EO20" s="105">
        <v>15996</v>
      </c>
      <c r="EP20" s="126">
        <v>16656</v>
      </c>
      <c r="EQ20" s="148">
        <v>17004</v>
      </c>
      <c r="ER20" s="126">
        <v>17244</v>
      </c>
      <c r="ES20" s="126">
        <v>17484</v>
      </c>
      <c r="ET20" s="126">
        <v>17604</v>
      </c>
      <c r="EU20" s="126">
        <v>17640</v>
      </c>
      <c r="EV20" s="40">
        <v>16968</v>
      </c>
      <c r="EW20" s="126">
        <v>16968</v>
      </c>
      <c r="EX20" s="200">
        <v>16968</v>
      </c>
      <c r="EY20" s="46">
        <v>16968</v>
      </c>
      <c r="EZ20" s="46">
        <v>16968</v>
      </c>
      <c r="FA20" s="46">
        <v>16968</v>
      </c>
      <c r="FB20" s="46">
        <v>16968</v>
      </c>
      <c r="FC20" s="46">
        <v>16968</v>
      </c>
      <c r="FD20" s="46">
        <v>16968</v>
      </c>
      <c r="FE20" s="46">
        <v>16968</v>
      </c>
      <c r="FF20" s="46">
        <v>16968</v>
      </c>
      <c r="FG20" s="46">
        <v>16968</v>
      </c>
      <c r="FH20" s="46">
        <v>16968</v>
      </c>
      <c r="FI20" s="46">
        <v>16968</v>
      </c>
      <c r="FJ20" s="46">
        <v>16968</v>
      </c>
      <c r="FK20" s="206">
        <v>16968</v>
      </c>
    </row>
    <row r="21" spans="1:167" ht="15.75" x14ac:dyDescent="0.25">
      <c r="A21" s="163">
        <v>49</v>
      </c>
      <c r="B21" s="121">
        <v>0.33</v>
      </c>
      <c r="C21" s="61"/>
      <c r="D21" s="207">
        <v>16</v>
      </c>
      <c r="E21" s="125">
        <v>1.1367</v>
      </c>
      <c r="F21" s="61"/>
      <c r="G21" s="61"/>
      <c r="H21" s="61"/>
      <c r="I21" s="61"/>
      <c r="J21" s="19">
        <v>17</v>
      </c>
      <c r="K21" s="121">
        <v>0.90555555555555589</v>
      </c>
      <c r="L21" s="61"/>
      <c r="M21" s="294">
        <v>17</v>
      </c>
      <c r="N21" s="121">
        <v>1.1783932800745016</v>
      </c>
      <c r="O21" s="61"/>
      <c r="P21" s="129">
        <v>71</v>
      </c>
      <c r="Q21" s="154">
        <v>0.64297994200416442</v>
      </c>
      <c r="R21" s="154">
        <v>0.64343412641330322</v>
      </c>
      <c r="S21" s="154">
        <v>0.64391324619095636</v>
      </c>
      <c r="T21" s="154">
        <v>0.64441847353245185</v>
      </c>
      <c r="U21" s="154">
        <v>0.64495103542379528</v>
      </c>
      <c r="V21" s="154">
        <v>0.64540784738739287</v>
      </c>
      <c r="W21" s="154">
        <v>0.64590262711764956</v>
      </c>
      <c r="X21" s="154">
        <v>0.64643481060550423</v>
      </c>
      <c r="Y21" s="154">
        <v>0.64700415970385872</v>
      </c>
      <c r="Z21" s="154">
        <v>0.64761100597515975</v>
      </c>
      <c r="AA21" s="154">
        <v>0.64825672027246628</v>
      </c>
      <c r="AB21" s="154">
        <v>0.6489423527630177</v>
      </c>
      <c r="AC21" s="154">
        <v>0.64967024285097097</v>
      </c>
      <c r="AD21" s="154">
        <v>0.65044311277316968</v>
      </c>
      <c r="AE21" s="154">
        <v>0.65126361949641343</v>
      </c>
      <c r="AF21" s="154">
        <v>0.65213436459827234</v>
      </c>
      <c r="AG21" s="154">
        <v>0.65305858558462604</v>
      </c>
      <c r="AH21" s="154">
        <v>0.65403925515970152</v>
      </c>
      <c r="AI21" s="154">
        <v>0.6550797719830882</v>
      </c>
      <c r="AJ21" s="154">
        <v>0.65618374164526949</v>
      </c>
      <c r="AK21" s="154">
        <v>0.65735475899420981</v>
      </c>
      <c r="AL21" s="154">
        <v>0.65859664317110123</v>
      </c>
      <c r="AM21" s="154">
        <v>0.65991322063396474</v>
      </c>
      <c r="AN21" s="154">
        <v>0.66130923155292254</v>
      </c>
      <c r="AO21" s="154">
        <v>0.66278898427767297</v>
      </c>
      <c r="AP21" s="154">
        <v>0.66435703672263513</v>
      </c>
      <c r="AQ21" s="154">
        <v>0.66601820015426283</v>
      </c>
      <c r="AR21" s="154">
        <v>0.66777754122316368</v>
      </c>
      <c r="AS21" s="154">
        <v>0.66964016063969833</v>
      </c>
      <c r="AT21" s="154">
        <v>0.67161163704261284</v>
      </c>
      <c r="AU21" s="154">
        <v>0.67369735949838483</v>
      </c>
      <c r="AV21" s="154">
        <v>0.67590296913727854</v>
      </c>
      <c r="AW21" s="154">
        <v>0.67823435313731328</v>
      </c>
      <c r="AX21" s="154">
        <v>0.68069741840555975</v>
      </c>
      <c r="AY21" s="154">
        <v>0.68329830219884313</v>
      </c>
      <c r="AZ21" s="154">
        <v>0.68604292719812532</v>
      </c>
      <c r="BA21" s="154">
        <v>0.68893785503203153</v>
      </c>
      <c r="BB21" s="154">
        <v>0.69198918576070878</v>
      </c>
      <c r="BC21" s="154">
        <v>0.69520276151618376</v>
      </c>
      <c r="BD21" s="154">
        <v>0.69858478171080518</v>
      </c>
      <c r="BE21" s="154">
        <v>0.70214112767776338</v>
      </c>
      <c r="BF21" s="154">
        <v>0.70587358462913685</v>
      </c>
      <c r="BG21" s="154">
        <v>0.70977934998051029</v>
      </c>
      <c r="BH21" s="154">
        <v>0.71385717515931069</v>
      </c>
      <c r="BI21" s="154">
        <v>0.71810611455865825</v>
      </c>
      <c r="BJ21" s="154">
        <v>0.72252653910763698</v>
      </c>
      <c r="BK21" s="154">
        <v>0.72711928374164214</v>
      </c>
      <c r="BL21" s="154">
        <v>0.73188600839733087</v>
      </c>
      <c r="BM21" s="154">
        <v>0.73682893057794241</v>
      </c>
      <c r="BN21" s="154">
        <v>0.74195035778118812</v>
      </c>
      <c r="BO21" s="154">
        <v>0.74725356019907807</v>
      </c>
      <c r="BP21" s="154">
        <v>0.75274091881445926</v>
      </c>
      <c r="BQ21" s="154">
        <v>0.75841570598456398</v>
      </c>
      <c r="BR21" s="154">
        <v>0.76428021944800806</v>
      </c>
      <c r="BS21" s="154">
        <v>0.77033654811774543</v>
      </c>
      <c r="BT21" s="154">
        <v>0.77658563822630899</v>
      </c>
      <c r="BU21" s="154">
        <v>0.78302812306037839</v>
      </c>
      <c r="BV21" s="154">
        <v>0.78966263256462832</v>
      </c>
      <c r="BW21" s="154">
        <v>0.79647982223230063</v>
      </c>
      <c r="BX21" s="154">
        <v>0.8034512327459753</v>
      </c>
      <c r="BY21" s="154">
        <v>0.81055297305469542</v>
      </c>
      <c r="BZ21" s="154">
        <v>0.8177666510924948</v>
      </c>
      <c r="CA21" s="154">
        <v>0.82507711999055089</v>
      </c>
      <c r="CB21" s="154">
        <v>0.83246480430146208</v>
      </c>
      <c r="CC21" s="154">
        <v>0.83989652807871384</v>
      </c>
      <c r="CD21" s="154">
        <v>0.84732973709423964</v>
      </c>
      <c r="CE21" s="154">
        <v>0.85472446284734882</v>
      </c>
      <c r="CF21" s="154">
        <v>0.86204655566908883</v>
      </c>
      <c r="CG21" s="154">
        <v>0.86927599090005003</v>
      </c>
      <c r="CH21" s="154">
        <v>0.87637461294312169</v>
      </c>
      <c r="CI21" s="154">
        <v>0.88330455952420384</v>
      </c>
      <c r="CJ21" s="154">
        <v>0.89005460534118486</v>
      </c>
      <c r="CK21" s="154">
        <v>0.89664699064755515</v>
      </c>
      <c r="CL21" s="154">
        <v>0.90310663215690412</v>
      </c>
      <c r="CM21" s="154">
        <v>0.90943194225286361</v>
      </c>
      <c r="CN21" s="255">
        <v>1.0819000000000001</v>
      </c>
      <c r="CO21" s="255">
        <v>1.0893999999999999</v>
      </c>
      <c r="CP21" s="255">
        <v>1.0967</v>
      </c>
      <c r="CQ21" s="255">
        <v>1.1034999999999999</v>
      </c>
      <c r="CR21" s="255">
        <v>1.1101000000000001</v>
      </c>
      <c r="CS21" s="255">
        <v>1.1163000000000001</v>
      </c>
      <c r="CT21" s="255">
        <v>1.1222000000000001</v>
      </c>
      <c r="CU21" s="255">
        <v>1.1276999999999999</v>
      </c>
      <c r="CV21" s="255">
        <v>1.1328</v>
      </c>
      <c r="CW21" s="256">
        <v>1.1376999999999999</v>
      </c>
      <c r="CX21" s="61"/>
      <c r="CY21" s="333" t="s">
        <v>546</v>
      </c>
      <c r="CZ21" s="333"/>
      <c r="DD21" t="s">
        <v>400</v>
      </c>
      <c r="DE21" s="75"/>
      <c r="DH21" s="65"/>
      <c r="DP21" s="45"/>
      <c r="DW21" s="92">
        <v>1925</v>
      </c>
      <c r="DX21" s="16">
        <v>18312</v>
      </c>
      <c r="DY21" s="46">
        <v>18312</v>
      </c>
      <c r="DZ21" s="46">
        <v>18312</v>
      </c>
      <c r="EA21" s="46">
        <v>18312</v>
      </c>
      <c r="EB21" s="46">
        <v>18312</v>
      </c>
      <c r="EC21" s="46">
        <v>18312</v>
      </c>
      <c r="ED21" s="46">
        <v>18312</v>
      </c>
      <c r="EE21" s="46">
        <v>18312</v>
      </c>
      <c r="EF21" s="46">
        <v>18312</v>
      </c>
      <c r="EG21" s="46">
        <v>18312</v>
      </c>
      <c r="EH21" s="46">
        <v>18312</v>
      </c>
      <c r="EI21" s="46">
        <v>18312</v>
      </c>
      <c r="EJ21" s="46">
        <v>18312</v>
      </c>
      <c r="EK21" s="206">
        <v>18312</v>
      </c>
      <c r="EN21" s="42">
        <v>1925</v>
      </c>
      <c r="EO21" s="105">
        <v>16524</v>
      </c>
      <c r="EP21" s="126">
        <v>17268</v>
      </c>
      <c r="EQ21" s="148">
        <v>17676</v>
      </c>
      <c r="ER21" s="126">
        <v>17964</v>
      </c>
      <c r="ES21" s="126">
        <v>18276</v>
      </c>
      <c r="ET21" s="126">
        <v>18444</v>
      </c>
      <c r="EU21" s="126">
        <v>18528</v>
      </c>
      <c r="EV21" s="40">
        <v>18228</v>
      </c>
      <c r="EW21" s="126">
        <v>18312</v>
      </c>
      <c r="EX21" s="200">
        <v>18312</v>
      </c>
      <c r="EY21" s="46">
        <v>18312</v>
      </c>
      <c r="EZ21" s="46">
        <v>18312</v>
      </c>
      <c r="FA21" s="46">
        <v>18312</v>
      </c>
      <c r="FB21" s="46">
        <v>18312</v>
      </c>
      <c r="FC21" s="46">
        <v>18312</v>
      </c>
      <c r="FD21" s="46">
        <v>18312</v>
      </c>
      <c r="FE21" s="46">
        <v>18312</v>
      </c>
      <c r="FF21" s="46">
        <v>18312</v>
      </c>
      <c r="FG21" s="46">
        <v>18312</v>
      </c>
      <c r="FH21" s="46">
        <v>18312</v>
      </c>
      <c r="FI21" s="46">
        <v>18312</v>
      </c>
      <c r="FJ21" s="46">
        <v>18312</v>
      </c>
      <c r="FK21" s="206">
        <v>18312</v>
      </c>
    </row>
    <row r="22" spans="1:167" ht="15.75" x14ac:dyDescent="0.25">
      <c r="A22" s="19">
        <v>48</v>
      </c>
      <c r="B22" s="121">
        <v>0.31</v>
      </c>
      <c r="C22" s="61"/>
      <c r="D22" s="207">
        <v>17</v>
      </c>
      <c r="E22" s="125">
        <v>1.1457999999999999</v>
      </c>
      <c r="F22" s="61"/>
      <c r="G22" s="61"/>
      <c r="H22" s="61"/>
      <c r="I22" s="61"/>
      <c r="J22" s="19">
        <v>18</v>
      </c>
      <c r="K22" s="121">
        <v>0.90000000000000036</v>
      </c>
      <c r="L22" s="61"/>
      <c r="M22" s="294">
        <v>18</v>
      </c>
      <c r="N22" s="121">
        <v>1.1899941897585735</v>
      </c>
      <c r="O22" s="61"/>
      <c r="P22" s="129">
        <v>72</v>
      </c>
      <c r="Q22" s="154">
        <v>0.62826774301915989</v>
      </c>
      <c r="R22" s="154">
        <v>0.62871915520122645</v>
      </c>
      <c r="S22" s="154">
        <v>0.62919535921491443</v>
      </c>
      <c r="T22" s="154">
        <v>0.62969750100563004</v>
      </c>
      <c r="U22" s="154">
        <v>0.63022677476538247</v>
      </c>
      <c r="V22" s="154">
        <v>0.63067819777121481</v>
      </c>
      <c r="W22" s="154">
        <v>0.63116745586917222</v>
      </c>
      <c r="X22" s="154">
        <v>0.63169393585239564</v>
      </c>
      <c r="Y22" s="154">
        <v>0.63225735248176362</v>
      </c>
      <c r="Z22" s="154">
        <v>0.63285799713347379</v>
      </c>
      <c r="AA22" s="154">
        <v>0.63349721646296986</v>
      </c>
      <c r="AB22" s="154">
        <v>0.63417602807973539</v>
      </c>
      <c r="AC22" s="154">
        <v>0.63489676037351761</v>
      </c>
      <c r="AD22" s="154">
        <v>0.63566213011353578</v>
      </c>
      <c r="AE22" s="154">
        <v>0.63647478629348886</v>
      </c>
      <c r="AF22" s="154">
        <v>0.6373373203835947</v>
      </c>
      <c r="AG22" s="154">
        <v>0.63825297114631052</v>
      </c>
      <c r="AH22" s="154">
        <v>0.63922470743363968</v>
      </c>
      <c r="AI22" s="154">
        <v>0.64025593268014191</v>
      </c>
      <c r="AJ22" s="154">
        <v>0.64135026252603244</v>
      </c>
      <c r="AK22" s="154">
        <v>0.64251130373000853</v>
      </c>
      <c r="AL22" s="154">
        <v>0.64374289479486502</v>
      </c>
      <c r="AM22" s="154">
        <v>0.64504888584562614</v>
      </c>
      <c r="AN22" s="154">
        <v>0.64643406475481768</v>
      </c>
      <c r="AO22" s="154">
        <v>0.64790278591937966</v>
      </c>
      <c r="AP22" s="154">
        <v>0.64945966674455358</v>
      </c>
      <c r="AQ22" s="154">
        <v>0.65110959325069284</v>
      </c>
      <c r="AR22" s="154">
        <v>0.65285772396189379</v>
      </c>
      <c r="AS22" s="154">
        <v>0.65470926557956133</v>
      </c>
      <c r="AT22" s="154">
        <v>0.6566699282430436</v>
      </c>
      <c r="AU22" s="154">
        <v>0.65874524507903387</v>
      </c>
      <c r="AV22" s="154">
        <v>0.66094102500784913</v>
      </c>
      <c r="AW22" s="154">
        <v>0.66326334830871936</v>
      </c>
      <c r="AX22" s="154">
        <v>0.66571833654133283</v>
      </c>
      <c r="AY22" s="154">
        <v>0.66831236955270568</v>
      </c>
      <c r="AZ22" s="154">
        <v>0.67105163132497758</v>
      </c>
      <c r="BA22" s="154">
        <v>0.67394298625507132</v>
      </c>
      <c r="BB22" s="154">
        <v>0.67699285396654385</v>
      </c>
      <c r="BC22" s="154">
        <v>0.68020742045166749</v>
      </c>
      <c r="BD22" s="154">
        <v>0.6835932733951513</v>
      </c>
      <c r="BE22" s="154">
        <v>0.68715671359917219</v>
      </c>
      <c r="BF22" s="154">
        <v>0.69089987240787876</v>
      </c>
      <c r="BG22" s="154">
        <v>0.69482019635638159</v>
      </c>
      <c r="BH22" s="154">
        <v>0.69891676328671548</v>
      </c>
      <c r="BI22" s="154">
        <v>0.70318900490935232</v>
      </c>
      <c r="BJ22" s="154">
        <v>0.70763776113387067</v>
      </c>
      <c r="BK22" s="154">
        <v>0.71226441272291641</v>
      </c>
      <c r="BL22" s="154">
        <v>0.71707126428958479</v>
      </c>
      <c r="BM22" s="154">
        <v>0.72206127938300169</v>
      </c>
      <c r="BN22" s="154">
        <v>0.72723760675749827</v>
      </c>
      <c r="BO22" s="154">
        <v>0.73260449294835528</v>
      </c>
      <c r="BP22" s="154">
        <v>0.73816536980681013</v>
      </c>
      <c r="BQ22" s="154">
        <v>0.74392470446847492</v>
      </c>
      <c r="BR22" s="154">
        <v>0.74988606463862739</v>
      </c>
      <c r="BS22" s="154">
        <v>0.75605291244336725</v>
      </c>
      <c r="BT22" s="154">
        <v>0.76242762974686218</v>
      </c>
      <c r="BU22" s="154">
        <v>0.76901237738201422</v>
      </c>
      <c r="BV22" s="154">
        <v>0.77580731822678417</v>
      </c>
      <c r="BW22" s="154">
        <v>0.78280432790168752</v>
      </c>
      <c r="BX22" s="154">
        <v>0.78997520851341319</v>
      </c>
      <c r="BY22" s="154">
        <v>0.79729643276923945</v>
      </c>
      <c r="BZ22" s="154">
        <v>0.80475015064266997</v>
      </c>
      <c r="CA22" s="154">
        <v>0.81232184709699196</v>
      </c>
      <c r="CB22" s="154">
        <v>0.81999223720335801</v>
      </c>
      <c r="CC22" s="154">
        <v>0.82772747720201356</v>
      </c>
      <c r="CD22" s="154">
        <v>0.83548349297343294</v>
      </c>
      <c r="CE22" s="154">
        <v>0.84321860389203784</v>
      </c>
      <c r="CF22" s="154">
        <v>0.85089698232851751</v>
      </c>
      <c r="CG22" s="154">
        <v>0.85849757081807032</v>
      </c>
      <c r="CH22" s="154">
        <v>0.86597964137011452</v>
      </c>
      <c r="CI22" s="154">
        <v>0.87330235054796945</v>
      </c>
      <c r="CJ22" s="154">
        <v>0.88045307894691327</v>
      </c>
      <c r="CK22" s="154">
        <v>0.88745509588139782</v>
      </c>
      <c r="CL22" s="154">
        <v>0.89433467902919972</v>
      </c>
      <c r="CM22" s="154">
        <v>0.90108955656427037</v>
      </c>
      <c r="CN22" s="255">
        <v>1.0913999999999999</v>
      </c>
      <c r="CO22" s="255">
        <v>1.0996999999999999</v>
      </c>
      <c r="CP22" s="255">
        <v>1.1075999999999999</v>
      </c>
      <c r="CQ22" s="255">
        <v>1.1152</v>
      </c>
      <c r="CR22" s="255">
        <v>1.1224000000000001</v>
      </c>
      <c r="CS22" s="255">
        <v>1.1293</v>
      </c>
      <c r="CT22" s="255">
        <v>1.1356999999999999</v>
      </c>
      <c r="CU22" s="255">
        <v>1.1418999999999999</v>
      </c>
      <c r="CV22" s="255">
        <v>1.1476</v>
      </c>
      <c r="CW22" s="256">
        <v>1.153</v>
      </c>
      <c r="CX22" s="61"/>
      <c r="CY22" s="103"/>
      <c r="CZ22" s="103"/>
      <c r="DD22" s="75" t="s">
        <v>511</v>
      </c>
      <c r="DE22" s="75"/>
      <c r="DH22" s="65"/>
      <c r="DK22" t="s">
        <v>532</v>
      </c>
      <c r="DL22" t="s">
        <v>178</v>
      </c>
      <c r="DM22" s="75">
        <v>0</v>
      </c>
      <c r="DN22" t="s">
        <v>417</v>
      </c>
      <c r="DO22" s="272">
        <v>0</v>
      </c>
      <c r="DP22" s="45">
        <v>0</v>
      </c>
      <c r="DQ22" s="45">
        <v>0</v>
      </c>
      <c r="DW22" s="92">
        <v>1926</v>
      </c>
      <c r="DX22" s="16">
        <v>19728</v>
      </c>
      <c r="DY22" s="46">
        <v>19728</v>
      </c>
      <c r="DZ22" s="46">
        <v>19728</v>
      </c>
      <c r="EA22" s="46">
        <v>19728</v>
      </c>
      <c r="EB22" s="46">
        <v>19728</v>
      </c>
      <c r="EC22" s="46">
        <v>19728</v>
      </c>
      <c r="ED22" s="46">
        <v>19728</v>
      </c>
      <c r="EE22" s="46">
        <v>19728</v>
      </c>
      <c r="EF22" s="46">
        <v>19728</v>
      </c>
      <c r="EG22" s="46">
        <v>19728</v>
      </c>
      <c r="EH22" s="46">
        <v>19728</v>
      </c>
      <c r="EI22" s="46">
        <v>19728</v>
      </c>
      <c r="EJ22" s="46">
        <v>19728</v>
      </c>
      <c r="EK22" s="206">
        <v>19728</v>
      </c>
      <c r="EN22" s="42">
        <v>1926</v>
      </c>
      <c r="EO22" s="105">
        <v>17016</v>
      </c>
      <c r="EP22" s="126">
        <v>17844</v>
      </c>
      <c r="EQ22" s="148">
        <v>18300</v>
      </c>
      <c r="ER22" s="126">
        <v>18636</v>
      </c>
      <c r="ES22" s="126">
        <v>19008</v>
      </c>
      <c r="ET22" s="126">
        <v>19236</v>
      </c>
      <c r="EU22" s="126">
        <v>19356</v>
      </c>
      <c r="EV22" s="40">
        <v>19476</v>
      </c>
      <c r="EW22" s="126">
        <v>19668</v>
      </c>
      <c r="EX22" s="200">
        <v>19728</v>
      </c>
      <c r="EY22" s="46">
        <v>19728</v>
      </c>
      <c r="EZ22" s="46">
        <v>19728</v>
      </c>
      <c r="FA22" s="46">
        <v>19728</v>
      </c>
      <c r="FB22" s="46">
        <v>19728</v>
      </c>
      <c r="FC22" s="46">
        <v>19728</v>
      </c>
      <c r="FD22" s="46">
        <v>19728</v>
      </c>
      <c r="FE22" s="46">
        <v>19728</v>
      </c>
      <c r="FF22" s="46">
        <v>19728</v>
      </c>
      <c r="FG22" s="46">
        <v>19728</v>
      </c>
      <c r="FH22" s="46">
        <v>19728</v>
      </c>
      <c r="FI22" s="46">
        <v>19728</v>
      </c>
      <c r="FJ22" s="46">
        <v>19728</v>
      </c>
      <c r="FK22" s="206">
        <v>19728</v>
      </c>
    </row>
    <row r="23" spans="1:167" ht="15.75" x14ac:dyDescent="0.25">
      <c r="A23" s="163">
        <v>47</v>
      </c>
      <c r="B23" s="121">
        <v>0.28999999999999998</v>
      </c>
      <c r="C23" s="61"/>
      <c r="D23" s="207">
        <v>18</v>
      </c>
      <c r="E23" s="125">
        <v>1.155</v>
      </c>
      <c r="F23" s="61"/>
      <c r="G23" s="61"/>
      <c r="H23" s="61"/>
      <c r="I23" s="61"/>
      <c r="J23" s="19">
        <v>19</v>
      </c>
      <c r="K23" s="121">
        <v>0.89444444444444482</v>
      </c>
      <c r="L23" s="61"/>
      <c r="M23" s="294">
        <v>19</v>
      </c>
      <c r="N23" s="121">
        <v>1.2015950994426454</v>
      </c>
      <c r="O23" s="61"/>
      <c r="P23" s="129">
        <v>73</v>
      </c>
      <c r="Q23" s="154">
        <v>0.61336905577834455</v>
      </c>
      <c r="R23" s="154">
        <v>0.6138172684984593</v>
      </c>
      <c r="S23" s="154">
        <v>0.61429010439033527</v>
      </c>
      <c r="T23" s="154">
        <v>0.6147886802960536</v>
      </c>
      <c r="U23" s="154">
        <v>0.61531415689706526</v>
      </c>
      <c r="V23" s="154">
        <v>0.61575983282486169</v>
      </c>
      <c r="W23" s="154">
        <v>0.61624316943432211</v>
      </c>
      <c r="X23" s="154">
        <v>0.61676350619721831</v>
      </c>
      <c r="Y23" s="154">
        <v>0.61732051208202732</v>
      </c>
      <c r="Z23" s="154">
        <v>0.61791443861166284</v>
      </c>
      <c r="AA23" s="154">
        <v>0.61854660677353568</v>
      </c>
      <c r="AB23" s="154">
        <v>0.61921800065532562</v>
      </c>
      <c r="AC23" s="154">
        <v>0.619930934359603</v>
      </c>
      <c r="AD23" s="154">
        <v>0.62068811510714095</v>
      </c>
      <c r="AE23" s="154">
        <v>0.62149217976128668</v>
      </c>
      <c r="AF23" s="154">
        <v>0.62234570538938383</v>
      </c>
      <c r="AG23" s="154">
        <v>0.62325192632817872</v>
      </c>
      <c r="AH23" s="154">
        <v>0.62421380198891352</v>
      </c>
      <c r="AI23" s="154">
        <v>0.62523473384693529</v>
      </c>
      <c r="AJ23" s="154">
        <v>0.62631834006049558</v>
      </c>
      <c r="AK23" s="154">
        <v>0.62746823126544327</v>
      </c>
      <c r="AL23" s="154">
        <v>0.62868825630048697</v>
      </c>
      <c r="AM23" s="154">
        <v>0.62998227928970107</v>
      </c>
      <c r="AN23" s="154">
        <v>0.63135512388791859</v>
      </c>
      <c r="AO23" s="154">
        <v>0.63281117871886328</v>
      </c>
      <c r="AP23" s="154">
        <v>0.63435510778466164</v>
      </c>
      <c r="AQ23" s="154">
        <v>0.63599185790760659</v>
      </c>
      <c r="AR23" s="154">
        <v>0.6377266645313816</v>
      </c>
      <c r="AS23" s="154">
        <v>0.63956482487492972</v>
      </c>
      <c r="AT23" s="154">
        <v>0.64151216395021893</v>
      </c>
      <c r="AU23" s="154">
        <v>0.64357434248055656</v>
      </c>
      <c r="AV23" s="154">
        <v>0.6457573202492346</v>
      </c>
      <c r="AW23" s="154">
        <v>0.64806735339896315</v>
      </c>
      <c r="AX23" s="154">
        <v>0.65051076111070705</v>
      </c>
      <c r="AY23" s="154">
        <v>0.65309414859611759</v>
      </c>
      <c r="AZ23" s="154">
        <v>0.65582394439159497</v>
      </c>
      <c r="BA23" s="154">
        <v>0.65870729766346037</v>
      </c>
      <c r="BB23" s="154">
        <v>0.66175092956853754</v>
      </c>
      <c r="BC23" s="154">
        <v>0.66496135060944717</v>
      </c>
      <c r="BD23" s="154">
        <v>0.66834551447097335</v>
      </c>
      <c r="BE23" s="154">
        <v>0.6719101172643891</v>
      </c>
      <c r="BF23" s="154">
        <v>0.67565761708836958</v>
      </c>
      <c r="BG23" s="154">
        <v>0.67958569587303141</v>
      </c>
      <c r="BH23" s="154">
        <v>0.68369373928389143</v>
      </c>
      <c r="BI23" s="154">
        <v>0.68798153534262818</v>
      </c>
      <c r="BJ23" s="154">
        <v>0.69245036856963404</v>
      </c>
      <c r="BK23" s="154">
        <v>0.69710214041125251</v>
      </c>
      <c r="BL23" s="154">
        <v>0.70193977521199524</v>
      </c>
      <c r="BM23" s="154">
        <v>0.70696695974787715</v>
      </c>
      <c r="BN23" s="154">
        <v>0.71218766590437521</v>
      </c>
      <c r="BO23" s="154">
        <v>0.71760710457794719</v>
      </c>
      <c r="BP23" s="154">
        <v>0.72322975880749629</v>
      </c>
      <c r="BQ23" s="154">
        <v>0.72906130318698537</v>
      </c>
      <c r="BR23" s="154">
        <v>0.73510660573397091</v>
      </c>
      <c r="BS23" s="154">
        <v>0.74137054993464291</v>
      </c>
      <c r="BT23" s="154">
        <v>0.7478570210226595</v>
      </c>
      <c r="BU23" s="154">
        <v>0.75456979545502967</v>
      </c>
      <c r="BV23" s="154">
        <v>0.76151068287676882</v>
      </c>
      <c r="BW23" s="154">
        <v>0.76867292665224174</v>
      </c>
      <c r="BX23" s="154">
        <v>0.77602877547837612</v>
      </c>
      <c r="BY23" s="154">
        <v>0.78355525973094853</v>
      </c>
      <c r="BZ23" s="154">
        <v>0.79123527194260979</v>
      </c>
      <c r="CA23" s="154">
        <v>0.79905513637865033</v>
      </c>
      <c r="CB23" s="154">
        <v>0.80699607461461498</v>
      </c>
      <c r="CC23" s="154">
        <v>0.81502379265134739</v>
      </c>
      <c r="CD23" s="154">
        <v>0.82309289957198661</v>
      </c>
      <c r="CE23" s="154">
        <v>0.83116018467426889</v>
      </c>
      <c r="CF23" s="154">
        <v>0.83918830928020194</v>
      </c>
      <c r="CG23" s="154">
        <v>0.84715535938049291</v>
      </c>
      <c r="CH23" s="154">
        <v>0.8550181887114483</v>
      </c>
      <c r="CI23" s="154">
        <v>0.86273310143717397</v>
      </c>
      <c r="CJ23" s="154">
        <v>0.8702862273869989</v>
      </c>
      <c r="CK23" s="154">
        <v>0.87770205710745397</v>
      </c>
      <c r="CL23" s="154">
        <v>0.88500840882199883</v>
      </c>
      <c r="CM23" s="154">
        <v>0.89220239555862146</v>
      </c>
      <c r="CN23" s="255">
        <v>1.1021000000000001</v>
      </c>
      <c r="CO23" s="255">
        <v>1.1111</v>
      </c>
      <c r="CP23" s="255">
        <v>1.1197999999999999</v>
      </c>
      <c r="CQ23" s="255">
        <v>1.1281000000000001</v>
      </c>
      <c r="CR23" s="255">
        <v>1.1361000000000001</v>
      </c>
      <c r="CS23" s="255">
        <v>1.1436999999999999</v>
      </c>
      <c r="CT23" s="255">
        <v>1.1509</v>
      </c>
      <c r="CU23" s="255">
        <v>1.1577</v>
      </c>
      <c r="CV23" s="255">
        <v>1.1640999999999999</v>
      </c>
      <c r="CW23" s="256">
        <v>1.1700999999999999</v>
      </c>
      <c r="CX23" s="61"/>
      <c r="CY23" s="103"/>
      <c r="CZ23" s="103"/>
      <c r="DD23" s="75"/>
      <c r="DE23" s="75"/>
      <c r="DH23" s="65"/>
      <c r="DL23" t="s">
        <v>142</v>
      </c>
      <c r="DM23" s="75">
        <v>0</v>
      </c>
      <c r="DN23" t="s">
        <v>417</v>
      </c>
      <c r="DO23" s="272">
        <v>0</v>
      </c>
      <c r="DP23" s="45">
        <v>0</v>
      </c>
      <c r="DQ23" s="45">
        <v>0</v>
      </c>
      <c r="DW23" s="92">
        <v>1927</v>
      </c>
      <c r="DX23" s="16">
        <v>21132</v>
      </c>
      <c r="DY23" s="46">
        <v>21192</v>
      </c>
      <c r="DZ23" s="46">
        <v>21192</v>
      </c>
      <c r="EA23" s="46">
        <v>21192</v>
      </c>
      <c r="EB23" s="46">
        <v>21192</v>
      </c>
      <c r="EC23" s="46">
        <v>21192</v>
      </c>
      <c r="ED23" s="46">
        <v>21192</v>
      </c>
      <c r="EE23" s="46">
        <v>21192</v>
      </c>
      <c r="EF23" s="46">
        <v>21192</v>
      </c>
      <c r="EG23" s="46">
        <v>21192</v>
      </c>
      <c r="EH23" s="46">
        <v>21192</v>
      </c>
      <c r="EI23" s="46">
        <v>21192</v>
      </c>
      <c r="EJ23" s="46">
        <v>21192</v>
      </c>
      <c r="EK23" s="206">
        <v>21192</v>
      </c>
      <c r="EN23" s="42">
        <v>1927</v>
      </c>
      <c r="EO23" s="105">
        <v>17484</v>
      </c>
      <c r="EP23" s="126">
        <v>18384</v>
      </c>
      <c r="EQ23" s="148">
        <v>18888</v>
      </c>
      <c r="ER23" s="126">
        <v>19272</v>
      </c>
      <c r="ES23" s="126">
        <v>19708</v>
      </c>
      <c r="ET23" s="126">
        <v>19980</v>
      </c>
      <c r="EU23" s="126">
        <v>20124</v>
      </c>
      <c r="EV23" s="40">
        <v>20724</v>
      </c>
      <c r="EW23" s="126">
        <v>21012</v>
      </c>
      <c r="EX23" s="200">
        <v>21132</v>
      </c>
      <c r="EY23" s="46">
        <v>21192</v>
      </c>
      <c r="EZ23" s="46">
        <v>21192</v>
      </c>
      <c r="FA23" s="46">
        <v>21192</v>
      </c>
      <c r="FB23" s="46">
        <v>21192</v>
      </c>
      <c r="FC23" s="46">
        <v>21192</v>
      </c>
      <c r="FD23" s="46">
        <v>21192</v>
      </c>
      <c r="FE23" s="46">
        <v>21192</v>
      </c>
      <c r="FF23" s="46">
        <v>21192</v>
      </c>
      <c r="FG23" s="46">
        <v>21192</v>
      </c>
      <c r="FH23" s="46">
        <v>21192</v>
      </c>
      <c r="FI23" s="46">
        <v>21192</v>
      </c>
      <c r="FJ23" s="46">
        <v>21192</v>
      </c>
      <c r="FK23" s="206">
        <v>21192</v>
      </c>
    </row>
    <row r="24" spans="1:167" ht="15.75" x14ac:dyDescent="0.25">
      <c r="A24" s="19">
        <v>46</v>
      </c>
      <c r="B24" s="121">
        <v>0.27</v>
      </c>
      <c r="C24" s="61"/>
      <c r="D24" s="207">
        <v>19</v>
      </c>
      <c r="E24" s="125">
        <v>1.1641999999999999</v>
      </c>
      <c r="F24" s="61"/>
      <c r="G24" s="61"/>
      <c r="H24" s="61"/>
      <c r="I24" s="61"/>
      <c r="J24" s="19">
        <v>20</v>
      </c>
      <c r="K24" s="121">
        <v>0.88888888888888928</v>
      </c>
      <c r="L24" s="61"/>
      <c r="M24" s="294">
        <v>20</v>
      </c>
      <c r="N24" s="121">
        <v>1.2131960091267173</v>
      </c>
      <c r="O24" s="61"/>
      <c r="P24" s="129">
        <v>74</v>
      </c>
      <c r="Q24" s="154">
        <v>0.59810174160155727</v>
      </c>
      <c r="R24" s="154">
        <v>0.59854625985804477</v>
      </c>
      <c r="S24" s="154">
        <v>0.59901520980888889</v>
      </c>
      <c r="T24" s="154">
        <v>0.59950967356705487</v>
      </c>
      <c r="U24" s="154">
        <v>0.60003077520904446</v>
      </c>
      <c r="V24" s="154">
        <v>0.60047026285671123</v>
      </c>
      <c r="W24" s="154">
        <v>0.60094719044143818</v>
      </c>
      <c r="X24" s="154">
        <v>0.60146085184373055</v>
      </c>
      <c r="Y24" s="154">
        <v>0.60201087127916597</v>
      </c>
      <c r="Z24" s="154">
        <v>0.60259746043076889</v>
      </c>
      <c r="AA24" s="154">
        <v>0.60322191288075944</v>
      </c>
      <c r="AB24" s="154">
        <v>0.60388517789878449</v>
      </c>
      <c r="AC24" s="154">
        <v>0.60458955180292795</v>
      </c>
      <c r="AD24" s="154">
        <v>0.60533772800126828</v>
      </c>
      <c r="AE24" s="154">
        <v>0.60613232687828023</v>
      </c>
      <c r="AF24" s="154">
        <v>0.60697590660481393</v>
      </c>
      <c r="AG24" s="154">
        <v>0.60787169127368657</v>
      </c>
      <c r="AH24" s="154">
        <v>0.60882262512383156</v>
      </c>
      <c r="AI24" s="154">
        <v>0.6098321008194787</v>
      </c>
      <c r="AJ24" s="154">
        <v>0.61090373137340892</v>
      </c>
      <c r="AK24" s="154">
        <v>0.6120411231512628</v>
      </c>
      <c r="AL24" s="154">
        <v>0.61324812622407598</v>
      </c>
      <c r="AM24" s="154">
        <v>0.61452860892043581</v>
      </c>
      <c r="AN24" s="154">
        <v>0.61588741868902197</v>
      </c>
      <c r="AO24" s="154">
        <v>0.61732896637481993</v>
      </c>
      <c r="AP24" s="154">
        <v>0.61885794945928829</v>
      </c>
      <c r="AQ24" s="154">
        <v>0.62047936134986448</v>
      </c>
      <c r="AR24" s="154">
        <v>0.62219849912943115</v>
      </c>
      <c r="AS24" s="154">
        <v>0.6240207346329556</v>
      </c>
      <c r="AT24" s="154">
        <v>0.62595199061886353</v>
      </c>
      <c r="AU24" s="154">
        <v>0.6279980383219701</v>
      </c>
      <c r="AV24" s="154">
        <v>0.63016497080488176</v>
      </c>
      <c r="AW24" s="154">
        <v>0.63245920218326712</v>
      </c>
      <c r="AX24" s="154">
        <v>0.6348872316123626</v>
      </c>
      <c r="AY24" s="154">
        <v>0.63745587207989707</v>
      </c>
      <c r="AZ24" s="154">
        <v>0.64017177985502571</v>
      </c>
      <c r="BA24" s="154">
        <v>0.64304237135173592</v>
      </c>
      <c r="BB24" s="154">
        <v>0.6460746525837433</v>
      </c>
      <c r="BC24" s="154">
        <v>0.64927544162904482</v>
      </c>
      <c r="BD24" s="154">
        <v>0.65265203899569857</v>
      </c>
      <c r="BE24" s="154">
        <v>0.65621151521178778</v>
      </c>
      <c r="BF24" s="154">
        <v>0.65995663817083727</v>
      </c>
      <c r="BG24" s="154">
        <v>0.66388531270255846</v>
      </c>
      <c r="BH24" s="154">
        <v>0.6679972147186628</v>
      </c>
      <c r="BI24" s="154">
        <v>0.67229246798066378</v>
      </c>
      <c r="BJ24" s="154">
        <v>0.67677277695322258</v>
      </c>
      <c r="BK24" s="154">
        <v>0.68144053723864018</v>
      </c>
      <c r="BL24" s="154">
        <v>0.68629926539586161</v>
      </c>
      <c r="BM24" s="154">
        <v>0.69135334522019265</v>
      </c>
      <c r="BN24" s="154">
        <v>0.69660754926828794</v>
      </c>
      <c r="BO24" s="154">
        <v>0.70206803520050665</v>
      </c>
      <c r="BP24" s="154">
        <v>0.70774033025768035</v>
      </c>
      <c r="BQ24" s="154">
        <v>0.71363132188902412</v>
      </c>
      <c r="BR24" s="154">
        <v>0.71974720185268015</v>
      </c>
      <c r="BS24" s="154">
        <v>0.72609431873605124</v>
      </c>
      <c r="BT24" s="154">
        <v>0.73267812791551989</v>
      </c>
      <c r="BU24" s="154">
        <v>0.73950411155330165</v>
      </c>
      <c r="BV24" s="154">
        <v>0.74657584328630255</v>
      </c>
      <c r="BW24" s="154">
        <v>0.75388808496443427</v>
      </c>
      <c r="BX24" s="154">
        <v>0.76141371768017363</v>
      </c>
      <c r="BY24" s="154">
        <v>0.76913053186641767</v>
      </c>
      <c r="BZ24" s="154">
        <v>0.7770223810001855</v>
      </c>
      <c r="CA24" s="154">
        <v>0.78507666311226343</v>
      </c>
      <c r="CB24" s="154">
        <v>0.79327535180769304</v>
      </c>
      <c r="CC24" s="154">
        <v>0.80158394461753246</v>
      </c>
      <c r="CD24" s="154">
        <v>0.8099559560304217</v>
      </c>
      <c r="CE24" s="154">
        <v>0.81834684503285759</v>
      </c>
      <c r="CF24" s="154">
        <v>0.82671794241576069</v>
      </c>
      <c r="CG24" s="154">
        <v>0.8350466669620028</v>
      </c>
      <c r="CH24" s="154">
        <v>0.84328760109751555</v>
      </c>
      <c r="CI24" s="154">
        <v>0.85139432216437927</v>
      </c>
      <c r="CJ24" s="154">
        <v>0.85935188892506553</v>
      </c>
      <c r="CK24" s="154">
        <v>0.86718630897199378</v>
      </c>
      <c r="CL24" s="154">
        <v>0.874927266199094</v>
      </c>
      <c r="CM24" s="154">
        <v>0.88257145029147133</v>
      </c>
      <c r="CN24" s="255">
        <v>1.1140000000000001</v>
      </c>
      <c r="CO24" s="255">
        <v>1.1237999999999999</v>
      </c>
      <c r="CP24" s="255">
        <v>1.1333</v>
      </c>
      <c r="CQ24" s="255">
        <v>1.1425000000000001</v>
      </c>
      <c r="CR24" s="255">
        <v>1.1513</v>
      </c>
      <c r="CS24" s="255">
        <v>1.1596</v>
      </c>
      <c r="CT24" s="255">
        <v>1.1676</v>
      </c>
      <c r="CU24" s="255">
        <v>1.1752</v>
      </c>
      <c r="CV24" s="255">
        <v>1.1822999999999999</v>
      </c>
      <c r="CW24" s="256">
        <v>1.1891</v>
      </c>
      <c r="CX24" s="61"/>
      <c r="CY24" s="103"/>
      <c r="CZ24" s="103"/>
      <c r="DD24" s="75"/>
      <c r="DE24" s="75"/>
      <c r="DH24" s="65"/>
      <c r="DL24" t="s">
        <v>136</v>
      </c>
      <c r="DM24">
        <v>0</v>
      </c>
      <c r="DN24" t="s">
        <v>417</v>
      </c>
      <c r="DO24" s="45">
        <v>0</v>
      </c>
      <c r="DP24" s="45">
        <v>0</v>
      </c>
      <c r="DQ24" s="45">
        <v>0</v>
      </c>
      <c r="DW24" s="92">
        <v>1928</v>
      </c>
      <c r="DX24" s="16">
        <v>22536</v>
      </c>
      <c r="DY24" s="46">
        <v>22656</v>
      </c>
      <c r="DZ24" s="46">
        <v>22716</v>
      </c>
      <c r="EA24" s="46">
        <v>22716</v>
      </c>
      <c r="EB24" s="46">
        <v>22716</v>
      </c>
      <c r="EC24" s="46">
        <v>22716</v>
      </c>
      <c r="ED24" s="46">
        <v>22716</v>
      </c>
      <c r="EE24" s="46">
        <v>22716</v>
      </c>
      <c r="EF24" s="46">
        <v>22716</v>
      </c>
      <c r="EG24" s="46">
        <v>22716</v>
      </c>
      <c r="EH24" s="46">
        <v>22716</v>
      </c>
      <c r="EI24" s="46">
        <v>22716</v>
      </c>
      <c r="EJ24" s="46">
        <v>22716</v>
      </c>
      <c r="EK24" s="206">
        <v>22716</v>
      </c>
      <c r="EN24" s="42">
        <v>1928</v>
      </c>
      <c r="EO24" s="105">
        <v>17916</v>
      </c>
      <c r="EP24" s="126">
        <v>18888</v>
      </c>
      <c r="EQ24" s="148">
        <v>19452</v>
      </c>
      <c r="ER24" s="126">
        <v>19872</v>
      </c>
      <c r="ES24" s="126">
        <v>20364</v>
      </c>
      <c r="ET24" s="126">
        <v>20688</v>
      </c>
      <c r="EU24" s="126">
        <v>20856</v>
      </c>
      <c r="EV24" s="40">
        <v>21972</v>
      </c>
      <c r="EW24" s="126">
        <v>22356</v>
      </c>
      <c r="EX24" s="200">
        <v>22536</v>
      </c>
      <c r="EY24" s="46">
        <v>22656</v>
      </c>
      <c r="EZ24" s="46">
        <v>22716</v>
      </c>
      <c r="FA24" s="46">
        <v>22716</v>
      </c>
      <c r="FB24" s="46">
        <v>22716</v>
      </c>
      <c r="FC24" s="46">
        <v>22716</v>
      </c>
      <c r="FD24" s="46">
        <v>22716</v>
      </c>
      <c r="FE24" s="46">
        <v>22716</v>
      </c>
      <c r="FF24" s="46">
        <v>22716</v>
      </c>
      <c r="FG24" s="46">
        <v>22716</v>
      </c>
      <c r="FH24" s="46">
        <v>22716</v>
      </c>
      <c r="FI24" s="46">
        <v>22716</v>
      </c>
      <c r="FJ24" s="46">
        <v>22716</v>
      </c>
      <c r="FK24" s="206">
        <v>22716</v>
      </c>
    </row>
    <row r="25" spans="1:167" ht="16.5" thickBot="1" x14ac:dyDescent="0.3">
      <c r="A25" s="163">
        <v>45</v>
      </c>
      <c r="B25" s="121">
        <v>0.25</v>
      </c>
      <c r="C25" s="61"/>
      <c r="D25" s="207">
        <v>20</v>
      </c>
      <c r="E25" s="125">
        <v>1.1733</v>
      </c>
      <c r="F25" s="61"/>
      <c r="G25" s="61"/>
      <c r="H25" s="61"/>
      <c r="I25" s="61"/>
      <c r="J25" s="19">
        <v>21</v>
      </c>
      <c r="K25" s="121">
        <v>0.88333333333333375</v>
      </c>
      <c r="L25" s="61"/>
      <c r="M25" s="294">
        <v>21</v>
      </c>
      <c r="N25" s="121">
        <v>1.2247969188107894</v>
      </c>
      <c r="O25" s="61"/>
      <c r="P25" s="83">
        <v>75</v>
      </c>
      <c r="Q25" s="5">
        <v>0.58235806139169455</v>
      </c>
      <c r="R25" s="36">
        <v>0.58279832155210154</v>
      </c>
      <c r="S25" s="36">
        <v>0.5832628034300722</v>
      </c>
      <c r="T25" s="36">
        <v>0.58375254611324989</v>
      </c>
      <c r="U25" s="36">
        <v>0.58426863068080936</v>
      </c>
      <c r="V25" s="36">
        <v>0.5847014271895945</v>
      </c>
      <c r="W25" s="36">
        <v>0.58517139161699705</v>
      </c>
      <c r="X25" s="36">
        <v>0.58567777419470268</v>
      </c>
      <c r="Y25" s="36">
        <v>0.5862201555501434</v>
      </c>
      <c r="Z25" s="36">
        <v>0.58679870753404928</v>
      </c>
      <c r="AA25" s="36">
        <v>0.58741469444852612</v>
      </c>
      <c r="AB25" s="36">
        <v>0.58806902932679117</v>
      </c>
      <c r="AC25" s="36">
        <v>0.58876398700921528</v>
      </c>
      <c r="AD25" s="36">
        <v>0.58950224261903517</v>
      </c>
      <c r="AE25" s="36">
        <v>0.59028639553060858</v>
      </c>
      <c r="AF25" s="36">
        <v>0.59111898036285349</v>
      </c>
      <c r="AG25" s="36">
        <v>0.5920032049669236</v>
      </c>
      <c r="AH25" s="36">
        <v>0.59294199252936297</v>
      </c>
      <c r="AI25" s="36">
        <v>0.59393871991735758</v>
      </c>
      <c r="AJ25" s="36">
        <v>0.59499698718355076</v>
      </c>
      <c r="AK25" s="36">
        <v>0.59612038809765122</v>
      </c>
      <c r="AL25" s="36">
        <v>0.59731276470135597</v>
      </c>
      <c r="AM25" s="36">
        <v>0.59857797959886494</v>
      </c>
      <c r="AN25" s="36">
        <v>0.59992089180981822</v>
      </c>
      <c r="AO25" s="36">
        <v>0.60134592213012827</v>
      </c>
      <c r="AP25" s="36">
        <v>0.60285778803998169</v>
      </c>
      <c r="AQ25" s="36">
        <v>0.60446151485343247</v>
      </c>
      <c r="AR25" s="36">
        <v>0.60616244543790554</v>
      </c>
      <c r="AS25" s="36">
        <v>0.60796600963426628</v>
      </c>
      <c r="AT25" s="36">
        <v>0.60987820992976394</v>
      </c>
      <c r="AU25" s="36">
        <v>0.61190490990571023</v>
      </c>
      <c r="AV25" s="36">
        <v>0.61405231705232255</v>
      </c>
      <c r="AW25" s="36">
        <v>0.61632698413393572</v>
      </c>
      <c r="AX25" s="36">
        <v>0.61873557106820043</v>
      </c>
      <c r="AY25" s="36">
        <v>0.62128507937498489</v>
      </c>
      <c r="AZ25" s="36">
        <v>0.62398237469537421</v>
      </c>
      <c r="BA25" s="36">
        <v>0.62683512179059975</v>
      </c>
      <c r="BB25" s="36">
        <v>0.62985059380653752</v>
      </c>
      <c r="BC25" s="36">
        <v>0.63303589924560666</v>
      </c>
      <c r="BD25" s="36">
        <v>0.6363986669937346</v>
      </c>
      <c r="BE25" s="36">
        <v>0.6399463222267836</v>
      </c>
      <c r="BF25" s="36">
        <v>0.64368192687467263</v>
      </c>
      <c r="BG25" s="36">
        <v>0.64760359714785487</v>
      </c>
      <c r="BH25" s="36">
        <v>0.65171128206624329</v>
      </c>
      <c r="BI25" s="36">
        <v>0.65600542044040067</v>
      </c>
      <c r="BJ25" s="36">
        <v>0.66048811109970629</v>
      </c>
      <c r="BK25" s="36">
        <v>0.66516221515048346</v>
      </c>
      <c r="BL25" s="36">
        <v>0.67003181021923086</v>
      </c>
      <c r="BM25" s="36">
        <v>0.67510194551260883</v>
      </c>
      <c r="BN25" s="36">
        <v>0.68037816502838477</v>
      </c>
      <c r="BO25" s="36">
        <v>0.685867547308744</v>
      </c>
      <c r="BP25" s="36">
        <v>0.69157664632199523</v>
      </c>
      <c r="BQ25" s="36">
        <v>0.69751355497021061</v>
      </c>
      <c r="BR25" s="36">
        <v>0.70368579839605416</v>
      </c>
      <c r="BS25" s="36">
        <v>0.7101012200330159</v>
      </c>
      <c r="BT25" s="36">
        <v>0.71676690002200572</v>
      </c>
      <c r="BU25" s="36">
        <v>0.72369010718655302</v>
      </c>
      <c r="BV25" s="36">
        <v>0.73087628922575942</v>
      </c>
      <c r="BW25" s="36">
        <v>0.73832187049177023</v>
      </c>
      <c r="BX25" s="36">
        <v>0.74600054412462757</v>
      </c>
      <c r="BY25" s="36">
        <v>0.75389106164080055</v>
      </c>
      <c r="BZ25" s="36">
        <v>0.76197846221525056</v>
      </c>
      <c r="CA25" s="36">
        <v>0.77025146684075696</v>
      </c>
      <c r="CB25" s="36">
        <v>0.77869306896589785</v>
      </c>
      <c r="CC25" s="36">
        <v>0.78726882381671104</v>
      </c>
      <c r="CD25" s="36">
        <v>0.79593139729558005</v>
      </c>
      <c r="CE25" s="36">
        <v>0.80463514328383279</v>
      </c>
      <c r="CF25" s="36">
        <v>0.8133402685044151</v>
      </c>
      <c r="CG25" s="36">
        <v>0.82202373793305039</v>
      </c>
      <c r="CH25" s="36">
        <v>0.83063801590051822</v>
      </c>
      <c r="CI25" s="36">
        <v>0.83913407807307661</v>
      </c>
      <c r="CJ25" s="36">
        <v>0.84749611546012427</v>
      </c>
      <c r="CK25" s="36">
        <v>0.85575201876032958</v>
      </c>
      <c r="CL25" s="36">
        <v>0.86393377824383322</v>
      </c>
      <c r="CM25" s="36">
        <v>0.87203798607009786</v>
      </c>
      <c r="CN25" s="257">
        <v>1.127</v>
      </c>
      <c r="CO25" s="257">
        <v>1.1377999999999999</v>
      </c>
      <c r="CP25" s="257">
        <v>1.1482000000000001</v>
      </c>
      <c r="CQ25" s="257">
        <v>1.1581999999999999</v>
      </c>
      <c r="CR25" s="257">
        <v>1.1678999999999999</v>
      </c>
      <c r="CS25" s="257">
        <v>1.1772</v>
      </c>
      <c r="CT25" s="257">
        <v>1.1859999999999999</v>
      </c>
      <c r="CU25" s="257">
        <v>1.1943999999999999</v>
      </c>
      <c r="CV25" s="257">
        <v>1.2023999999999999</v>
      </c>
      <c r="CW25" s="258">
        <v>1.2099</v>
      </c>
      <c r="CX25" s="61"/>
      <c r="CY25" s="103"/>
      <c r="CZ25" s="103"/>
      <c r="DD25" s="75"/>
      <c r="DE25" s="75"/>
      <c r="DH25" s="65"/>
      <c r="DL25" t="s">
        <v>347</v>
      </c>
      <c r="DM25">
        <v>0</v>
      </c>
      <c r="DN25" t="s">
        <v>417</v>
      </c>
      <c r="DO25" s="45">
        <v>0</v>
      </c>
      <c r="DP25" s="45">
        <v>0</v>
      </c>
      <c r="DQ25" s="45">
        <v>0</v>
      </c>
      <c r="DW25" s="92">
        <v>1929</v>
      </c>
      <c r="DX25" s="16">
        <v>23928</v>
      </c>
      <c r="DY25" s="46">
        <v>24108</v>
      </c>
      <c r="DZ25" s="46">
        <v>24228</v>
      </c>
      <c r="EA25" s="46">
        <v>24312</v>
      </c>
      <c r="EB25" s="46">
        <v>24312</v>
      </c>
      <c r="EC25" s="46">
        <v>24312</v>
      </c>
      <c r="ED25" s="46">
        <v>24312</v>
      </c>
      <c r="EE25" s="46">
        <v>24312</v>
      </c>
      <c r="EF25" s="46">
        <v>24312</v>
      </c>
      <c r="EG25" s="46">
        <v>24312</v>
      </c>
      <c r="EH25" s="46">
        <v>24312</v>
      </c>
      <c r="EI25" s="46">
        <v>24312</v>
      </c>
      <c r="EJ25" s="46">
        <v>24312</v>
      </c>
      <c r="EK25" s="206">
        <v>24312</v>
      </c>
      <c r="EN25" s="42">
        <v>1929</v>
      </c>
      <c r="EO25" s="105">
        <v>18336</v>
      </c>
      <c r="EP25" s="126">
        <v>19368</v>
      </c>
      <c r="EQ25" s="148">
        <v>19968</v>
      </c>
      <c r="ER25" s="126">
        <v>20436</v>
      </c>
      <c r="ES25" s="126">
        <v>20988</v>
      </c>
      <c r="ET25" s="126">
        <v>21348</v>
      </c>
      <c r="EU25" s="126">
        <v>21552</v>
      </c>
      <c r="EV25" s="40">
        <v>23208</v>
      </c>
      <c r="EW25" s="126">
        <v>23688</v>
      </c>
      <c r="EX25" s="200">
        <v>23928</v>
      </c>
      <c r="EY25" s="46">
        <v>24108</v>
      </c>
      <c r="EZ25" s="46">
        <v>24228</v>
      </c>
      <c r="FA25" s="46">
        <v>24312</v>
      </c>
      <c r="FB25" s="46">
        <v>24312</v>
      </c>
      <c r="FC25" s="46">
        <v>24312</v>
      </c>
      <c r="FD25" s="46">
        <v>24312</v>
      </c>
      <c r="FE25" s="46">
        <v>24312</v>
      </c>
      <c r="FF25" s="46">
        <v>24312</v>
      </c>
      <c r="FG25" s="46">
        <v>24312</v>
      </c>
      <c r="FH25" s="46">
        <v>24312</v>
      </c>
      <c r="FI25" s="46">
        <v>24312</v>
      </c>
      <c r="FJ25" s="46">
        <v>24312</v>
      </c>
      <c r="FK25" s="206">
        <v>24312</v>
      </c>
    </row>
    <row r="26" spans="1:167" ht="15.75" x14ac:dyDescent="0.25">
      <c r="A26" s="11">
        <v>44</v>
      </c>
      <c r="B26" s="121">
        <v>0.24</v>
      </c>
      <c r="C26" s="61"/>
      <c r="D26" s="207">
        <v>21</v>
      </c>
      <c r="E26" s="125">
        <v>1.1825000000000001</v>
      </c>
      <c r="F26" s="61"/>
      <c r="G26" s="61"/>
      <c r="H26" s="61"/>
      <c r="I26" s="61"/>
      <c r="J26" s="19">
        <v>22</v>
      </c>
      <c r="K26" s="121">
        <v>0.87777777777777821</v>
      </c>
      <c r="L26" s="61"/>
      <c r="M26" s="294">
        <v>22</v>
      </c>
      <c r="N26" s="121">
        <v>1.2363978284948614</v>
      </c>
      <c r="O26" s="61"/>
      <c r="P26" s="61"/>
      <c r="Q26" s="61"/>
      <c r="R26" s="61"/>
      <c r="S26" s="61"/>
      <c r="T26" s="61"/>
      <c r="U26" s="61"/>
      <c r="V26" s="61"/>
      <c r="W26" s="61"/>
      <c r="X26" s="61"/>
      <c r="Y26" s="61"/>
      <c r="Z26" s="61"/>
      <c r="AA26" s="61"/>
      <c r="AB26" s="61"/>
      <c r="AC26" s="61"/>
      <c r="AD26" s="61"/>
      <c r="AE26" s="61"/>
      <c r="AF26" s="61"/>
      <c r="AG26" s="61"/>
      <c r="AH26" s="61"/>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c r="CE26" s="61"/>
      <c r="CF26" s="61"/>
      <c r="CG26" s="61"/>
      <c r="CH26" s="61"/>
      <c r="CI26" s="61"/>
      <c r="CJ26" s="61"/>
      <c r="CK26" s="61"/>
      <c r="CL26" s="61"/>
      <c r="CM26" s="61"/>
      <c r="CN26" s="61"/>
      <c r="CO26" s="61"/>
      <c r="CP26" s="61"/>
      <c r="CQ26" s="61"/>
      <c r="CR26" s="61"/>
      <c r="CS26" s="61"/>
      <c r="CT26" s="61"/>
      <c r="CU26" s="61"/>
      <c r="CV26" s="61"/>
      <c r="CW26" s="61"/>
      <c r="CX26" s="61"/>
      <c r="CY26" s="149">
        <v>0.06</v>
      </c>
      <c r="CZ26">
        <v>999</v>
      </c>
      <c r="DL26" t="s">
        <v>399</v>
      </c>
      <c r="DM26">
        <v>0</v>
      </c>
      <c r="DN26" t="s">
        <v>417</v>
      </c>
      <c r="DO26" s="45">
        <v>0</v>
      </c>
      <c r="DP26" s="45">
        <v>0</v>
      </c>
      <c r="DQ26" s="45">
        <v>0</v>
      </c>
      <c r="DW26" s="92">
        <v>1930</v>
      </c>
      <c r="DX26" s="16">
        <v>25308</v>
      </c>
      <c r="DY26" s="46">
        <v>25548</v>
      </c>
      <c r="DZ26" s="46">
        <v>25728</v>
      </c>
      <c r="EA26" s="46">
        <v>25908</v>
      </c>
      <c r="EB26" s="46">
        <v>25920</v>
      </c>
      <c r="EC26" s="46">
        <v>25920</v>
      </c>
      <c r="ED26" s="46">
        <v>25920</v>
      </c>
      <c r="EE26" s="46">
        <v>25920</v>
      </c>
      <c r="EF26" s="46">
        <v>25920</v>
      </c>
      <c r="EG26" s="46">
        <v>25920</v>
      </c>
      <c r="EH26" s="46">
        <v>25920</v>
      </c>
      <c r="EI26" s="46">
        <v>25920</v>
      </c>
      <c r="EJ26" s="46">
        <v>25920</v>
      </c>
      <c r="EK26" s="206">
        <v>25920</v>
      </c>
      <c r="EN26" s="42">
        <v>1930</v>
      </c>
      <c r="EO26" s="105">
        <v>19128</v>
      </c>
      <c r="EP26" s="126">
        <v>20256</v>
      </c>
      <c r="EQ26" s="148">
        <v>20916</v>
      </c>
      <c r="ER26" s="126">
        <v>21432</v>
      </c>
      <c r="ES26" s="126">
        <v>22044</v>
      </c>
      <c r="ET26" s="126">
        <v>22452</v>
      </c>
      <c r="EU26" s="126">
        <v>22692</v>
      </c>
      <c r="EV26" s="40">
        <v>24444</v>
      </c>
      <c r="EW26" s="126">
        <v>25008</v>
      </c>
      <c r="EX26" s="200">
        <v>25308</v>
      </c>
      <c r="EY26" s="46">
        <v>25548</v>
      </c>
      <c r="EZ26" s="46">
        <v>25728</v>
      </c>
      <c r="FA26" s="46">
        <v>25908</v>
      </c>
      <c r="FB26" s="46">
        <v>25920</v>
      </c>
      <c r="FC26" s="46">
        <v>25920</v>
      </c>
      <c r="FD26" s="46">
        <v>25920</v>
      </c>
      <c r="FE26" s="46">
        <v>25920</v>
      </c>
      <c r="FF26" s="46">
        <v>25920</v>
      </c>
      <c r="FG26" s="46">
        <v>25920</v>
      </c>
      <c r="FH26" s="46">
        <v>25920</v>
      </c>
      <c r="FI26" s="46">
        <v>25920</v>
      </c>
      <c r="FJ26" s="46">
        <v>25920</v>
      </c>
      <c r="FK26" s="206">
        <v>25920</v>
      </c>
    </row>
    <row r="27" spans="1:167" ht="15.75" x14ac:dyDescent="0.25">
      <c r="A27" s="163">
        <v>43</v>
      </c>
      <c r="B27" s="121">
        <v>0.23</v>
      </c>
      <c r="C27" s="61"/>
      <c r="D27" s="207">
        <v>22</v>
      </c>
      <c r="E27" s="125">
        <v>1.1917</v>
      </c>
      <c r="F27" s="61"/>
      <c r="G27" s="61"/>
      <c r="H27" s="61"/>
      <c r="I27" s="61"/>
      <c r="J27" s="19">
        <v>23</v>
      </c>
      <c r="K27" s="121">
        <v>0.87222222222222268</v>
      </c>
      <c r="L27" s="61"/>
      <c r="M27" s="294">
        <v>23</v>
      </c>
      <c r="N27" s="121">
        <v>1.2479987381789335</v>
      </c>
      <c r="O27" s="61"/>
      <c r="P27" s="61"/>
      <c r="Q27" s="61"/>
      <c r="R27" s="61"/>
      <c r="S27" s="61"/>
      <c r="T27" s="61"/>
      <c r="U27" s="61"/>
      <c r="V27" s="61"/>
      <c r="W27" s="61"/>
      <c r="X27" s="61"/>
      <c r="Y27" s="61"/>
      <c r="Z27" s="61"/>
      <c r="AA27" s="61"/>
      <c r="AB27" s="61"/>
      <c r="AC27" s="61"/>
      <c r="AD27" s="61"/>
      <c r="AE27" s="61"/>
      <c r="AF27" s="61"/>
      <c r="AG27" s="61"/>
      <c r="AH27" s="61"/>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c r="CE27" s="61"/>
      <c r="CF27" s="61"/>
      <c r="CG27" s="61"/>
      <c r="CH27" s="61"/>
      <c r="CI27" s="61"/>
      <c r="CJ27" s="61"/>
      <c r="CK27" s="61"/>
      <c r="CL27" s="61"/>
      <c r="CM27" s="61"/>
      <c r="CN27" s="61"/>
      <c r="CO27" s="61"/>
      <c r="CP27" s="61"/>
      <c r="CQ27" s="61"/>
      <c r="CR27" s="61"/>
      <c r="CS27" s="61"/>
      <c r="CT27" s="61"/>
      <c r="CU27" s="61"/>
      <c r="CV27" s="61"/>
      <c r="CW27" s="61"/>
      <c r="CX27" s="61"/>
      <c r="DL27" t="s">
        <v>125</v>
      </c>
      <c r="DM27">
        <v>0</v>
      </c>
      <c r="DN27" t="s">
        <v>417</v>
      </c>
      <c r="DO27" s="45">
        <v>0</v>
      </c>
      <c r="DP27" s="45">
        <v>0</v>
      </c>
      <c r="DQ27" s="45">
        <v>0</v>
      </c>
      <c r="DW27" s="92">
        <v>1931</v>
      </c>
      <c r="DX27" s="16">
        <v>26700</v>
      </c>
      <c r="DY27" s="46">
        <v>27000</v>
      </c>
      <c r="DZ27" s="46">
        <v>27240</v>
      </c>
      <c r="EA27" s="46">
        <v>27492</v>
      </c>
      <c r="EB27" s="46">
        <v>27528</v>
      </c>
      <c r="EC27" s="46">
        <v>27576</v>
      </c>
      <c r="ED27" s="46">
        <v>27576</v>
      </c>
      <c r="EE27" s="46">
        <v>27576</v>
      </c>
      <c r="EF27" s="46">
        <v>27576</v>
      </c>
      <c r="EG27" s="46">
        <v>27576</v>
      </c>
      <c r="EH27" s="46">
        <v>27576</v>
      </c>
      <c r="EI27" s="46">
        <v>27576</v>
      </c>
      <c r="EJ27" s="46">
        <v>27576</v>
      </c>
      <c r="EK27" s="206">
        <v>27576</v>
      </c>
      <c r="EN27" s="42">
        <v>1931</v>
      </c>
      <c r="EO27" s="105">
        <v>19908</v>
      </c>
      <c r="EP27" s="126">
        <v>21132</v>
      </c>
      <c r="EQ27" s="148">
        <v>21852</v>
      </c>
      <c r="ER27" s="126">
        <v>22428</v>
      </c>
      <c r="ES27" s="126">
        <v>23112</v>
      </c>
      <c r="ET27" s="126">
        <v>23568</v>
      </c>
      <c r="EU27" s="126">
        <v>23844</v>
      </c>
      <c r="EV27" s="40">
        <v>25680</v>
      </c>
      <c r="EW27" s="126">
        <v>26340</v>
      </c>
      <c r="EX27" s="200">
        <v>26700</v>
      </c>
      <c r="EY27" s="46">
        <v>27000</v>
      </c>
      <c r="EZ27" s="46">
        <v>27240</v>
      </c>
      <c r="FA27" s="46">
        <v>27492</v>
      </c>
      <c r="FB27" s="46">
        <v>27528</v>
      </c>
      <c r="FC27" s="46">
        <v>27576</v>
      </c>
      <c r="FD27" s="46">
        <v>27576</v>
      </c>
      <c r="FE27" s="46">
        <v>27576</v>
      </c>
      <c r="FF27" s="46">
        <v>27576</v>
      </c>
      <c r="FG27" s="46">
        <v>27576</v>
      </c>
      <c r="FH27" s="46">
        <v>27576</v>
      </c>
      <c r="FI27" s="46">
        <v>27576</v>
      </c>
      <c r="FJ27" s="46">
        <v>27576</v>
      </c>
      <c r="FK27" s="206">
        <v>27576</v>
      </c>
    </row>
    <row r="28" spans="1:167" ht="15.75" x14ac:dyDescent="0.25">
      <c r="A28" s="19">
        <v>42</v>
      </c>
      <c r="B28" s="121">
        <v>0.22</v>
      </c>
      <c r="C28" s="61"/>
      <c r="D28" s="207">
        <v>23</v>
      </c>
      <c r="E28" s="125">
        <v>1.2008000000000001</v>
      </c>
      <c r="F28" s="61"/>
      <c r="G28" s="61"/>
      <c r="H28" s="61"/>
      <c r="I28" s="61"/>
      <c r="J28" s="19">
        <v>24</v>
      </c>
      <c r="K28" s="121">
        <v>0.86666666666666714</v>
      </c>
      <c r="L28" s="61"/>
      <c r="M28" s="294">
        <v>24</v>
      </c>
      <c r="N28" s="121">
        <v>1.2595996478630054</v>
      </c>
      <c r="O28" s="61"/>
      <c r="P28" s="183" t="s">
        <v>153</v>
      </c>
      <c r="Q28" s="61"/>
      <c r="R28" s="61"/>
      <c r="S28" s="61"/>
      <c r="T28" s="61"/>
      <c r="U28" s="61"/>
      <c r="V28" s="61"/>
      <c r="W28" s="61"/>
      <c r="X28" s="61"/>
      <c r="Y28" s="61"/>
      <c r="Z28" s="61"/>
      <c r="AA28" s="61"/>
      <c r="AB28" s="61"/>
      <c r="AC28" s="61"/>
      <c r="AD28" s="61"/>
      <c r="AE28" s="61"/>
      <c r="AF28" s="61"/>
      <c r="AG28" s="61"/>
      <c r="AH28" s="61"/>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c r="CE28" s="61"/>
      <c r="CF28" s="61"/>
      <c r="CG28" s="61"/>
      <c r="CH28" s="61"/>
      <c r="CI28" s="61"/>
      <c r="CJ28" s="61"/>
      <c r="CK28" s="61"/>
      <c r="CL28" s="61"/>
      <c r="CM28" s="61"/>
      <c r="CN28" s="61"/>
      <c r="CO28" s="61"/>
      <c r="CP28" s="61"/>
      <c r="CQ28" s="61"/>
      <c r="CR28" s="61"/>
      <c r="CS28" s="61"/>
      <c r="CT28" s="61"/>
      <c r="CU28" s="61"/>
      <c r="CV28" s="61"/>
      <c r="CW28" s="61"/>
      <c r="CX28" s="61"/>
      <c r="DO28" s="45">
        <v>0</v>
      </c>
      <c r="DP28" s="45"/>
      <c r="DQ28" s="45">
        <v>0</v>
      </c>
      <c r="DW28" s="92">
        <v>1932</v>
      </c>
      <c r="DX28" s="16">
        <v>28092</v>
      </c>
      <c r="DY28" s="46">
        <v>28452</v>
      </c>
      <c r="DZ28" s="46">
        <v>28752</v>
      </c>
      <c r="EA28" s="46">
        <v>29088</v>
      </c>
      <c r="EB28" s="46">
        <v>29148</v>
      </c>
      <c r="EC28" s="46">
        <v>29232</v>
      </c>
      <c r="ED28" s="46">
        <v>29304</v>
      </c>
      <c r="EE28" s="46">
        <v>29304</v>
      </c>
      <c r="EF28" s="46">
        <v>29304</v>
      </c>
      <c r="EG28" s="46">
        <v>29304</v>
      </c>
      <c r="EH28" s="46">
        <v>29304</v>
      </c>
      <c r="EI28" s="46">
        <v>29304</v>
      </c>
      <c r="EJ28" s="46">
        <v>29304</v>
      </c>
      <c r="EK28" s="206">
        <v>29304</v>
      </c>
      <c r="EN28" s="42">
        <v>1932</v>
      </c>
      <c r="EO28" s="105">
        <v>20700</v>
      </c>
      <c r="EP28" s="126">
        <v>22020</v>
      </c>
      <c r="EQ28" s="148">
        <v>22800</v>
      </c>
      <c r="ER28" s="126">
        <v>23412</v>
      </c>
      <c r="ES28" s="126">
        <v>24168</v>
      </c>
      <c r="ET28" s="126">
        <v>24684</v>
      </c>
      <c r="EU28" s="126">
        <v>24996</v>
      </c>
      <c r="EV28" s="40">
        <v>26916</v>
      </c>
      <c r="EW28" s="126">
        <v>27672</v>
      </c>
      <c r="EX28" s="200">
        <v>28092</v>
      </c>
      <c r="EY28" s="46">
        <v>28452</v>
      </c>
      <c r="EZ28" s="46">
        <v>28752</v>
      </c>
      <c r="FA28" s="46">
        <v>29088</v>
      </c>
      <c r="FB28" s="46">
        <v>29148</v>
      </c>
      <c r="FC28" s="46">
        <v>29232</v>
      </c>
      <c r="FD28" s="46">
        <v>29304</v>
      </c>
      <c r="FE28" s="46">
        <v>29304</v>
      </c>
      <c r="FF28" s="46">
        <v>29304</v>
      </c>
      <c r="FG28" s="46">
        <v>29304</v>
      </c>
      <c r="FH28" s="46">
        <v>29304</v>
      </c>
      <c r="FI28" s="46">
        <v>29304</v>
      </c>
      <c r="FJ28" s="46">
        <v>29304</v>
      </c>
      <c r="FK28" s="206">
        <v>29304</v>
      </c>
    </row>
    <row r="29" spans="1:167" ht="15.75" x14ac:dyDescent="0.25">
      <c r="A29" s="163">
        <v>41</v>
      </c>
      <c r="B29" s="121">
        <v>0.21</v>
      </c>
      <c r="C29" s="61"/>
      <c r="D29" s="207">
        <v>24</v>
      </c>
      <c r="E29" s="125">
        <v>1.21</v>
      </c>
      <c r="F29" s="61"/>
      <c r="G29" s="61"/>
      <c r="H29" s="61"/>
      <c r="I29" s="61"/>
      <c r="J29" s="19">
        <v>25</v>
      </c>
      <c r="K29" s="121">
        <v>0.8611111111111116</v>
      </c>
      <c r="L29" s="61"/>
      <c r="M29" s="294">
        <v>25</v>
      </c>
      <c r="N29" s="121">
        <v>1.2730753308531597</v>
      </c>
      <c r="O29" s="61"/>
      <c r="CX29" s="61"/>
      <c r="DP29" s="45"/>
      <c r="DW29" s="92">
        <v>1933</v>
      </c>
      <c r="DX29" s="16">
        <v>29472</v>
      </c>
      <c r="DY29" s="46">
        <v>29892</v>
      </c>
      <c r="DZ29" s="46">
        <v>30252</v>
      </c>
      <c r="EA29" s="46">
        <v>30684</v>
      </c>
      <c r="EB29" s="46">
        <v>30756</v>
      </c>
      <c r="EC29" s="46">
        <v>30888</v>
      </c>
      <c r="ED29" s="46">
        <v>31032</v>
      </c>
      <c r="EE29" s="46">
        <v>31128</v>
      </c>
      <c r="EF29" s="46">
        <v>31128</v>
      </c>
      <c r="EG29" s="46">
        <v>31128</v>
      </c>
      <c r="EH29" s="46">
        <v>31128</v>
      </c>
      <c r="EI29" s="46">
        <v>31128</v>
      </c>
      <c r="EJ29" s="46">
        <v>31128</v>
      </c>
      <c r="EK29" s="206">
        <v>31128</v>
      </c>
      <c r="EN29" s="42">
        <v>1933</v>
      </c>
      <c r="EO29" s="105">
        <v>21492</v>
      </c>
      <c r="EP29" s="126">
        <v>22908</v>
      </c>
      <c r="EQ29" s="148">
        <v>23748</v>
      </c>
      <c r="ER29" s="126">
        <v>24408</v>
      </c>
      <c r="ES29" s="126">
        <v>25236</v>
      </c>
      <c r="ET29" s="126">
        <v>25800</v>
      </c>
      <c r="EU29" s="126">
        <v>26148</v>
      </c>
      <c r="EV29" s="40">
        <v>28152</v>
      </c>
      <c r="EW29" s="126">
        <v>28992</v>
      </c>
      <c r="EX29" s="200">
        <v>29472</v>
      </c>
      <c r="EY29" s="46">
        <v>29892</v>
      </c>
      <c r="EZ29" s="46">
        <v>30252</v>
      </c>
      <c r="FA29" s="46">
        <v>30684</v>
      </c>
      <c r="FB29" s="46">
        <v>30756</v>
      </c>
      <c r="FC29" s="46">
        <v>30888</v>
      </c>
      <c r="FD29" s="46">
        <v>31032</v>
      </c>
      <c r="FE29" s="46">
        <v>31128</v>
      </c>
      <c r="FF29" s="46">
        <v>31128</v>
      </c>
      <c r="FG29" s="46">
        <v>31128</v>
      </c>
      <c r="FH29" s="46">
        <v>31128</v>
      </c>
      <c r="FI29" s="46">
        <v>31128</v>
      </c>
      <c r="FJ29" s="46">
        <v>31128</v>
      </c>
      <c r="FK29" s="206">
        <v>31128</v>
      </c>
    </row>
    <row r="30" spans="1:167" ht="16.5" thickBot="1" x14ac:dyDescent="0.3">
      <c r="A30" s="19">
        <v>40</v>
      </c>
      <c r="B30" s="121">
        <v>0.2</v>
      </c>
      <c r="C30" s="61"/>
      <c r="D30" s="207">
        <v>25</v>
      </c>
      <c r="E30" s="125">
        <v>1.2208000000000001</v>
      </c>
      <c r="F30" s="61"/>
      <c r="G30" s="61"/>
      <c r="H30" s="61"/>
      <c r="I30" s="61"/>
      <c r="J30" s="19">
        <v>26</v>
      </c>
      <c r="K30" s="121">
        <v>0.85555555555555607</v>
      </c>
      <c r="L30" s="61"/>
      <c r="M30" s="294">
        <v>26</v>
      </c>
      <c r="N30" s="121">
        <v>1.2865510138433141</v>
      </c>
      <c r="O30" s="61"/>
      <c r="P30" s="103"/>
      <c r="Q30" s="231" t="s">
        <v>477</v>
      </c>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c r="BS30" s="103"/>
      <c r="BT30" s="103"/>
      <c r="BU30" s="103"/>
      <c r="BV30" s="103"/>
      <c r="BW30" s="103"/>
      <c r="BX30" s="103"/>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61"/>
      <c r="DK30" t="s">
        <v>2</v>
      </c>
      <c r="DL30" t="s">
        <v>178</v>
      </c>
      <c r="DM30" s="75">
        <v>0</v>
      </c>
      <c r="DN30" t="s">
        <v>417</v>
      </c>
      <c r="DO30" s="272">
        <v>0</v>
      </c>
      <c r="DP30" s="272">
        <v>0</v>
      </c>
      <c r="DQ30" s="45">
        <v>0</v>
      </c>
      <c r="DR30" s="45"/>
      <c r="DS30" s="45"/>
      <c r="DW30" s="92">
        <v>1934</v>
      </c>
      <c r="DX30" s="16">
        <v>30864</v>
      </c>
      <c r="DY30" s="46">
        <v>31344</v>
      </c>
      <c r="DZ30" s="46">
        <v>31764</v>
      </c>
      <c r="EA30" s="46">
        <v>32280</v>
      </c>
      <c r="EB30" s="46">
        <v>32364</v>
      </c>
      <c r="EC30" s="46">
        <v>32532</v>
      </c>
      <c r="ED30" s="46">
        <v>32772</v>
      </c>
      <c r="EE30" s="46">
        <v>32940</v>
      </c>
      <c r="EF30" s="46">
        <v>33060</v>
      </c>
      <c r="EG30" s="46">
        <v>33060</v>
      </c>
      <c r="EH30" s="46">
        <v>33060</v>
      </c>
      <c r="EI30" s="46">
        <v>33060</v>
      </c>
      <c r="EJ30" s="46">
        <v>33060</v>
      </c>
      <c r="EK30" s="206">
        <v>33060</v>
      </c>
      <c r="EN30" s="42">
        <v>1934</v>
      </c>
      <c r="EO30" s="105">
        <v>22272</v>
      </c>
      <c r="EP30" s="126">
        <v>23784</v>
      </c>
      <c r="EQ30" s="148">
        <v>24684</v>
      </c>
      <c r="ER30" s="126">
        <v>25404</v>
      </c>
      <c r="ES30" s="126">
        <v>26292</v>
      </c>
      <c r="ET30" s="126">
        <v>26916</v>
      </c>
      <c r="EU30" s="126">
        <v>27288</v>
      </c>
      <c r="EV30" s="40">
        <v>29388</v>
      </c>
      <c r="EW30" s="126">
        <v>30324</v>
      </c>
      <c r="EX30" s="200">
        <v>30864</v>
      </c>
      <c r="EY30" s="46">
        <v>31344</v>
      </c>
      <c r="EZ30" s="46">
        <v>31764</v>
      </c>
      <c r="FA30" s="46">
        <v>32280</v>
      </c>
      <c r="FB30" s="46">
        <v>32364</v>
      </c>
      <c r="FC30" s="46">
        <v>32532</v>
      </c>
      <c r="FD30" s="46">
        <v>32772</v>
      </c>
      <c r="FE30" s="46">
        <v>32940</v>
      </c>
      <c r="FF30" s="46">
        <v>33060</v>
      </c>
      <c r="FG30" s="46">
        <v>33060</v>
      </c>
      <c r="FH30" s="46">
        <v>33060</v>
      </c>
      <c r="FI30" s="46">
        <v>33060</v>
      </c>
      <c r="FJ30" s="46">
        <v>33060</v>
      </c>
      <c r="FK30" s="206">
        <v>33060</v>
      </c>
    </row>
    <row r="31" spans="1:167" ht="16.5" thickBot="1" x14ac:dyDescent="0.3">
      <c r="A31" s="163">
        <v>39</v>
      </c>
      <c r="B31" s="121">
        <v>0.19</v>
      </c>
      <c r="C31" s="61"/>
      <c r="D31" s="207">
        <v>26</v>
      </c>
      <c r="E31" s="125">
        <v>1.2317</v>
      </c>
      <c r="F31" s="61"/>
      <c r="G31" s="61"/>
      <c r="H31" s="61"/>
      <c r="I31" s="61"/>
      <c r="J31" s="19">
        <v>27</v>
      </c>
      <c r="K31" s="121">
        <v>0.85000000000000053</v>
      </c>
      <c r="L31" s="61"/>
      <c r="M31" s="294">
        <v>27</v>
      </c>
      <c r="N31" s="121">
        <v>1.3000266968334684</v>
      </c>
      <c r="O31" s="61"/>
      <c r="P31" s="216" t="s">
        <v>443</v>
      </c>
      <c r="Q31" s="24">
        <v>1</v>
      </c>
      <c r="R31" s="79">
        <v>2</v>
      </c>
      <c r="S31" s="79">
        <v>3</v>
      </c>
      <c r="T31" s="79">
        <v>4</v>
      </c>
      <c r="U31" s="79">
        <v>5</v>
      </c>
      <c r="V31" s="79">
        <v>6</v>
      </c>
      <c r="W31" s="79">
        <v>7</v>
      </c>
      <c r="X31" s="79">
        <v>8</v>
      </c>
      <c r="Y31" s="79">
        <v>9</v>
      </c>
      <c r="Z31" s="79">
        <v>10</v>
      </c>
      <c r="AA31" s="79">
        <v>11</v>
      </c>
      <c r="AB31" s="79">
        <v>12</v>
      </c>
      <c r="AC31" s="79">
        <v>13</v>
      </c>
      <c r="AD31" s="79">
        <v>14</v>
      </c>
      <c r="AE31" s="79">
        <v>15</v>
      </c>
      <c r="AF31" s="79">
        <v>16</v>
      </c>
      <c r="AG31" s="79">
        <v>17</v>
      </c>
      <c r="AH31" s="79">
        <v>18</v>
      </c>
      <c r="AI31" s="79">
        <v>19</v>
      </c>
      <c r="AJ31" s="79">
        <v>20</v>
      </c>
      <c r="AK31" s="79">
        <v>21</v>
      </c>
      <c r="AL31" s="79">
        <v>22</v>
      </c>
      <c r="AM31" s="79">
        <v>23</v>
      </c>
      <c r="AN31" s="79">
        <v>24</v>
      </c>
      <c r="AO31" s="79">
        <v>25</v>
      </c>
      <c r="AP31" s="79">
        <v>26</v>
      </c>
      <c r="AQ31" s="79">
        <v>27</v>
      </c>
      <c r="AR31" s="79">
        <v>28</v>
      </c>
      <c r="AS31" s="79">
        <v>29</v>
      </c>
      <c r="AT31" s="79">
        <v>30</v>
      </c>
      <c r="AU31" s="79">
        <v>31</v>
      </c>
      <c r="AV31" s="79">
        <v>32</v>
      </c>
      <c r="AW31" s="79">
        <v>33</v>
      </c>
      <c r="AX31" s="79">
        <v>34</v>
      </c>
      <c r="AY31" s="79">
        <v>35</v>
      </c>
      <c r="AZ31" s="79">
        <v>36</v>
      </c>
      <c r="BA31" s="79">
        <v>37</v>
      </c>
      <c r="BB31" s="79">
        <v>38</v>
      </c>
      <c r="BC31" s="79">
        <v>39</v>
      </c>
      <c r="BD31" s="79">
        <v>40</v>
      </c>
      <c r="BE31" s="79">
        <v>41</v>
      </c>
      <c r="BF31" s="79">
        <v>42</v>
      </c>
      <c r="BG31" s="79">
        <v>43</v>
      </c>
      <c r="BH31" s="79">
        <v>44</v>
      </c>
      <c r="BI31" s="79">
        <v>45</v>
      </c>
      <c r="BJ31" s="79">
        <v>46</v>
      </c>
      <c r="BK31" s="79">
        <v>47</v>
      </c>
      <c r="BL31" s="79">
        <v>48</v>
      </c>
      <c r="BM31" s="79">
        <v>49</v>
      </c>
      <c r="BN31" s="79">
        <v>50</v>
      </c>
      <c r="BO31" s="79">
        <v>51</v>
      </c>
      <c r="BP31" s="79">
        <v>52</v>
      </c>
      <c r="BQ31" s="79">
        <v>53</v>
      </c>
      <c r="BR31" s="79">
        <v>54</v>
      </c>
      <c r="BS31" s="79">
        <v>55</v>
      </c>
      <c r="BT31" s="79">
        <v>56</v>
      </c>
      <c r="BU31" s="79">
        <v>57</v>
      </c>
      <c r="BV31" s="79">
        <v>58</v>
      </c>
      <c r="BW31" s="79">
        <v>59</v>
      </c>
      <c r="BX31" s="79">
        <v>60</v>
      </c>
      <c r="BY31" s="79">
        <v>61</v>
      </c>
      <c r="BZ31" s="79">
        <v>62</v>
      </c>
      <c r="CA31" s="79">
        <v>63</v>
      </c>
      <c r="CB31" s="79">
        <v>64</v>
      </c>
      <c r="CC31" s="79">
        <v>65</v>
      </c>
      <c r="CD31" s="79">
        <v>66</v>
      </c>
      <c r="CE31" s="79">
        <v>67</v>
      </c>
      <c r="CF31" s="79">
        <v>68</v>
      </c>
      <c r="CG31" s="79">
        <v>69</v>
      </c>
      <c r="CH31" s="79">
        <v>70</v>
      </c>
      <c r="CI31" s="79">
        <v>71</v>
      </c>
      <c r="CJ31" s="79">
        <v>72</v>
      </c>
      <c r="CK31" s="79">
        <v>73</v>
      </c>
      <c r="CL31" s="79">
        <v>74</v>
      </c>
      <c r="CM31" s="212">
        <v>75</v>
      </c>
      <c r="CN31" s="212">
        <v>76</v>
      </c>
      <c r="CO31" s="212">
        <v>77</v>
      </c>
      <c r="CP31" s="212">
        <v>78</v>
      </c>
      <c r="CQ31" s="212">
        <v>79</v>
      </c>
      <c r="CR31" s="212">
        <v>80</v>
      </c>
      <c r="CS31" s="212">
        <v>81</v>
      </c>
      <c r="CT31" s="212">
        <v>82</v>
      </c>
      <c r="CU31" s="212">
        <v>83</v>
      </c>
      <c r="CV31" s="212">
        <v>84</v>
      </c>
      <c r="CW31" s="85">
        <v>85</v>
      </c>
      <c r="CX31" s="61"/>
      <c r="DL31" t="s">
        <v>142</v>
      </c>
      <c r="DM31" s="75">
        <v>0</v>
      </c>
      <c r="DN31" t="s">
        <v>417</v>
      </c>
      <c r="DO31" s="272">
        <v>0</v>
      </c>
      <c r="DP31" s="272">
        <v>0</v>
      </c>
      <c r="DQ31" s="45">
        <v>0</v>
      </c>
      <c r="DR31" s="45"/>
      <c r="DS31" s="45"/>
      <c r="DW31" s="92">
        <v>1935</v>
      </c>
      <c r="DX31" s="16">
        <v>32256</v>
      </c>
      <c r="DY31" s="46">
        <v>32796</v>
      </c>
      <c r="DZ31" s="46">
        <v>33276</v>
      </c>
      <c r="EA31" s="46">
        <v>33876</v>
      </c>
      <c r="EB31" s="46">
        <v>33972</v>
      </c>
      <c r="EC31" s="46">
        <v>34188</v>
      </c>
      <c r="ED31" s="46">
        <v>34500</v>
      </c>
      <c r="EE31" s="46">
        <v>34752</v>
      </c>
      <c r="EF31" s="46">
        <v>34992</v>
      </c>
      <c r="EG31" s="46">
        <v>35100</v>
      </c>
      <c r="EH31" s="46">
        <v>35100</v>
      </c>
      <c r="EI31" s="46">
        <v>35100</v>
      </c>
      <c r="EJ31" s="46">
        <v>35100</v>
      </c>
      <c r="EK31" s="206">
        <v>35100</v>
      </c>
      <c r="EN31" s="42">
        <v>1935</v>
      </c>
      <c r="EO31" s="105">
        <v>23064</v>
      </c>
      <c r="EP31" s="126">
        <v>24672</v>
      </c>
      <c r="EQ31" s="148">
        <v>25632</v>
      </c>
      <c r="ER31" s="126">
        <v>26400</v>
      </c>
      <c r="ES31" s="126">
        <v>27360</v>
      </c>
      <c r="ET31" s="126">
        <v>28032</v>
      </c>
      <c r="EU31" s="126">
        <v>28440</v>
      </c>
      <c r="EV31" s="40">
        <v>30612</v>
      </c>
      <c r="EW31" s="126">
        <v>31656</v>
      </c>
      <c r="EX31" s="200">
        <v>32256</v>
      </c>
      <c r="EY31" s="46">
        <v>32796</v>
      </c>
      <c r="EZ31" s="46">
        <v>33276</v>
      </c>
      <c r="FA31" s="46">
        <v>33876</v>
      </c>
      <c r="FB31" s="46">
        <v>33972</v>
      </c>
      <c r="FC31" s="46">
        <v>34188</v>
      </c>
      <c r="FD31" s="46">
        <v>34500</v>
      </c>
      <c r="FE31" s="46">
        <v>34752</v>
      </c>
      <c r="FF31" s="46">
        <v>34992</v>
      </c>
      <c r="FG31" s="46">
        <v>35100</v>
      </c>
      <c r="FH31" s="46">
        <v>35100</v>
      </c>
      <c r="FI31" s="46">
        <v>35100</v>
      </c>
      <c r="FJ31" s="46">
        <v>35100</v>
      </c>
      <c r="FK31" s="206">
        <v>35100</v>
      </c>
    </row>
    <row r="32" spans="1:167" ht="15.75" x14ac:dyDescent="0.25">
      <c r="A32" s="11">
        <v>38</v>
      </c>
      <c r="B32" s="121">
        <v>0.18</v>
      </c>
      <c r="C32" s="61"/>
      <c r="D32" s="207">
        <v>27</v>
      </c>
      <c r="E32" s="125">
        <v>1.2424999999999999</v>
      </c>
      <c r="F32" s="61"/>
      <c r="G32" s="61"/>
      <c r="H32" s="61"/>
      <c r="I32" s="61"/>
      <c r="J32" s="19">
        <v>28</v>
      </c>
      <c r="K32" s="121">
        <v>0.844444444444445</v>
      </c>
      <c r="L32" s="61"/>
      <c r="M32" s="294">
        <v>28</v>
      </c>
      <c r="N32" s="121">
        <v>1.3135023798236225</v>
      </c>
      <c r="O32" s="61"/>
      <c r="P32" s="87">
        <v>55</v>
      </c>
      <c r="Q32" s="189">
        <v>0.67179999999999995</v>
      </c>
      <c r="R32" s="52">
        <v>0.67300000000000004</v>
      </c>
      <c r="S32" s="52">
        <v>0.67430000000000001</v>
      </c>
      <c r="T32" s="52">
        <v>0.67569999999999997</v>
      </c>
      <c r="U32" s="52">
        <v>0.67710000000000004</v>
      </c>
      <c r="V32" s="52">
        <v>0.67849999999999999</v>
      </c>
      <c r="W32" s="52">
        <v>0.68010000000000004</v>
      </c>
      <c r="X32" s="52">
        <v>0.68169999999999997</v>
      </c>
      <c r="Y32" s="52">
        <v>0.68330000000000002</v>
      </c>
      <c r="Z32" s="52">
        <v>0.68510000000000004</v>
      </c>
      <c r="AA32" s="52">
        <v>0.68689999999999996</v>
      </c>
      <c r="AB32" s="52">
        <v>0.68879999999999997</v>
      </c>
      <c r="AC32" s="52">
        <v>0.69079999999999997</v>
      </c>
      <c r="AD32" s="52">
        <v>0.69289999999999996</v>
      </c>
      <c r="AE32" s="52">
        <v>0.69510000000000005</v>
      </c>
      <c r="AF32" s="52">
        <v>0.69730000000000003</v>
      </c>
      <c r="AG32" s="52">
        <v>0.69940000000000002</v>
      </c>
      <c r="AH32" s="52">
        <v>0.7016</v>
      </c>
      <c r="AI32" s="52">
        <v>0.70389999999999997</v>
      </c>
      <c r="AJ32" s="52">
        <v>0.70630000000000004</v>
      </c>
      <c r="AK32" s="52">
        <v>0.70879999999999999</v>
      </c>
      <c r="AL32" s="52">
        <v>0.71150000000000002</v>
      </c>
      <c r="AM32" s="52">
        <v>0.71430000000000005</v>
      </c>
      <c r="AN32" s="52">
        <v>0.71730000000000005</v>
      </c>
      <c r="AO32" s="52">
        <v>0.72040000000000004</v>
      </c>
      <c r="AP32" s="52">
        <v>0.72370000000000001</v>
      </c>
      <c r="AQ32" s="52">
        <v>0.72709999999999997</v>
      </c>
      <c r="AR32" s="52">
        <v>0.73070000000000002</v>
      </c>
      <c r="AS32" s="52">
        <v>0.73440000000000005</v>
      </c>
      <c r="AT32" s="52">
        <v>0.73829999999999996</v>
      </c>
      <c r="AU32" s="52">
        <v>0.74239999999999995</v>
      </c>
      <c r="AV32" s="52">
        <v>0.74660000000000004</v>
      </c>
      <c r="AW32" s="52">
        <v>0.751</v>
      </c>
      <c r="AX32" s="52">
        <v>0.75560000000000005</v>
      </c>
      <c r="AY32" s="52">
        <v>0.76039999999999996</v>
      </c>
      <c r="AZ32" s="52">
        <v>0.76529999999999998</v>
      </c>
      <c r="BA32" s="52">
        <v>0.77029999999999998</v>
      </c>
      <c r="BB32" s="52">
        <v>0.77549999999999997</v>
      </c>
      <c r="BC32" s="52">
        <v>0.78090000000000004</v>
      </c>
      <c r="BD32" s="52">
        <v>0.78649999999999998</v>
      </c>
      <c r="BE32" s="52">
        <v>0.79210000000000003</v>
      </c>
      <c r="BF32" s="52">
        <v>0.79800000000000004</v>
      </c>
      <c r="BG32" s="52">
        <v>0.80400000000000005</v>
      </c>
      <c r="BH32" s="52">
        <v>0.81010000000000004</v>
      </c>
      <c r="BI32" s="52">
        <v>0.81630000000000003</v>
      </c>
      <c r="BJ32" s="52">
        <v>0.8226</v>
      </c>
      <c r="BK32" s="52">
        <v>0.82909999999999995</v>
      </c>
      <c r="BL32" s="52">
        <v>0.83560000000000001</v>
      </c>
      <c r="BM32" s="52">
        <v>0.84230000000000005</v>
      </c>
      <c r="BN32" s="52">
        <v>0.84889999999999999</v>
      </c>
      <c r="BO32" s="52">
        <v>0.85570000000000002</v>
      </c>
      <c r="BP32" s="52">
        <v>0.86240000000000006</v>
      </c>
      <c r="BQ32" s="52">
        <v>0.86919999999999997</v>
      </c>
      <c r="BR32" s="52">
        <v>0.876</v>
      </c>
      <c r="BS32" s="52">
        <v>0.88280000000000003</v>
      </c>
      <c r="BT32" s="52">
        <v>0.88949999999999996</v>
      </c>
      <c r="BU32" s="52">
        <v>0.8962</v>
      </c>
      <c r="BV32" s="52">
        <v>0.90290000000000004</v>
      </c>
      <c r="BW32" s="52">
        <v>0.90949999999999998</v>
      </c>
      <c r="BX32" s="52">
        <v>0.91590000000000005</v>
      </c>
      <c r="BY32" s="52">
        <v>0.92230000000000001</v>
      </c>
      <c r="BZ32" s="52">
        <v>0.92849999999999999</v>
      </c>
      <c r="CA32" s="52">
        <v>0.93459999999999999</v>
      </c>
      <c r="CB32" s="52">
        <v>0.9405</v>
      </c>
      <c r="CC32" s="52">
        <v>0.94630000000000003</v>
      </c>
      <c r="CD32" s="52">
        <v>0.95179999999999998</v>
      </c>
      <c r="CE32" s="52">
        <v>0.95720000000000005</v>
      </c>
      <c r="CF32" s="52">
        <v>0.96230000000000004</v>
      </c>
      <c r="CG32" s="52">
        <v>0.96719999999999995</v>
      </c>
      <c r="CH32" s="52">
        <v>0.97199999999999998</v>
      </c>
      <c r="CI32" s="52">
        <v>0.97650000000000003</v>
      </c>
      <c r="CJ32" s="52">
        <v>0.98080000000000001</v>
      </c>
      <c r="CK32" s="52">
        <v>0.9849</v>
      </c>
      <c r="CL32" s="52">
        <v>0.98880000000000001</v>
      </c>
      <c r="CM32" s="250">
        <v>0.99239999999999995</v>
      </c>
      <c r="CN32" s="52">
        <v>0.99580000000000002</v>
      </c>
      <c r="CO32" s="52">
        <v>0.99909999999999999</v>
      </c>
      <c r="CP32" s="52">
        <v>1.002</v>
      </c>
      <c r="CQ32" s="52">
        <v>1.0047999999999999</v>
      </c>
      <c r="CR32" s="52">
        <v>1.0074000000000001</v>
      </c>
      <c r="CS32" s="52">
        <v>1.0098</v>
      </c>
      <c r="CT32" s="52">
        <v>1.012</v>
      </c>
      <c r="CU32" s="52">
        <v>1.014</v>
      </c>
      <c r="CV32" s="52">
        <v>1.0159</v>
      </c>
      <c r="CW32" s="159">
        <v>1.0176000000000001</v>
      </c>
      <c r="CX32" s="61"/>
      <c r="CY32" s="333"/>
      <c r="CZ32" s="331"/>
      <c r="DE32" s="183"/>
      <c r="DL32" t="s">
        <v>136</v>
      </c>
      <c r="DM32">
        <v>0</v>
      </c>
      <c r="DN32" t="s">
        <v>417</v>
      </c>
      <c r="DO32" s="45">
        <v>0</v>
      </c>
      <c r="DP32" s="45">
        <v>0</v>
      </c>
      <c r="DQ32" s="45">
        <v>0</v>
      </c>
      <c r="DW32" s="92">
        <v>1936</v>
      </c>
      <c r="DX32" s="16">
        <v>33588</v>
      </c>
      <c r="DY32" s="46">
        <v>34188</v>
      </c>
      <c r="DZ32" s="46">
        <v>34728</v>
      </c>
      <c r="EA32" s="46">
        <v>35412</v>
      </c>
      <c r="EB32" s="46">
        <v>35532</v>
      </c>
      <c r="EC32" s="46">
        <v>35796</v>
      </c>
      <c r="ED32" s="46">
        <v>36180</v>
      </c>
      <c r="EE32" s="46">
        <v>36528</v>
      </c>
      <c r="EF32" s="46">
        <v>36888</v>
      </c>
      <c r="EG32" s="46">
        <v>37092</v>
      </c>
      <c r="EH32" s="46">
        <v>37212</v>
      </c>
      <c r="EI32" s="46">
        <v>37212</v>
      </c>
      <c r="EJ32" s="46">
        <v>37212</v>
      </c>
      <c r="EK32" s="206">
        <v>37212</v>
      </c>
      <c r="EN32" s="42">
        <v>1936</v>
      </c>
      <c r="EO32" s="105">
        <v>23856</v>
      </c>
      <c r="EP32" s="126">
        <v>25548</v>
      </c>
      <c r="EQ32" s="148">
        <v>26568</v>
      </c>
      <c r="ER32" s="126">
        <v>27396</v>
      </c>
      <c r="ES32" s="126">
        <v>28428</v>
      </c>
      <c r="ET32" s="126">
        <v>29148</v>
      </c>
      <c r="EU32" s="126">
        <v>29592</v>
      </c>
      <c r="EV32" s="40">
        <v>31800</v>
      </c>
      <c r="EW32" s="126">
        <v>32928</v>
      </c>
      <c r="EX32" s="200">
        <v>33588</v>
      </c>
      <c r="EY32" s="46">
        <v>34188</v>
      </c>
      <c r="EZ32" s="46">
        <v>34728</v>
      </c>
      <c r="FA32" s="46">
        <v>35412</v>
      </c>
      <c r="FB32" s="46">
        <v>35532</v>
      </c>
      <c r="FC32" s="46">
        <v>35796</v>
      </c>
      <c r="FD32" s="46">
        <v>36180</v>
      </c>
      <c r="FE32" s="46">
        <v>36528</v>
      </c>
      <c r="FF32" s="46">
        <v>36888</v>
      </c>
      <c r="FG32" s="46">
        <v>37092</v>
      </c>
      <c r="FH32" s="46">
        <v>37212</v>
      </c>
      <c r="FI32" s="46">
        <v>37212</v>
      </c>
      <c r="FJ32" s="46">
        <v>37212</v>
      </c>
      <c r="FK32" s="206">
        <v>37212</v>
      </c>
    </row>
    <row r="33" spans="1:167" ht="15.75" x14ac:dyDescent="0.25">
      <c r="A33" s="163">
        <v>37</v>
      </c>
      <c r="B33" s="121">
        <v>0.17</v>
      </c>
      <c r="C33" s="61"/>
      <c r="D33" s="207">
        <v>28</v>
      </c>
      <c r="E33" s="125">
        <v>1.2533000000000001</v>
      </c>
      <c r="F33" s="61"/>
      <c r="G33" s="61"/>
      <c r="H33" s="61"/>
      <c r="I33" s="61"/>
      <c r="J33" s="19">
        <v>29</v>
      </c>
      <c r="K33" s="121">
        <v>0.83888888888888946</v>
      </c>
      <c r="L33" s="61"/>
      <c r="M33" s="294">
        <v>29</v>
      </c>
      <c r="N33" s="121">
        <v>1.3269780628137771</v>
      </c>
      <c r="O33" s="61"/>
      <c r="P33" s="87">
        <v>56</v>
      </c>
      <c r="Q33" s="47">
        <v>0.6603</v>
      </c>
      <c r="R33" s="187">
        <v>0.66159999999999997</v>
      </c>
      <c r="S33" s="187">
        <v>0.66279999999999994</v>
      </c>
      <c r="T33" s="187">
        <v>0.66410000000000002</v>
      </c>
      <c r="U33" s="187">
        <v>0.66549999999999998</v>
      </c>
      <c r="V33" s="187">
        <v>0.66700000000000004</v>
      </c>
      <c r="W33" s="187">
        <v>0.66849999999999998</v>
      </c>
      <c r="X33" s="187">
        <v>0.67010000000000003</v>
      </c>
      <c r="Y33" s="187">
        <v>0.67169999999999996</v>
      </c>
      <c r="Z33" s="187">
        <v>0.67349999999999999</v>
      </c>
      <c r="AA33" s="187">
        <v>0.67530000000000001</v>
      </c>
      <c r="AB33" s="187">
        <v>0.67720000000000002</v>
      </c>
      <c r="AC33" s="187">
        <v>0.67920000000000003</v>
      </c>
      <c r="AD33" s="187">
        <v>0.68120000000000003</v>
      </c>
      <c r="AE33" s="187">
        <v>0.68340000000000001</v>
      </c>
      <c r="AF33" s="187">
        <v>0.68569999999999998</v>
      </c>
      <c r="AG33" s="187">
        <v>0.68769999999999998</v>
      </c>
      <c r="AH33" s="187">
        <v>0.68979999999999997</v>
      </c>
      <c r="AI33" s="187">
        <v>0.69210000000000005</v>
      </c>
      <c r="AJ33" s="187">
        <v>0.69450000000000001</v>
      </c>
      <c r="AK33" s="187">
        <v>0.69699999999999995</v>
      </c>
      <c r="AL33" s="187">
        <v>0.69969999999999999</v>
      </c>
      <c r="AM33" s="187">
        <v>0.70250000000000001</v>
      </c>
      <c r="AN33" s="187">
        <v>0.70540000000000003</v>
      </c>
      <c r="AO33" s="187">
        <v>0.70850000000000002</v>
      </c>
      <c r="AP33" s="187">
        <v>0.71179999999999999</v>
      </c>
      <c r="AQ33" s="187">
        <v>0.71519999999999995</v>
      </c>
      <c r="AR33" s="187">
        <v>0.71879999999999999</v>
      </c>
      <c r="AS33" s="187">
        <v>0.72250000000000003</v>
      </c>
      <c r="AT33" s="187">
        <v>0.72640000000000005</v>
      </c>
      <c r="AU33" s="187">
        <v>0.73050000000000004</v>
      </c>
      <c r="AV33" s="187">
        <v>0.73470000000000002</v>
      </c>
      <c r="AW33" s="187">
        <v>0.73919999999999997</v>
      </c>
      <c r="AX33" s="187">
        <v>0.74380000000000002</v>
      </c>
      <c r="AY33" s="187">
        <v>0.74850000000000005</v>
      </c>
      <c r="AZ33" s="187">
        <v>0.75349999999999995</v>
      </c>
      <c r="BA33" s="187">
        <v>0.75860000000000005</v>
      </c>
      <c r="BB33" s="187">
        <v>0.76390000000000002</v>
      </c>
      <c r="BC33" s="187">
        <v>0.76929999999999998</v>
      </c>
      <c r="BD33" s="187">
        <v>0.77490000000000003</v>
      </c>
      <c r="BE33" s="187">
        <v>0.78069999999999995</v>
      </c>
      <c r="BF33" s="187">
        <v>0.78659999999999997</v>
      </c>
      <c r="BG33" s="187">
        <v>0.79269999999999996</v>
      </c>
      <c r="BH33" s="187">
        <v>0.79900000000000004</v>
      </c>
      <c r="BI33" s="187">
        <v>0.8054</v>
      </c>
      <c r="BJ33" s="187">
        <v>0.81189999999999996</v>
      </c>
      <c r="BK33" s="187">
        <v>0.81850000000000001</v>
      </c>
      <c r="BL33" s="187">
        <v>0.82520000000000004</v>
      </c>
      <c r="BM33" s="187">
        <v>0.83209999999999995</v>
      </c>
      <c r="BN33" s="187">
        <v>0.83899999999999997</v>
      </c>
      <c r="BO33" s="187">
        <v>0.84599999999999997</v>
      </c>
      <c r="BP33" s="187">
        <v>0.85299999999999998</v>
      </c>
      <c r="BQ33" s="187">
        <v>0.86009999999999998</v>
      </c>
      <c r="BR33" s="187">
        <v>0.86719999999999997</v>
      </c>
      <c r="BS33" s="187">
        <v>0.87429999999999997</v>
      </c>
      <c r="BT33" s="187">
        <v>0.88129999999999997</v>
      </c>
      <c r="BU33" s="187">
        <v>0.88839999999999997</v>
      </c>
      <c r="BV33" s="187">
        <v>0.89539999999999997</v>
      </c>
      <c r="BW33" s="187">
        <v>0.90239999999999998</v>
      </c>
      <c r="BX33" s="187">
        <v>0.9093</v>
      </c>
      <c r="BY33" s="187">
        <v>0.91600000000000004</v>
      </c>
      <c r="BZ33" s="187">
        <v>0.92269999999999996</v>
      </c>
      <c r="CA33" s="187">
        <v>0.92920000000000003</v>
      </c>
      <c r="CB33" s="187">
        <v>0.9355</v>
      </c>
      <c r="CC33" s="187">
        <v>0.94169999999999998</v>
      </c>
      <c r="CD33" s="187">
        <v>0.94769999999999999</v>
      </c>
      <c r="CE33" s="187">
        <v>0.95340000000000003</v>
      </c>
      <c r="CF33" s="187">
        <v>0.95899999999999996</v>
      </c>
      <c r="CG33" s="187">
        <v>0.96430000000000005</v>
      </c>
      <c r="CH33" s="187">
        <v>0.96940000000000004</v>
      </c>
      <c r="CI33" s="187">
        <v>0.97440000000000004</v>
      </c>
      <c r="CJ33" s="187">
        <v>0.97909999999999997</v>
      </c>
      <c r="CK33" s="187">
        <v>0.98350000000000004</v>
      </c>
      <c r="CL33" s="187">
        <v>0.98780000000000001</v>
      </c>
      <c r="CM33" s="251">
        <v>0.99180000000000001</v>
      </c>
      <c r="CN33" s="187">
        <v>0.99560000000000004</v>
      </c>
      <c r="CO33" s="187">
        <v>0.99909999999999999</v>
      </c>
      <c r="CP33" s="187">
        <v>1.0024</v>
      </c>
      <c r="CQ33" s="187">
        <v>1.0054000000000001</v>
      </c>
      <c r="CR33" s="187">
        <v>1.0083</v>
      </c>
      <c r="CS33" s="187">
        <v>1.0108999999999999</v>
      </c>
      <c r="CT33" s="187">
        <v>1.0134000000000001</v>
      </c>
      <c r="CU33" s="187">
        <v>1.0156000000000001</v>
      </c>
      <c r="CV33" s="187">
        <v>1.0177</v>
      </c>
      <c r="CW33" s="121">
        <v>1.0196000000000001</v>
      </c>
      <c r="CX33" s="61"/>
      <c r="CY33" s="149"/>
      <c r="DL33" t="s">
        <v>347</v>
      </c>
      <c r="DM33">
        <v>0</v>
      </c>
      <c r="DN33" t="s">
        <v>417</v>
      </c>
      <c r="DO33" s="45">
        <v>0</v>
      </c>
      <c r="DP33" s="45">
        <v>0</v>
      </c>
      <c r="DQ33" s="45">
        <v>0</v>
      </c>
      <c r="DW33" s="92">
        <v>1937</v>
      </c>
      <c r="DX33" s="16">
        <v>34932</v>
      </c>
      <c r="DY33" s="46">
        <v>35592</v>
      </c>
      <c r="DZ33" s="46">
        <v>36192</v>
      </c>
      <c r="EA33" s="46">
        <v>36960</v>
      </c>
      <c r="EB33" s="46">
        <v>37092</v>
      </c>
      <c r="EC33" s="46">
        <v>37392</v>
      </c>
      <c r="ED33" s="46">
        <v>37860</v>
      </c>
      <c r="EE33" s="46">
        <v>38292</v>
      </c>
      <c r="EF33" s="46">
        <v>38772</v>
      </c>
      <c r="EG33" s="46">
        <v>39072</v>
      </c>
      <c r="EH33" s="46">
        <v>39312</v>
      </c>
      <c r="EI33" s="46">
        <v>39444</v>
      </c>
      <c r="EJ33" s="46">
        <v>39444</v>
      </c>
      <c r="EK33" s="206">
        <v>39444</v>
      </c>
      <c r="EN33" s="42">
        <v>1937</v>
      </c>
      <c r="EO33" s="105">
        <v>24588</v>
      </c>
      <c r="EP33" s="126">
        <v>26388</v>
      </c>
      <c r="EQ33" s="148">
        <v>27468</v>
      </c>
      <c r="ER33" s="126">
        <v>28332</v>
      </c>
      <c r="ES33" s="126">
        <v>29436</v>
      </c>
      <c r="ET33" s="126">
        <v>30204</v>
      </c>
      <c r="EU33" s="126">
        <v>30684</v>
      </c>
      <c r="EV33" s="40">
        <v>32988</v>
      </c>
      <c r="EW33" s="126">
        <v>34212</v>
      </c>
      <c r="EX33" s="200">
        <v>34932</v>
      </c>
      <c r="EY33" s="46">
        <v>35592</v>
      </c>
      <c r="EZ33" s="46">
        <v>36192</v>
      </c>
      <c r="FA33" s="46">
        <v>36960</v>
      </c>
      <c r="FB33" s="46">
        <v>37092</v>
      </c>
      <c r="FC33" s="46">
        <v>37392</v>
      </c>
      <c r="FD33" s="46">
        <v>37860</v>
      </c>
      <c r="FE33" s="46">
        <v>38292</v>
      </c>
      <c r="FF33" s="46">
        <v>38772</v>
      </c>
      <c r="FG33" s="46">
        <v>39072</v>
      </c>
      <c r="FH33" s="46">
        <v>39312</v>
      </c>
      <c r="FI33" s="46">
        <v>39444</v>
      </c>
      <c r="FJ33" s="46">
        <v>39444</v>
      </c>
      <c r="FK33" s="206">
        <v>39444</v>
      </c>
    </row>
    <row r="34" spans="1:167" ht="15.75" x14ac:dyDescent="0.25">
      <c r="A34" s="19">
        <v>36</v>
      </c>
      <c r="B34" s="121">
        <v>0.16</v>
      </c>
      <c r="C34" s="61"/>
      <c r="D34" s="207">
        <v>29</v>
      </c>
      <c r="E34" s="125">
        <v>1.2642</v>
      </c>
      <c r="F34" s="61"/>
      <c r="G34" s="61"/>
      <c r="H34" s="61"/>
      <c r="I34" s="61"/>
      <c r="J34" s="19">
        <v>30</v>
      </c>
      <c r="K34" s="121">
        <v>0.83333333333333393</v>
      </c>
      <c r="L34" s="61"/>
      <c r="M34" s="294">
        <v>30</v>
      </c>
      <c r="N34" s="121">
        <v>1.3404537458039314</v>
      </c>
      <c r="O34" s="61"/>
      <c r="P34" s="87">
        <v>57</v>
      </c>
      <c r="Q34" s="47">
        <v>0.64880000000000004</v>
      </c>
      <c r="R34" s="187">
        <v>0.65</v>
      </c>
      <c r="S34" s="187">
        <v>0.65129999999999999</v>
      </c>
      <c r="T34" s="187">
        <v>0.65259999999999996</v>
      </c>
      <c r="U34" s="187">
        <v>0.65390000000000004</v>
      </c>
      <c r="V34" s="187">
        <v>0.65539999999999998</v>
      </c>
      <c r="W34" s="187">
        <v>0.65690000000000004</v>
      </c>
      <c r="X34" s="187">
        <v>0.65839999999999999</v>
      </c>
      <c r="Y34" s="187">
        <v>0.66010000000000002</v>
      </c>
      <c r="Z34" s="187">
        <v>0.66180000000000005</v>
      </c>
      <c r="AA34" s="187">
        <v>0.66359999999999997</v>
      </c>
      <c r="AB34" s="187">
        <v>0.66549999999999998</v>
      </c>
      <c r="AC34" s="187">
        <v>0.66739999999999999</v>
      </c>
      <c r="AD34" s="187">
        <v>0.66949999999999998</v>
      </c>
      <c r="AE34" s="187">
        <v>0.67159999999999997</v>
      </c>
      <c r="AF34" s="187">
        <v>0.67390000000000005</v>
      </c>
      <c r="AG34" s="187">
        <v>0.67589999999999995</v>
      </c>
      <c r="AH34" s="187">
        <v>0.67800000000000005</v>
      </c>
      <c r="AI34" s="187">
        <v>0.68020000000000003</v>
      </c>
      <c r="AJ34" s="187">
        <v>0.68259999999999998</v>
      </c>
      <c r="AK34" s="187">
        <v>0.68510000000000004</v>
      </c>
      <c r="AL34" s="187">
        <v>0.68769999999999998</v>
      </c>
      <c r="AM34" s="187">
        <v>0.6905</v>
      </c>
      <c r="AN34" s="187">
        <v>0.69340000000000002</v>
      </c>
      <c r="AO34" s="187">
        <v>0.69650000000000001</v>
      </c>
      <c r="AP34" s="187">
        <v>0.69979999999999998</v>
      </c>
      <c r="AQ34" s="187">
        <v>0.70320000000000005</v>
      </c>
      <c r="AR34" s="187">
        <v>0.70669999999999999</v>
      </c>
      <c r="AS34" s="187">
        <v>0.71050000000000002</v>
      </c>
      <c r="AT34" s="187">
        <v>0.71440000000000003</v>
      </c>
      <c r="AU34" s="187">
        <v>0.71840000000000004</v>
      </c>
      <c r="AV34" s="187">
        <v>0.72270000000000001</v>
      </c>
      <c r="AW34" s="187">
        <v>0.72709999999999997</v>
      </c>
      <c r="AX34" s="187">
        <v>0.73170000000000002</v>
      </c>
      <c r="AY34" s="187">
        <v>0.73650000000000004</v>
      </c>
      <c r="AZ34" s="187">
        <v>0.74150000000000005</v>
      </c>
      <c r="BA34" s="187">
        <v>0.74660000000000004</v>
      </c>
      <c r="BB34" s="187">
        <v>0.752</v>
      </c>
      <c r="BC34" s="187">
        <v>0.75749999999999995</v>
      </c>
      <c r="BD34" s="187">
        <v>0.76319999999999999</v>
      </c>
      <c r="BE34" s="187">
        <v>0.76900000000000002</v>
      </c>
      <c r="BF34" s="187">
        <v>0.77500000000000002</v>
      </c>
      <c r="BG34" s="187">
        <v>0.78120000000000001</v>
      </c>
      <c r="BH34" s="187">
        <v>0.78759999999999997</v>
      </c>
      <c r="BI34" s="187">
        <v>0.79410000000000003</v>
      </c>
      <c r="BJ34" s="187">
        <v>0.80079999999999996</v>
      </c>
      <c r="BK34" s="187">
        <v>0.80759999999999998</v>
      </c>
      <c r="BL34" s="187">
        <v>0.8145</v>
      </c>
      <c r="BM34" s="187">
        <v>0.82150000000000001</v>
      </c>
      <c r="BN34" s="187">
        <v>0.82869999999999999</v>
      </c>
      <c r="BO34" s="187">
        <v>0.83589999999999998</v>
      </c>
      <c r="BP34" s="187">
        <v>0.84319999999999995</v>
      </c>
      <c r="BQ34" s="187">
        <v>0.85050000000000003</v>
      </c>
      <c r="BR34" s="187">
        <v>0.8579</v>
      </c>
      <c r="BS34" s="187">
        <v>0.86539999999999995</v>
      </c>
      <c r="BT34" s="187">
        <v>0.87280000000000002</v>
      </c>
      <c r="BU34" s="187">
        <v>0.88019999999999998</v>
      </c>
      <c r="BV34" s="187">
        <v>0.88759999999999994</v>
      </c>
      <c r="BW34" s="187">
        <v>0.89490000000000003</v>
      </c>
      <c r="BX34" s="187">
        <v>0.9022</v>
      </c>
      <c r="BY34" s="187">
        <v>0.90939999999999999</v>
      </c>
      <c r="BZ34" s="187">
        <v>0.91649999999999998</v>
      </c>
      <c r="CA34" s="187">
        <v>0.9234</v>
      </c>
      <c r="CB34" s="187">
        <v>0.93020000000000003</v>
      </c>
      <c r="CC34" s="187">
        <v>0.93679999999999997</v>
      </c>
      <c r="CD34" s="187">
        <v>0.94320000000000004</v>
      </c>
      <c r="CE34" s="187">
        <v>0.94940000000000002</v>
      </c>
      <c r="CF34" s="187">
        <v>0.95540000000000003</v>
      </c>
      <c r="CG34" s="187">
        <v>0.96120000000000005</v>
      </c>
      <c r="CH34" s="187">
        <v>0.9667</v>
      </c>
      <c r="CI34" s="187">
        <v>0.97209999999999996</v>
      </c>
      <c r="CJ34" s="187">
        <v>0.97719999999999996</v>
      </c>
      <c r="CK34" s="187">
        <v>0.98209999999999997</v>
      </c>
      <c r="CL34" s="187">
        <v>0.98680000000000001</v>
      </c>
      <c r="CM34" s="251">
        <v>0.99109999999999998</v>
      </c>
      <c r="CN34" s="187">
        <v>0.99529999999999996</v>
      </c>
      <c r="CO34" s="187">
        <v>0.99909999999999999</v>
      </c>
      <c r="CP34" s="187">
        <v>1.0027999999999999</v>
      </c>
      <c r="CQ34" s="187">
        <v>1.0062</v>
      </c>
      <c r="CR34" s="187">
        <v>1.0093000000000001</v>
      </c>
      <c r="CS34" s="187">
        <v>1.0122</v>
      </c>
      <c r="CT34" s="187">
        <v>1.0148999999999999</v>
      </c>
      <c r="CU34" s="187">
        <v>1.0174000000000001</v>
      </c>
      <c r="CV34" s="187">
        <v>1.0197000000000001</v>
      </c>
      <c r="CW34" s="121">
        <v>1.0218</v>
      </c>
      <c r="CX34" s="61"/>
      <c r="CY34" s="149"/>
      <c r="DL34" t="s">
        <v>399</v>
      </c>
      <c r="DM34">
        <v>0</v>
      </c>
      <c r="DN34" t="s">
        <v>417</v>
      </c>
      <c r="DO34" s="45">
        <v>0</v>
      </c>
      <c r="DP34" s="45">
        <v>0</v>
      </c>
      <c r="DQ34" s="45">
        <v>0</v>
      </c>
      <c r="DW34" s="92">
        <v>1938</v>
      </c>
      <c r="DX34" s="16">
        <v>37536</v>
      </c>
      <c r="DY34" s="46">
        <v>38316</v>
      </c>
      <c r="DZ34" s="46">
        <v>39036</v>
      </c>
      <c r="EA34" s="46">
        <v>39972</v>
      </c>
      <c r="EB34" s="46">
        <v>40152</v>
      </c>
      <c r="EC34" s="46">
        <v>40536</v>
      </c>
      <c r="ED34" s="46">
        <v>41148</v>
      </c>
      <c r="EE34" s="46">
        <v>41748</v>
      </c>
      <c r="EF34" s="46">
        <v>42468</v>
      </c>
      <c r="EG34" s="46">
        <v>42984</v>
      </c>
      <c r="EH34" s="46">
        <v>43464</v>
      </c>
      <c r="EI34" s="46">
        <v>43848</v>
      </c>
      <c r="EJ34" s="46">
        <v>43968</v>
      </c>
      <c r="EK34" s="206">
        <v>43992</v>
      </c>
      <c r="EN34" s="42">
        <v>1938</v>
      </c>
      <c r="EO34" s="105">
        <v>25332</v>
      </c>
      <c r="EP34" s="126">
        <v>27216</v>
      </c>
      <c r="EQ34" s="148">
        <v>28356</v>
      </c>
      <c r="ER34" s="126">
        <v>29280</v>
      </c>
      <c r="ES34" s="126">
        <v>30444</v>
      </c>
      <c r="ET34" s="126">
        <v>31272</v>
      </c>
      <c r="EU34" s="126">
        <v>31788</v>
      </c>
      <c r="EV34" s="40">
        <v>35280</v>
      </c>
      <c r="EW34" s="126">
        <v>36696</v>
      </c>
      <c r="EX34" s="200">
        <v>37536</v>
      </c>
      <c r="EY34" s="46">
        <v>38316</v>
      </c>
      <c r="EZ34" s="46">
        <v>39036</v>
      </c>
      <c r="FA34" s="46">
        <v>39972</v>
      </c>
      <c r="FB34" s="46">
        <v>40152</v>
      </c>
      <c r="FC34" s="46">
        <v>40536</v>
      </c>
      <c r="FD34" s="46">
        <v>41148</v>
      </c>
      <c r="FE34" s="46">
        <v>41748</v>
      </c>
      <c r="FF34" s="46">
        <v>42468</v>
      </c>
      <c r="FG34" s="46">
        <v>42984</v>
      </c>
      <c r="FH34" s="46">
        <v>43464</v>
      </c>
      <c r="FI34" s="46">
        <v>43848</v>
      </c>
      <c r="FJ34" s="46">
        <v>43968</v>
      </c>
      <c r="FK34" s="206">
        <v>43992</v>
      </c>
    </row>
    <row r="35" spans="1:167" ht="15.75" x14ac:dyDescent="0.25">
      <c r="A35" s="163">
        <v>35</v>
      </c>
      <c r="B35" s="121">
        <v>0.15</v>
      </c>
      <c r="C35" s="61"/>
      <c r="D35" s="207">
        <v>30</v>
      </c>
      <c r="E35" s="125">
        <v>1.2749999999999999</v>
      </c>
      <c r="F35" s="61"/>
      <c r="G35" s="61"/>
      <c r="H35" s="61"/>
      <c r="I35" s="61"/>
      <c r="J35" s="19">
        <v>31</v>
      </c>
      <c r="K35" s="121">
        <v>0.82777777777777839</v>
      </c>
      <c r="L35" s="61"/>
      <c r="M35" s="294">
        <v>31</v>
      </c>
      <c r="N35" s="121">
        <v>1.3539294287940857</v>
      </c>
      <c r="O35" s="61"/>
      <c r="P35" s="87">
        <v>58</v>
      </c>
      <c r="Q35" s="47">
        <v>0.63719999999999999</v>
      </c>
      <c r="R35" s="187">
        <v>0.63839999999999997</v>
      </c>
      <c r="S35" s="187">
        <v>0.63959999999999995</v>
      </c>
      <c r="T35" s="187">
        <v>0.64090000000000003</v>
      </c>
      <c r="U35" s="187">
        <v>0.64229999999999998</v>
      </c>
      <c r="V35" s="187">
        <v>0.64370000000000005</v>
      </c>
      <c r="W35" s="187">
        <v>0.6452</v>
      </c>
      <c r="X35" s="187">
        <v>0.64680000000000004</v>
      </c>
      <c r="Y35" s="187">
        <v>0.64839999999999998</v>
      </c>
      <c r="Z35" s="187">
        <v>0.65010000000000001</v>
      </c>
      <c r="AA35" s="187">
        <v>0.65190000000000003</v>
      </c>
      <c r="AB35" s="187">
        <v>0.65369999999999995</v>
      </c>
      <c r="AC35" s="187">
        <v>0.65569999999999995</v>
      </c>
      <c r="AD35" s="187">
        <v>0.65769999999999995</v>
      </c>
      <c r="AE35" s="187">
        <v>0.65980000000000005</v>
      </c>
      <c r="AF35" s="187">
        <v>0.66200000000000003</v>
      </c>
      <c r="AG35" s="187">
        <v>0.66400000000000003</v>
      </c>
      <c r="AH35" s="187">
        <v>0.66610000000000003</v>
      </c>
      <c r="AI35" s="187">
        <v>0.66830000000000001</v>
      </c>
      <c r="AJ35" s="187">
        <v>0.67059999999999997</v>
      </c>
      <c r="AK35" s="187">
        <v>0.67310000000000003</v>
      </c>
      <c r="AL35" s="187">
        <v>0.67569999999999997</v>
      </c>
      <c r="AM35" s="187">
        <v>0.67849999999999999</v>
      </c>
      <c r="AN35" s="187">
        <v>0.68140000000000001</v>
      </c>
      <c r="AO35" s="187">
        <v>0.68440000000000001</v>
      </c>
      <c r="AP35" s="187">
        <v>0.68769999999999998</v>
      </c>
      <c r="AQ35" s="187">
        <v>0.69099999999999995</v>
      </c>
      <c r="AR35" s="187">
        <v>0.6946</v>
      </c>
      <c r="AS35" s="187">
        <v>0.69830000000000003</v>
      </c>
      <c r="AT35" s="187">
        <v>0.70220000000000005</v>
      </c>
      <c r="AU35" s="187">
        <v>0.70630000000000004</v>
      </c>
      <c r="AV35" s="187">
        <v>0.71050000000000002</v>
      </c>
      <c r="AW35" s="187">
        <v>0.71489999999999998</v>
      </c>
      <c r="AX35" s="187">
        <v>0.71960000000000002</v>
      </c>
      <c r="AY35" s="187">
        <v>0.72440000000000004</v>
      </c>
      <c r="AZ35" s="187">
        <v>0.72940000000000005</v>
      </c>
      <c r="BA35" s="187">
        <v>0.73450000000000004</v>
      </c>
      <c r="BB35" s="187">
        <v>0.7399</v>
      </c>
      <c r="BC35" s="187">
        <v>0.74550000000000005</v>
      </c>
      <c r="BD35" s="187">
        <v>0.75119999999999998</v>
      </c>
      <c r="BE35" s="187">
        <v>0.7571</v>
      </c>
      <c r="BF35" s="187">
        <v>0.76329999999999998</v>
      </c>
      <c r="BG35" s="187">
        <v>0.76949999999999996</v>
      </c>
      <c r="BH35" s="187">
        <v>0.77600000000000002</v>
      </c>
      <c r="BI35" s="187">
        <v>0.78269999999999995</v>
      </c>
      <c r="BJ35" s="187">
        <v>0.78949999999999998</v>
      </c>
      <c r="BK35" s="187">
        <v>0.7964</v>
      </c>
      <c r="BL35" s="187">
        <v>0.80349999999999999</v>
      </c>
      <c r="BM35" s="187">
        <v>0.81069999999999998</v>
      </c>
      <c r="BN35" s="187">
        <v>0.81810000000000005</v>
      </c>
      <c r="BO35" s="187">
        <v>0.82550000000000001</v>
      </c>
      <c r="BP35" s="187">
        <v>0.83309999999999995</v>
      </c>
      <c r="BQ35" s="187">
        <v>0.8407</v>
      </c>
      <c r="BR35" s="187">
        <v>0.84840000000000004</v>
      </c>
      <c r="BS35" s="187">
        <v>0.85609999999999997</v>
      </c>
      <c r="BT35" s="187">
        <v>0.8639</v>
      </c>
      <c r="BU35" s="187">
        <v>0.87170000000000003</v>
      </c>
      <c r="BV35" s="187">
        <v>0.87939999999999996</v>
      </c>
      <c r="BW35" s="187">
        <v>0.8871</v>
      </c>
      <c r="BX35" s="187">
        <v>0.89480000000000004</v>
      </c>
      <c r="BY35" s="187">
        <v>0.90239999999999998</v>
      </c>
      <c r="BZ35" s="187">
        <v>0.90990000000000004</v>
      </c>
      <c r="CA35" s="187">
        <v>0.9173</v>
      </c>
      <c r="CB35" s="187">
        <v>0.92449999999999999</v>
      </c>
      <c r="CC35" s="187">
        <v>0.93159999999999998</v>
      </c>
      <c r="CD35" s="187">
        <v>0.9385</v>
      </c>
      <c r="CE35" s="187">
        <v>0.94520000000000004</v>
      </c>
      <c r="CF35" s="187">
        <v>0.9516</v>
      </c>
      <c r="CG35" s="187">
        <v>0.95789999999999997</v>
      </c>
      <c r="CH35" s="187">
        <v>0.96389999999999998</v>
      </c>
      <c r="CI35" s="187">
        <v>0.96970000000000001</v>
      </c>
      <c r="CJ35" s="187">
        <v>0.97529999999999994</v>
      </c>
      <c r="CK35" s="187">
        <v>0.98060000000000003</v>
      </c>
      <c r="CL35" s="187">
        <v>0.98570000000000002</v>
      </c>
      <c r="CM35" s="251">
        <v>0.99050000000000005</v>
      </c>
      <c r="CN35" s="187">
        <v>0.995</v>
      </c>
      <c r="CO35" s="187">
        <v>0.99929999999999997</v>
      </c>
      <c r="CP35" s="187">
        <v>1.0033000000000001</v>
      </c>
      <c r="CQ35" s="187">
        <v>1.0069999999999999</v>
      </c>
      <c r="CR35" s="187">
        <v>1.0105</v>
      </c>
      <c r="CS35" s="187">
        <v>1.0137</v>
      </c>
      <c r="CT35" s="187">
        <v>1.0166999999999999</v>
      </c>
      <c r="CU35" s="187">
        <v>1.0194000000000001</v>
      </c>
      <c r="CV35" s="187">
        <v>1.022</v>
      </c>
      <c r="CW35" s="121">
        <v>1.0243</v>
      </c>
      <c r="CX35" s="61"/>
      <c r="CY35" s="149"/>
      <c r="DL35" t="s">
        <v>125</v>
      </c>
      <c r="DM35">
        <v>0</v>
      </c>
      <c r="DN35" t="s">
        <v>417</v>
      </c>
      <c r="DO35" s="45">
        <v>0</v>
      </c>
      <c r="DP35" s="45">
        <v>0</v>
      </c>
      <c r="DQ35" s="45">
        <v>0</v>
      </c>
      <c r="DR35" s="45"/>
      <c r="DW35" s="92">
        <v>1939</v>
      </c>
      <c r="DX35" s="16">
        <v>38832</v>
      </c>
      <c r="DY35" s="46">
        <v>39672</v>
      </c>
      <c r="DZ35" s="46">
        <v>40452</v>
      </c>
      <c r="EA35" s="46">
        <v>41484</v>
      </c>
      <c r="EB35" s="46">
        <v>41676</v>
      </c>
      <c r="EC35" s="46">
        <v>42108</v>
      </c>
      <c r="ED35" s="46">
        <v>42792</v>
      </c>
      <c r="EE35" s="46">
        <v>43488</v>
      </c>
      <c r="EF35" s="46">
        <v>44328</v>
      </c>
      <c r="EG35" s="46">
        <v>44940</v>
      </c>
      <c r="EH35" s="46">
        <v>45540</v>
      </c>
      <c r="EI35" s="46">
        <v>46056</v>
      </c>
      <c r="EJ35" s="46">
        <v>46236</v>
      </c>
      <c r="EK35" s="206">
        <v>46284</v>
      </c>
      <c r="EN35" s="42">
        <v>1939</v>
      </c>
      <c r="EO35" s="105">
        <v>26028</v>
      </c>
      <c r="EP35" s="126">
        <v>28008</v>
      </c>
      <c r="EQ35" s="148">
        <v>29208</v>
      </c>
      <c r="ER35" s="126">
        <v>30192</v>
      </c>
      <c r="ES35" s="126">
        <v>31428</v>
      </c>
      <c r="ET35" s="126">
        <v>32292</v>
      </c>
      <c r="EU35" s="126">
        <v>32844</v>
      </c>
      <c r="EV35" s="40">
        <v>36432</v>
      </c>
      <c r="EW35" s="126">
        <v>37932</v>
      </c>
      <c r="EX35" s="200">
        <v>38832</v>
      </c>
      <c r="EY35" s="46">
        <v>39672</v>
      </c>
      <c r="EZ35" s="46">
        <v>40452</v>
      </c>
      <c r="FA35" s="46">
        <v>41484</v>
      </c>
      <c r="FB35" s="46">
        <v>41676</v>
      </c>
      <c r="FC35" s="46">
        <v>42108</v>
      </c>
      <c r="FD35" s="46">
        <v>42792</v>
      </c>
      <c r="FE35" s="46">
        <v>43488</v>
      </c>
      <c r="FF35" s="46">
        <v>44328</v>
      </c>
      <c r="FG35" s="46">
        <v>44940</v>
      </c>
      <c r="FH35" s="46">
        <v>45540</v>
      </c>
      <c r="FI35" s="46">
        <v>46056</v>
      </c>
      <c r="FJ35" s="46">
        <v>46236</v>
      </c>
      <c r="FK35" s="206">
        <v>46284</v>
      </c>
    </row>
    <row r="36" spans="1:167" ht="15.75" x14ac:dyDescent="0.25">
      <c r="A36" s="19">
        <v>34</v>
      </c>
      <c r="B36" s="121">
        <v>0.14499999999999999</v>
      </c>
      <c r="C36" s="61"/>
      <c r="D36" s="207">
        <v>31</v>
      </c>
      <c r="E36" s="125">
        <v>1.2858000000000001</v>
      </c>
      <c r="F36" s="61"/>
      <c r="G36" s="61"/>
      <c r="H36" s="61"/>
      <c r="I36" s="61"/>
      <c r="J36" s="19">
        <v>32</v>
      </c>
      <c r="K36" s="121">
        <v>0.82222222222222285</v>
      </c>
      <c r="L36" s="61"/>
      <c r="M36" s="294">
        <v>32</v>
      </c>
      <c r="N36" s="121">
        <v>1.3674051117842398</v>
      </c>
      <c r="O36" s="61"/>
      <c r="P36" s="87">
        <v>59</v>
      </c>
      <c r="Q36" s="47">
        <v>0.62560000000000004</v>
      </c>
      <c r="R36" s="187">
        <v>0.62680000000000002</v>
      </c>
      <c r="S36" s="187">
        <v>0.628</v>
      </c>
      <c r="T36" s="187">
        <v>0.62929999999999997</v>
      </c>
      <c r="U36" s="187">
        <v>0.63060000000000005</v>
      </c>
      <c r="V36" s="187">
        <v>0.63200000000000001</v>
      </c>
      <c r="W36" s="187">
        <v>0.63349999999999995</v>
      </c>
      <c r="X36" s="187">
        <v>0.63500000000000001</v>
      </c>
      <c r="Y36" s="187">
        <v>0.63670000000000004</v>
      </c>
      <c r="Z36" s="187">
        <v>0.63829999999999998</v>
      </c>
      <c r="AA36" s="187">
        <v>0.6401</v>
      </c>
      <c r="AB36" s="187">
        <v>0.64190000000000003</v>
      </c>
      <c r="AC36" s="187">
        <v>0.64390000000000003</v>
      </c>
      <c r="AD36" s="187">
        <v>0.64590000000000003</v>
      </c>
      <c r="AE36" s="187">
        <v>0.64800000000000002</v>
      </c>
      <c r="AF36" s="187">
        <v>0.6502</v>
      </c>
      <c r="AG36" s="187">
        <v>0.65210000000000001</v>
      </c>
      <c r="AH36" s="187">
        <v>0.6542</v>
      </c>
      <c r="AI36" s="187">
        <v>0.65639999999999998</v>
      </c>
      <c r="AJ36" s="187">
        <v>0.65869999999999995</v>
      </c>
      <c r="AK36" s="187">
        <v>0.66110000000000002</v>
      </c>
      <c r="AL36" s="187">
        <v>0.66369999999999996</v>
      </c>
      <c r="AM36" s="187">
        <v>0.66639999999999999</v>
      </c>
      <c r="AN36" s="187">
        <v>0.66930000000000001</v>
      </c>
      <c r="AO36" s="187">
        <v>0.67230000000000001</v>
      </c>
      <c r="AP36" s="187">
        <v>0.67549999999999999</v>
      </c>
      <c r="AQ36" s="187">
        <v>0.67889999999999995</v>
      </c>
      <c r="AR36" s="187">
        <v>0.68240000000000001</v>
      </c>
      <c r="AS36" s="187">
        <v>0.68610000000000004</v>
      </c>
      <c r="AT36" s="187">
        <v>0.69</v>
      </c>
      <c r="AU36" s="187">
        <v>0.69399999999999995</v>
      </c>
      <c r="AV36" s="187">
        <v>0.69830000000000003</v>
      </c>
      <c r="AW36" s="187">
        <v>0.70269999999999999</v>
      </c>
      <c r="AX36" s="187">
        <v>0.70730000000000004</v>
      </c>
      <c r="AY36" s="187">
        <v>0.71209999999999996</v>
      </c>
      <c r="AZ36" s="187">
        <v>0.71709999999999996</v>
      </c>
      <c r="BA36" s="187">
        <v>0.72230000000000005</v>
      </c>
      <c r="BB36" s="187">
        <v>0.72770000000000001</v>
      </c>
      <c r="BC36" s="187">
        <v>0.73329999999999995</v>
      </c>
      <c r="BD36" s="187">
        <v>0.73909999999999998</v>
      </c>
      <c r="BE36" s="187">
        <v>0.74509999999999998</v>
      </c>
      <c r="BF36" s="187">
        <v>0.75129999999999997</v>
      </c>
      <c r="BG36" s="187">
        <v>0.75770000000000004</v>
      </c>
      <c r="BH36" s="187">
        <v>0.76419999999999999</v>
      </c>
      <c r="BI36" s="187">
        <v>0.77100000000000002</v>
      </c>
      <c r="BJ36" s="187">
        <v>0.77790000000000004</v>
      </c>
      <c r="BK36" s="187">
        <v>0.78500000000000003</v>
      </c>
      <c r="BL36" s="187">
        <v>0.7923</v>
      </c>
      <c r="BM36" s="187">
        <v>0.79969999999999997</v>
      </c>
      <c r="BN36" s="187">
        <v>0.80720000000000003</v>
      </c>
      <c r="BO36" s="187">
        <v>0.81489999999999996</v>
      </c>
      <c r="BP36" s="187">
        <v>0.82269999999999999</v>
      </c>
      <c r="BQ36" s="187">
        <v>0.8306</v>
      </c>
      <c r="BR36" s="187">
        <v>0.83850000000000002</v>
      </c>
      <c r="BS36" s="187">
        <v>0.84660000000000002</v>
      </c>
      <c r="BT36" s="187">
        <v>0.85470000000000002</v>
      </c>
      <c r="BU36" s="187">
        <v>0.86280000000000001</v>
      </c>
      <c r="BV36" s="187">
        <v>0.87090000000000001</v>
      </c>
      <c r="BW36" s="187">
        <v>0.879</v>
      </c>
      <c r="BX36" s="187">
        <v>0.8871</v>
      </c>
      <c r="BY36" s="187">
        <v>0.89510000000000001</v>
      </c>
      <c r="BZ36" s="187">
        <v>0.90310000000000001</v>
      </c>
      <c r="CA36" s="187">
        <v>0.91090000000000004</v>
      </c>
      <c r="CB36" s="187">
        <v>0.91859999999999997</v>
      </c>
      <c r="CC36" s="187">
        <v>0.92620000000000002</v>
      </c>
      <c r="CD36" s="187">
        <v>0.9335</v>
      </c>
      <c r="CE36" s="187">
        <v>0.94069999999999998</v>
      </c>
      <c r="CF36" s="187">
        <v>0.9476</v>
      </c>
      <c r="CG36" s="187">
        <v>0.95440000000000003</v>
      </c>
      <c r="CH36" s="187">
        <v>0.96089999999999998</v>
      </c>
      <c r="CI36" s="187">
        <v>0.96719999999999995</v>
      </c>
      <c r="CJ36" s="187">
        <v>0.97319999999999995</v>
      </c>
      <c r="CK36" s="187">
        <v>0.97899999999999998</v>
      </c>
      <c r="CL36" s="187">
        <v>0.98460000000000003</v>
      </c>
      <c r="CM36" s="251">
        <v>0.98980000000000001</v>
      </c>
      <c r="CN36" s="187">
        <v>0.99480000000000002</v>
      </c>
      <c r="CO36" s="187">
        <v>0.99950000000000006</v>
      </c>
      <c r="CP36" s="187">
        <v>1.0038</v>
      </c>
      <c r="CQ36" s="187">
        <v>1.008</v>
      </c>
      <c r="CR36" s="187">
        <v>1.0118</v>
      </c>
      <c r="CS36" s="187">
        <v>1.0154000000000001</v>
      </c>
      <c r="CT36" s="187">
        <v>1.0186999999999999</v>
      </c>
      <c r="CU36" s="187">
        <v>1.0217000000000001</v>
      </c>
      <c r="CV36" s="187">
        <v>1.0245</v>
      </c>
      <c r="CW36" s="121">
        <v>1.0271999999999999</v>
      </c>
      <c r="CX36" s="61"/>
      <c r="CY36" s="149"/>
      <c r="DO36" s="45">
        <v>0</v>
      </c>
      <c r="DQ36" s="45">
        <v>0</v>
      </c>
      <c r="DW36" s="92">
        <v>1940</v>
      </c>
      <c r="DX36" s="16">
        <v>40140</v>
      </c>
      <c r="DY36" s="46">
        <v>41040</v>
      </c>
      <c r="DZ36" s="46">
        <v>41880</v>
      </c>
      <c r="EA36" s="46">
        <v>42996</v>
      </c>
      <c r="EB36" s="46">
        <v>43200</v>
      </c>
      <c r="EC36" s="46">
        <v>43668</v>
      </c>
      <c r="ED36" s="46">
        <v>44448</v>
      </c>
      <c r="EE36" s="46">
        <v>45216</v>
      </c>
      <c r="EF36" s="46">
        <v>46176</v>
      </c>
      <c r="EG36" s="46">
        <v>46896</v>
      </c>
      <c r="EH36" s="46">
        <v>47616</v>
      </c>
      <c r="EI36" s="46">
        <v>48252</v>
      </c>
      <c r="EJ36" s="46">
        <v>48492</v>
      </c>
      <c r="EK36" s="140">
        <v>48576</v>
      </c>
      <c r="EN36" s="42">
        <v>1940</v>
      </c>
      <c r="EO36" s="105">
        <v>26736</v>
      </c>
      <c r="EP36" s="126">
        <v>28812</v>
      </c>
      <c r="EQ36" s="148">
        <v>30072</v>
      </c>
      <c r="ER36" s="126">
        <v>31092</v>
      </c>
      <c r="ES36" s="126">
        <v>32400</v>
      </c>
      <c r="ET36" s="126">
        <v>33324</v>
      </c>
      <c r="EU36" s="126">
        <v>33912</v>
      </c>
      <c r="EV36" s="40">
        <v>37572</v>
      </c>
      <c r="EW36" s="126">
        <v>39180</v>
      </c>
      <c r="EX36" s="200">
        <v>40140</v>
      </c>
      <c r="EY36" s="46">
        <v>41040</v>
      </c>
      <c r="EZ36" s="46">
        <v>41880</v>
      </c>
      <c r="FA36" s="46">
        <v>42996</v>
      </c>
      <c r="FB36" s="46">
        <v>43200</v>
      </c>
      <c r="FC36" s="46">
        <v>43668</v>
      </c>
      <c r="FD36" s="46">
        <v>44448</v>
      </c>
      <c r="FE36" s="46">
        <v>45216</v>
      </c>
      <c r="FF36" s="46">
        <v>46176</v>
      </c>
      <c r="FG36" s="46">
        <v>46896</v>
      </c>
      <c r="FH36" s="46">
        <v>47616</v>
      </c>
      <c r="FI36" s="46">
        <v>48252</v>
      </c>
      <c r="FJ36" s="46">
        <v>48492</v>
      </c>
      <c r="FK36" s="140">
        <v>48576</v>
      </c>
    </row>
    <row r="37" spans="1:167" ht="15.75" x14ac:dyDescent="0.25">
      <c r="A37" s="163">
        <v>33</v>
      </c>
      <c r="B37" s="121">
        <v>0.14000000000000001</v>
      </c>
      <c r="C37" s="61"/>
      <c r="D37" s="207">
        <v>32</v>
      </c>
      <c r="E37" s="125">
        <v>1.2967</v>
      </c>
      <c r="F37" s="61"/>
      <c r="G37" s="61"/>
      <c r="H37" s="61"/>
      <c r="I37" s="61"/>
      <c r="J37" s="19">
        <v>33</v>
      </c>
      <c r="K37" s="121">
        <v>0.81666666666666732</v>
      </c>
      <c r="L37" s="61"/>
      <c r="M37" s="294">
        <v>33</v>
      </c>
      <c r="N37" s="121">
        <v>1.3808807947743944</v>
      </c>
      <c r="O37" s="61"/>
      <c r="P37" s="87">
        <v>60</v>
      </c>
      <c r="Q37" s="47">
        <v>0.61399999999999999</v>
      </c>
      <c r="R37" s="187">
        <v>0.61519999999999997</v>
      </c>
      <c r="S37" s="187">
        <v>0.61639999999999995</v>
      </c>
      <c r="T37" s="187">
        <v>0.61770000000000003</v>
      </c>
      <c r="U37" s="187">
        <v>0.61899999999999999</v>
      </c>
      <c r="V37" s="187">
        <v>0.62039999999999995</v>
      </c>
      <c r="W37" s="187">
        <v>0.62180000000000002</v>
      </c>
      <c r="X37" s="187">
        <v>0.62329999999999997</v>
      </c>
      <c r="Y37" s="187">
        <v>0.62490000000000001</v>
      </c>
      <c r="Z37" s="187">
        <v>0.62660000000000005</v>
      </c>
      <c r="AA37" s="187">
        <v>0.62829999999999997</v>
      </c>
      <c r="AB37" s="187">
        <v>0.63009999999999999</v>
      </c>
      <c r="AC37" s="187">
        <v>0.63200000000000001</v>
      </c>
      <c r="AD37" s="187">
        <v>0.63400000000000001</v>
      </c>
      <c r="AE37" s="187">
        <v>0.6361</v>
      </c>
      <c r="AF37" s="187">
        <v>0.63829999999999998</v>
      </c>
      <c r="AG37" s="187">
        <v>0.64019999999999999</v>
      </c>
      <c r="AH37" s="187">
        <v>0.64219999999999999</v>
      </c>
      <c r="AI37" s="187">
        <v>0.64439999999999997</v>
      </c>
      <c r="AJ37" s="187">
        <v>0.64670000000000005</v>
      </c>
      <c r="AK37" s="187">
        <v>0.64910000000000001</v>
      </c>
      <c r="AL37" s="187">
        <v>0.65159999999999996</v>
      </c>
      <c r="AM37" s="187">
        <v>0.65429999999999999</v>
      </c>
      <c r="AN37" s="187">
        <v>0.65720000000000001</v>
      </c>
      <c r="AO37" s="187">
        <v>0.66020000000000001</v>
      </c>
      <c r="AP37" s="187">
        <v>0.6633</v>
      </c>
      <c r="AQ37" s="187">
        <v>0.66669999999999996</v>
      </c>
      <c r="AR37" s="187">
        <v>0.67020000000000002</v>
      </c>
      <c r="AS37" s="187">
        <v>0.67379999999999995</v>
      </c>
      <c r="AT37" s="187">
        <v>0.67769999999999997</v>
      </c>
      <c r="AU37" s="187">
        <v>0.68169999999999997</v>
      </c>
      <c r="AV37" s="187">
        <v>0.68600000000000005</v>
      </c>
      <c r="AW37" s="187">
        <v>0.69040000000000001</v>
      </c>
      <c r="AX37" s="187">
        <v>0.69499999999999995</v>
      </c>
      <c r="AY37" s="187">
        <v>0.69979999999999998</v>
      </c>
      <c r="AZ37" s="187">
        <v>0.70479999999999998</v>
      </c>
      <c r="BA37" s="187">
        <v>0.71</v>
      </c>
      <c r="BB37" s="187">
        <v>0.71550000000000002</v>
      </c>
      <c r="BC37" s="187">
        <v>0.72109999999999996</v>
      </c>
      <c r="BD37" s="187">
        <v>0.72689999999999999</v>
      </c>
      <c r="BE37" s="187">
        <v>0.7329</v>
      </c>
      <c r="BF37" s="187">
        <v>0.73919999999999997</v>
      </c>
      <c r="BG37" s="187">
        <v>0.74560000000000004</v>
      </c>
      <c r="BH37" s="187">
        <v>0.75229999999999997</v>
      </c>
      <c r="BI37" s="187">
        <v>0.7591</v>
      </c>
      <c r="BJ37" s="187">
        <v>0.76619999999999999</v>
      </c>
      <c r="BK37" s="187">
        <v>0.77339999999999998</v>
      </c>
      <c r="BL37" s="187">
        <v>0.78080000000000005</v>
      </c>
      <c r="BM37" s="187">
        <v>0.78839999999999999</v>
      </c>
      <c r="BN37" s="187">
        <v>0.79610000000000003</v>
      </c>
      <c r="BO37" s="187">
        <v>0.80400000000000005</v>
      </c>
      <c r="BP37" s="187">
        <v>0.81200000000000006</v>
      </c>
      <c r="BQ37" s="187">
        <v>0.82010000000000005</v>
      </c>
      <c r="BR37" s="187">
        <v>0.82840000000000003</v>
      </c>
      <c r="BS37" s="187">
        <v>0.8367</v>
      </c>
      <c r="BT37" s="187">
        <v>0.84509999999999996</v>
      </c>
      <c r="BU37" s="187">
        <v>0.85360000000000003</v>
      </c>
      <c r="BV37" s="187">
        <v>0.86209999999999998</v>
      </c>
      <c r="BW37" s="187">
        <v>0.87060000000000004</v>
      </c>
      <c r="BX37" s="187">
        <v>0.87909999999999999</v>
      </c>
      <c r="BY37" s="187">
        <v>0.88749999999999996</v>
      </c>
      <c r="BZ37" s="187">
        <v>0.89590000000000003</v>
      </c>
      <c r="CA37" s="187">
        <v>0.9042</v>
      </c>
      <c r="CB37" s="187">
        <v>0.91239999999999999</v>
      </c>
      <c r="CC37" s="187">
        <v>0.92049999999999998</v>
      </c>
      <c r="CD37" s="187">
        <v>0.92830000000000001</v>
      </c>
      <c r="CE37" s="187">
        <v>0.93600000000000005</v>
      </c>
      <c r="CF37" s="187">
        <v>0.94340000000000002</v>
      </c>
      <c r="CG37" s="187">
        <v>0.95069999999999999</v>
      </c>
      <c r="CH37" s="187">
        <v>0.9577</v>
      </c>
      <c r="CI37" s="187">
        <v>0.96450000000000002</v>
      </c>
      <c r="CJ37" s="187">
        <v>0.97109999999999996</v>
      </c>
      <c r="CK37" s="187">
        <v>0.97740000000000005</v>
      </c>
      <c r="CL37" s="187">
        <v>0.98340000000000005</v>
      </c>
      <c r="CM37" s="251">
        <v>0.98919999999999997</v>
      </c>
      <c r="CN37" s="187">
        <v>0.99460000000000004</v>
      </c>
      <c r="CO37" s="187">
        <v>0.99970000000000003</v>
      </c>
      <c r="CP37" s="187">
        <v>1.0044999999999999</v>
      </c>
      <c r="CQ37" s="187">
        <v>1.0091000000000001</v>
      </c>
      <c r="CR37" s="187">
        <v>1.0133000000000001</v>
      </c>
      <c r="CS37" s="187">
        <v>1.0172000000000001</v>
      </c>
      <c r="CT37" s="187">
        <v>1.0208999999999999</v>
      </c>
      <c r="CU37" s="187">
        <v>1.0243</v>
      </c>
      <c r="CV37" s="187">
        <v>1.0274000000000001</v>
      </c>
      <c r="CW37" s="121">
        <v>1.0303</v>
      </c>
      <c r="CX37" s="61"/>
      <c r="CY37" s="149"/>
      <c r="DW37" s="92">
        <v>1941</v>
      </c>
      <c r="DX37" s="16">
        <v>41412</v>
      </c>
      <c r="DY37" s="46">
        <v>42372</v>
      </c>
      <c r="DZ37" s="46">
        <v>43272</v>
      </c>
      <c r="EA37" s="46">
        <v>44472</v>
      </c>
      <c r="EB37" s="46">
        <v>44688</v>
      </c>
      <c r="EC37" s="46">
        <v>45204</v>
      </c>
      <c r="ED37" s="46">
        <v>46056</v>
      </c>
      <c r="EE37" s="46">
        <v>46908</v>
      </c>
      <c r="EF37" s="46">
        <v>47988</v>
      </c>
      <c r="EG37" s="46">
        <v>48816</v>
      </c>
      <c r="EH37" s="46">
        <v>49656</v>
      </c>
      <c r="EI37" s="46">
        <v>50424</v>
      </c>
      <c r="EJ37" s="46">
        <v>50724</v>
      </c>
      <c r="EK37" s="140">
        <v>50832</v>
      </c>
      <c r="EN37" s="42">
        <v>1941</v>
      </c>
      <c r="EO37" s="105">
        <v>27432</v>
      </c>
      <c r="EP37" s="126">
        <v>29604</v>
      </c>
      <c r="EQ37" s="148">
        <v>30924</v>
      </c>
      <c r="ER37" s="126">
        <v>32004</v>
      </c>
      <c r="ES37" s="126">
        <v>33372</v>
      </c>
      <c r="ET37" s="126">
        <v>34356</v>
      </c>
      <c r="EU37" s="126">
        <v>34968</v>
      </c>
      <c r="EV37" s="40">
        <v>38688</v>
      </c>
      <c r="EW37" s="126">
        <v>40392</v>
      </c>
      <c r="EX37" s="200">
        <v>41412</v>
      </c>
      <c r="EY37" s="46">
        <v>42372</v>
      </c>
      <c r="EZ37" s="46">
        <v>43272</v>
      </c>
      <c r="FA37" s="46">
        <v>44472</v>
      </c>
      <c r="FB37" s="46">
        <v>44688</v>
      </c>
      <c r="FC37" s="46">
        <v>45204</v>
      </c>
      <c r="FD37" s="46">
        <v>46056</v>
      </c>
      <c r="FE37" s="46">
        <v>46908</v>
      </c>
      <c r="FF37" s="46">
        <v>47988</v>
      </c>
      <c r="FG37" s="46">
        <v>48816</v>
      </c>
      <c r="FH37" s="46">
        <v>49656</v>
      </c>
      <c r="FI37" s="46">
        <v>50424</v>
      </c>
      <c r="FJ37" s="46">
        <v>50724</v>
      </c>
      <c r="FK37" s="140">
        <v>50832</v>
      </c>
    </row>
    <row r="38" spans="1:167" ht="15.75" x14ac:dyDescent="0.25">
      <c r="A38" s="19">
        <v>32</v>
      </c>
      <c r="B38" s="121">
        <v>0.13500000000000001</v>
      </c>
      <c r="C38" s="61"/>
      <c r="D38" s="207">
        <v>33</v>
      </c>
      <c r="E38" s="125">
        <v>1.3075000000000001</v>
      </c>
      <c r="F38" s="61"/>
      <c r="G38" s="61"/>
      <c r="H38" s="61"/>
      <c r="I38" s="61"/>
      <c r="J38" s="19">
        <v>34</v>
      </c>
      <c r="K38" s="121">
        <v>0.81111111111111178</v>
      </c>
      <c r="L38" s="61"/>
      <c r="M38" s="294">
        <v>34</v>
      </c>
      <c r="N38" s="121">
        <v>1.3943564777645487</v>
      </c>
      <c r="O38" s="61"/>
      <c r="P38" s="87">
        <v>61</v>
      </c>
      <c r="Q38" s="47">
        <v>0.60250000000000004</v>
      </c>
      <c r="R38" s="187">
        <v>0.60360000000000003</v>
      </c>
      <c r="S38" s="187">
        <v>0.6048</v>
      </c>
      <c r="T38" s="187">
        <v>0.60599999999999998</v>
      </c>
      <c r="U38" s="187">
        <v>0.60740000000000005</v>
      </c>
      <c r="V38" s="187">
        <v>0.60870000000000002</v>
      </c>
      <c r="W38" s="187">
        <v>0.61019999999999996</v>
      </c>
      <c r="X38" s="187">
        <v>0.61170000000000002</v>
      </c>
      <c r="Y38" s="187">
        <v>0.61319999999999997</v>
      </c>
      <c r="Z38" s="187">
        <v>0.6149</v>
      </c>
      <c r="AA38" s="187">
        <v>0.61660000000000004</v>
      </c>
      <c r="AB38" s="187">
        <v>0.61839999999999995</v>
      </c>
      <c r="AC38" s="187">
        <v>0.62029999999999996</v>
      </c>
      <c r="AD38" s="187">
        <v>0.62219999999999998</v>
      </c>
      <c r="AE38" s="187">
        <v>0.62429999999999997</v>
      </c>
      <c r="AF38" s="187">
        <v>0.62639999999999996</v>
      </c>
      <c r="AG38" s="187">
        <v>0.62829999999999997</v>
      </c>
      <c r="AH38" s="187">
        <v>0.63029999999999997</v>
      </c>
      <c r="AI38" s="187">
        <v>0.63239999999999996</v>
      </c>
      <c r="AJ38" s="187">
        <v>0.63470000000000004</v>
      </c>
      <c r="AK38" s="187">
        <v>0.6371</v>
      </c>
      <c r="AL38" s="187">
        <v>0.63959999999999995</v>
      </c>
      <c r="AM38" s="187">
        <v>0.64219999999999999</v>
      </c>
      <c r="AN38" s="187">
        <v>0.64510000000000001</v>
      </c>
      <c r="AO38" s="187">
        <v>0.64800000000000002</v>
      </c>
      <c r="AP38" s="187">
        <v>0.6512</v>
      </c>
      <c r="AQ38" s="187">
        <v>0.65449999999999997</v>
      </c>
      <c r="AR38" s="187">
        <v>0.65790000000000004</v>
      </c>
      <c r="AS38" s="187">
        <v>0.66159999999999997</v>
      </c>
      <c r="AT38" s="187">
        <v>0.66539999999999999</v>
      </c>
      <c r="AU38" s="187">
        <v>0.6694</v>
      </c>
      <c r="AV38" s="187">
        <v>0.67359999999999998</v>
      </c>
      <c r="AW38" s="187">
        <v>0.67800000000000005</v>
      </c>
      <c r="AX38" s="187">
        <v>0.68269999999999997</v>
      </c>
      <c r="AY38" s="187">
        <v>0.6875</v>
      </c>
      <c r="AZ38" s="187">
        <v>0.6925</v>
      </c>
      <c r="BA38" s="187">
        <v>0.69769999999999999</v>
      </c>
      <c r="BB38" s="187">
        <v>0.70309999999999995</v>
      </c>
      <c r="BC38" s="187">
        <v>0.70879999999999999</v>
      </c>
      <c r="BD38" s="187">
        <v>0.71460000000000001</v>
      </c>
      <c r="BE38" s="187">
        <v>0.72070000000000001</v>
      </c>
      <c r="BF38" s="187">
        <v>0.72699999999999998</v>
      </c>
      <c r="BG38" s="187">
        <v>0.73350000000000004</v>
      </c>
      <c r="BH38" s="187">
        <v>0.74019999999999997</v>
      </c>
      <c r="BI38" s="187">
        <v>0.74709999999999999</v>
      </c>
      <c r="BJ38" s="187">
        <v>0.75429999999999997</v>
      </c>
      <c r="BK38" s="187">
        <v>0.76160000000000005</v>
      </c>
      <c r="BL38" s="187">
        <v>0.76919999999999999</v>
      </c>
      <c r="BM38" s="187">
        <v>0.77690000000000003</v>
      </c>
      <c r="BN38" s="187">
        <v>0.78480000000000005</v>
      </c>
      <c r="BO38" s="187">
        <v>0.79290000000000005</v>
      </c>
      <c r="BP38" s="187">
        <v>0.80110000000000003</v>
      </c>
      <c r="BQ38" s="187">
        <v>0.8095</v>
      </c>
      <c r="BR38" s="187">
        <v>0.81799999999999995</v>
      </c>
      <c r="BS38" s="187">
        <v>0.8266</v>
      </c>
      <c r="BT38" s="187">
        <v>0.83530000000000004</v>
      </c>
      <c r="BU38" s="187">
        <v>0.84409999999999996</v>
      </c>
      <c r="BV38" s="187">
        <v>0.85299999999999998</v>
      </c>
      <c r="BW38" s="187">
        <v>0.86180000000000001</v>
      </c>
      <c r="BX38" s="187">
        <v>0.87070000000000003</v>
      </c>
      <c r="BY38" s="187">
        <v>0.87960000000000005</v>
      </c>
      <c r="BZ38" s="187">
        <v>0.88849999999999996</v>
      </c>
      <c r="CA38" s="187">
        <v>0.89729999999999999</v>
      </c>
      <c r="CB38" s="187">
        <v>0.90590000000000004</v>
      </c>
      <c r="CC38" s="187">
        <v>0.91449999999999998</v>
      </c>
      <c r="CD38" s="187">
        <v>0.92279999999999995</v>
      </c>
      <c r="CE38" s="187">
        <v>0.93100000000000005</v>
      </c>
      <c r="CF38" s="187">
        <v>0.93899999999999995</v>
      </c>
      <c r="CG38" s="187">
        <v>0.94679999999999997</v>
      </c>
      <c r="CH38" s="187">
        <v>0.95440000000000003</v>
      </c>
      <c r="CI38" s="187">
        <v>0.9617</v>
      </c>
      <c r="CJ38" s="187">
        <v>0.96889999999999998</v>
      </c>
      <c r="CK38" s="187">
        <v>0.97570000000000001</v>
      </c>
      <c r="CL38" s="187">
        <v>0.98229999999999995</v>
      </c>
      <c r="CM38" s="251">
        <v>0.98850000000000005</v>
      </c>
      <c r="CN38" s="187">
        <v>0.99450000000000005</v>
      </c>
      <c r="CO38" s="187">
        <v>1.0001</v>
      </c>
      <c r="CP38" s="187">
        <v>1.0054000000000001</v>
      </c>
      <c r="CQ38" s="187">
        <v>1.0103</v>
      </c>
      <c r="CR38" s="187">
        <v>1.0149999999999999</v>
      </c>
      <c r="CS38" s="187">
        <v>1.0194000000000001</v>
      </c>
      <c r="CT38" s="187">
        <v>1.0234000000000001</v>
      </c>
      <c r="CU38" s="187">
        <v>1.0271999999999999</v>
      </c>
      <c r="CV38" s="187">
        <v>1.0306</v>
      </c>
      <c r="CW38" s="121">
        <v>1.0339</v>
      </c>
      <c r="CX38" s="61"/>
      <c r="CY38" s="78">
        <v>36616</v>
      </c>
      <c r="DK38" t="s">
        <v>495</v>
      </c>
      <c r="DL38" t="s">
        <v>178</v>
      </c>
      <c r="DM38" s="75">
        <v>0</v>
      </c>
      <c r="DN38" s="272">
        <v>0</v>
      </c>
      <c r="DO38" s="45">
        <v>0</v>
      </c>
      <c r="DP38" s="45">
        <v>0</v>
      </c>
      <c r="DQ38" s="45">
        <v>0</v>
      </c>
      <c r="DR38" s="45"/>
      <c r="DS38" s="45"/>
      <c r="DW38" s="92">
        <v>1942</v>
      </c>
      <c r="DX38" s="16">
        <v>42624</v>
      </c>
      <c r="DY38" s="46">
        <v>43644</v>
      </c>
      <c r="DZ38" s="46">
        <v>44604</v>
      </c>
      <c r="EA38" s="46">
        <v>45888</v>
      </c>
      <c r="EB38" s="46">
        <v>46128</v>
      </c>
      <c r="EC38" s="46">
        <v>46692</v>
      </c>
      <c r="ED38" s="46">
        <v>47616</v>
      </c>
      <c r="EE38" s="46">
        <v>48552</v>
      </c>
      <c r="EF38" s="46">
        <v>49752</v>
      </c>
      <c r="EG38" s="46">
        <v>50688</v>
      </c>
      <c r="EH38" s="46">
        <v>51648</v>
      </c>
      <c r="EI38" s="46">
        <v>52548</v>
      </c>
      <c r="EJ38" s="46">
        <v>52908</v>
      </c>
      <c r="EK38" s="140">
        <v>53028</v>
      </c>
      <c r="EN38" s="42">
        <v>1942</v>
      </c>
      <c r="EO38" s="105">
        <v>28140</v>
      </c>
      <c r="EP38" s="126">
        <v>30408</v>
      </c>
      <c r="EQ38" s="148">
        <v>31788</v>
      </c>
      <c r="ER38" s="126">
        <v>32916</v>
      </c>
      <c r="ES38" s="126">
        <v>34356</v>
      </c>
      <c r="ET38" s="126">
        <v>35388</v>
      </c>
      <c r="EU38" s="126">
        <v>36036</v>
      </c>
      <c r="EV38" s="40">
        <v>39756</v>
      </c>
      <c r="EW38" s="126">
        <v>41544</v>
      </c>
      <c r="EX38" s="200">
        <v>42624</v>
      </c>
      <c r="EY38" s="46">
        <v>43644</v>
      </c>
      <c r="EZ38" s="46">
        <v>44604</v>
      </c>
      <c r="FA38" s="46">
        <v>45888</v>
      </c>
      <c r="FB38" s="46">
        <v>46128</v>
      </c>
      <c r="FC38" s="46">
        <v>46692</v>
      </c>
      <c r="FD38" s="46">
        <v>47616</v>
      </c>
      <c r="FE38" s="46">
        <v>48552</v>
      </c>
      <c r="FF38" s="46">
        <v>49752</v>
      </c>
      <c r="FG38" s="46">
        <v>50688</v>
      </c>
      <c r="FH38" s="46">
        <v>51648</v>
      </c>
      <c r="FI38" s="46">
        <v>52548</v>
      </c>
      <c r="FJ38" s="46">
        <v>52908</v>
      </c>
      <c r="FK38" s="140">
        <v>53028</v>
      </c>
    </row>
    <row r="39" spans="1:167" ht="16.5" thickBot="1" x14ac:dyDescent="0.3">
      <c r="A39" s="235">
        <v>31</v>
      </c>
      <c r="B39" s="219">
        <v>0.13</v>
      </c>
      <c r="C39" s="61"/>
      <c r="D39" s="207">
        <v>34</v>
      </c>
      <c r="E39" s="125">
        <v>1.3183</v>
      </c>
      <c r="F39" s="61"/>
      <c r="G39" s="61"/>
      <c r="H39" s="61"/>
      <c r="I39" s="61"/>
      <c r="J39" s="19">
        <v>35</v>
      </c>
      <c r="K39" s="121">
        <v>0.80555555555555625</v>
      </c>
      <c r="L39" s="61"/>
      <c r="M39" s="294">
        <v>35</v>
      </c>
      <c r="N39" s="121">
        <v>1.4078321607547031</v>
      </c>
      <c r="O39" s="61"/>
      <c r="P39" s="87">
        <v>62</v>
      </c>
      <c r="Q39" s="47">
        <v>0.59089999999999998</v>
      </c>
      <c r="R39" s="187">
        <v>0.59209999999999996</v>
      </c>
      <c r="S39" s="187">
        <v>0.59330000000000005</v>
      </c>
      <c r="T39" s="187">
        <v>0.59450000000000003</v>
      </c>
      <c r="U39" s="187">
        <v>0.5958</v>
      </c>
      <c r="V39" s="187">
        <v>0.59709999999999996</v>
      </c>
      <c r="W39" s="187">
        <v>0.59860000000000002</v>
      </c>
      <c r="X39" s="187">
        <v>0.6</v>
      </c>
      <c r="Y39" s="187">
        <v>0.60160000000000002</v>
      </c>
      <c r="Z39" s="187">
        <v>0.60319999999999996</v>
      </c>
      <c r="AA39" s="187">
        <v>0.60489999999999999</v>
      </c>
      <c r="AB39" s="187">
        <v>0.60670000000000002</v>
      </c>
      <c r="AC39" s="187">
        <v>0.60850000000000004</v>
      </c>
      <c r="AD39" s="187">
        <v>0.61050000000000004</v>
      </c>
      <c r="AE39" s="187">
        <v>0.61250000000000004</v>
      </c>
      <c r="AF39" s="187">
        <v>0.61460000000000004</v>
      </c>
      <c r="AG39" s="187">
        <v>0.61650000000000005</v>
      </c>
      <c r="AH39" s="187">
        <v>0.61850000000000005</v>
      </c>
      <c r="AI39" s="187">
        <v>0.62050000000000005</v>
      </c>
      <c r="AJ39" s="187">
        <v>0.62280000000000002</v>
      </c>
      <c r="AK39" s="187">
        <v>0.62509999999999999</v>
      </c>
      <c r="AL39" s="187">
        <v>0.62760000000000005</v>
      </c>
      <c r="AM39" s="187">
        <v>0.63019999999999998</v>
      </c>
      <c r="AN39" s="187">
        <v>0.63300000000000001</v>
      </c>
      <c r="AO39" s="187">
        <v>0.63590000000000002</v>
      </c>
      <c r="AP39" s="187">
        <v>0.63900000000000001</v>
      </c>
      <c r="AQ39" s="187">
        <v>0.64229999999999998</v>
      </c>
      <c r="AR39" s="187">
        <v>0.64570000000000005</v>
      </c>
      <c r="AS39" s="187">
        <v>0.64939999999999998</v>
      </c>
      <c r="AT39" s="187">
        <v>0.6532</v>
      </c>
      <c r="AU39" s="187">
        <v>0.65720000000000001</v>
      </c>
      <c r="AV39" s="187">
        <v>0.6613</v>
      </c>
      <c r="AW39" s="187">
        <v>0.66569999999999996</v>
      </c>
      <c r="AX39" s="187">
        <v>0.67030000000000001</v>
      </c>
      <c r="AY39" s="187">
        <v>0.67510000000000003</v>
      </c>
      <c r="AZ39" s="187">
        <v>0.68010000000000004</v>
      </c>
      <c r="BA39" s="187">
        <v>0.68530000000000002</v>
      </c>
      <c r="BB39" s="187">
        <v>0.69069999999999998</v>
      </c>
      <c r="BC39" s="187">
        <v>0.69640000000000002</v>
      </c>
      <c r="BD39" s="187">
        <v>0.70230000000000004</v>
      </c>
      <c r="BE39" s="187">
        <v>0.70840000000000003</v>
      </c>
      <c r="BF39" s="187">
        <v>0.7147</v>
      </c>
      <c r="BG39" s="187">
        <v>0.72119999999999995</v>
      </c>
      <c r="BH39" s="187">
        <v>0.72799999999999998</v>
      </c>
      <c r="BI39" s="187">
        <v>0.73499999999999999</v>
      </c>
      <c r="BJ39" s="187">
        <v>0.74229999999999996</v>
      </c>
      <c r="BK39" s="187">
        <v>0.74970000000000003</v>
      </c>
      <c r="BL39" s="187">
        <v>0.75739999999999996</v>
      </c>
      <c r="BM39" s="187">
        <v>0.76519999999999999</v>
      </c>
      <c r="BN39" s="187">
        <v>0.77329999999999999</v>
      </c>
      <c r="BO39" s="187">
        <v>0.78159999999999996</v>
      </c>
      <c r="BP39" s="187">
        <v>0.79</v>
      </c>
      <c r="BQ39" s="187">
        <v>0.79859999999999998</v>
      </c>
      <c r="BR39" s="187">
        <v>0.80730000000000002</v>
      </c>
      <c r="BS39" s="187">
        <v>0.81620000000000004</v>
      </c>
      <c r="BT39" s="187">
        <v>0.82520000000000004</v>
      </c>
      <c r="BU39" s="187">
        <v>0.83430000000000004</v>
      </c>
      <c r="BV39" s="187">
        <v>0.84360000000000002</v>
      </c>
      <c r="BW39" s="187">
        <v>0.8528</v>
      </c>
      <c r="BX39" s="187">
        <v>0.86209999999999998</v>
      </c>
      <c r="BY39" s="187">
        <v>0.87139999999999995</v>
      </c>
      <c r="BZ39" s="187">
        <v>0.88070000000000004</v>
      </c>
      <c r="CA39" s="187">
        <v>0.89</v>
      </c>
      <c r="CB39" s="187">
        <v>0.8992</v>
      </c>
      <c r="CC39" s="187">
        <v>0.90820000000000001</v>
      </c>
      <c r="CD39" s="187">
        <v>0.91710000000000003</v>
      </c>
      <c r="CE39" s="187">
        <v>0.92579999999999996</v>
      </c>
      <c r="CF39" s="187">
        <v>0.93440000000000001</v>
      </c>
      <c r="CG39" s="187">
        <v>0.94269999999999998</v>
      </c>
      <c r="CH39" s="187">
        <v>0.95089999999999997</v>
      </c>
      <c r="CI39" s="187">
        <v>0.95879999999999999</v>
      </c>
      <c r="CJ39" s="187">
        <v>0.96650000000000003</v>
      </c>
      <c r="CK39" s="187">
        <v>0.97389999999999999</v>
      </c>
      <c r="CL39" s="187">
        <v>0.98099999999999998</v>
      </c>
      <c r="CM39" s="251">
        <v>0.9879</v>
      </c>
      <c r="CN39" s="187">
        <v>0.99429999999999996</v>
      </c>
      <c r="CO39" s="187">
        <v>1.0004999999999999</v>
      </c>
      <c r="CP39" s="187">
        <v>1.0063</v>
      </c>
      <c r="CQ39" s="187">
        <v>1.0118</v>
      </c>
      <c r="CR39" s="187">
        <v>1.0168999999999999</v>
      </c>
      <c r="CS39" s="187">
        <v>1.0217000000000001</v>
      </c>
      <c r="CT39" s="187">
        <v>1.0262</v>
      </c>
      <c r="CU39" s="187">
        <v>1.0303</v>
      </c>
      <c r="CV39" s="187">
        <v>1.0342</v>
      </c>
      <c r="CW39" s="121">
        <v>1.0378000000000001</v>
      </c>
      <c r="CX39" s="61"/>
      <c r="CY39" s="333"/>
      <c r="CZ39" s="331"/>
      <c r="DE39" s="75"/>
      <c r="DG39" s="78"/>
      <c r="DL39" t="s">
        <v>142</v>
      </c>
      <c r="DM39" s="75">
        <v>0</v>
      </c>
      <c r="DN39" s="272">
        <v>0</v>
      </c>
      <c r="DO39" s="45">
        <v>0</v>
      </c>
      <c r="DP39" s="45">
        <v>0</v>
      </c>
      <c r="DQ39" s="45">
        <v>0</v>
      </c>
      <c r="DR39" s="45"/>
      <c r="DS39" s="45"/>
      <c r="DW39" s="92">
        <v>1943</v>
      </c>
      <c r="DX39" s="16">
        <v>43776</v>
      </c>
      <c r="DY39" s="46">
        <v>44856</v>
      </c>
      <c r="DZ39" s="46">
        <v>45876</v>
      </c>
      <c r="EA39" s="46">
        <v>47244</v>
      </c>
      <c r="EB39" s="46">
        <v>47508</v>
      </c>
      <c r="EC39" s="46">
        <v>48108</v>
      </c>
      <c r="ED39" s="46">
        <v>49104</v>
      </c>
      <c r="EE39" s="46">
        <v>50136</v>
      </c>
      <c r="EF39" s="46">
        <v>51456</v>
      </c>
      <c r="EG39" s="46">
        <v>52488</v>
      </c>
      <c r="EH39" s="46">
        <v>53568</v>
      </c>
      <c r="EI39" s="46">
        <v>54588</v>
      </c>
      <c r="EJ39" s="46">
        <v>55008</v>
      </c>
      <c r="EK39" s="140">
        <v>55164</v>
      </c>
      <c r="EN39" s="42">
        <v>1943</v>
      </c>
      <c r="EO39" s="105">
        <v>28812</v>
      </c>
      <c r="EP39" s="126">
        <v>31164</v>
      </c>
      <c r="EQ39" s="148">
        <v>35400</v>
      </c>
      <c r="ER39" s="126">
        <v>33792</v>
      </c>
      <c r="ES39" s="126">
        <v>35292</v>
      </c>
      <c r="ET39" s="126">
        <v>36372</v>
      </c>
      <c r="EU39" s="126">
        <v>37068</v>
      </c>
      <c r="EV39" s="40">
        <v>40752</v>
      </c>
      <c r="EW39" s="126">
        <v>42636</v>
      </c>
      <c r="EX39" s="200">
        <v>43776</v>
      </c>
      <c r="EY39" s="46">
        <v>44856</v>
      </c>
      <c r="EZ39" s="46">
        <v>45876</v>
      </c>
      <c r="FA39" s="46">
        <v>47244</v>
      </c>
      <c r="FB39" s="46">
        <v>47508</v>
      </c>
      <c r="FC39" s="46">
        <v>48108</v>
      </c>
      <c r="FD39" s="46">
        <v>49104</v>
      </c>
      <c r="FE39" s="46">
        <v>50136</v>
      </c>
      <c r="FF39" s="46">
        <v>51456</v>
      </c>
      <c r="FG39" s="46">
        <v>52488</v>
      </c>
      <c r="FH39" s="46">
        <v>53568</v>
      </c>
      <c r="FI39" s="46">
        <v>54588</v>
      </c>
      <c r="FJ39" s="46">
        <v>55008</v>
      </c>
      <c r="FK39" s="140">
        <v>55164</v>
      </c>
    </row>
    <row r="40" spans="1:167" ht="15.75" x14ac:dyDescent="0.25">
      <c r="B40" s="61"/>
      <c r="C40" s="61"/>
      <c r="D40" s="207">
        <v>35</v>
      </c>
      <c r="E40" s="125">
        <v>1.3291999999999999</v>
      </c>
      <c r="F40" s="61"/>
      <c r="G40" s="61"/>
      <c r="H40" s="61"/>
      <c r="I40" s="61"/>
      <c r="J40" s="19">
        <v>36</v>
      </c>
      <c r="K40" s="121">
        <v>0.80000000000000071</v>
      </c>
      <c r="L40" s="61"/>
      <c r="M40" s="294">
        <v>36</v>
      </c>
      <c r="N40" s="121">
        <v>1.4213078437448574</v>
      </c>
      <c r="O40" s="61"/>
      <c r="P40" s="87">
        <v>63</v>
      </c>
      <c r="Q40" s="47">
        <v>0.57950000000000002</v>
      </c>
      <c r="R40" s="187">
        <v>0.58069999999999999</v>
      </c>
      <c r="S40" s="187">
        <v>0.58179999999999998</v>
      </c>
      <c r="T40" s="187">
        <v>0.58299999999999996</v>
      </c>
      <c r="U40" s="187">
        <v>0.58430000000000004</v>
      </c>
      <c r="V40" s="187">
        <v>0.58560000000000001</v>
      </c>
      <c r="W40" s="187">
        <v>0.58699999999999997</v>
      </c>
      <c r="X40" s="187">
        <v>0.58850000000000002</v>
      </c>
      <c r="Y40" s="187">
        <v>0.59</v>
      </c>
      <c r="Z40" s="187">
        <v>0.59160000000000001</v>
      </c>
      <c r="AA40" s="187">
        <v>0.59330000000000005</v>
      </c>
      <c r="AB40" s="187">
        <v>0.59509999999999996</v>
      </c>
      <c r="AC40" s="187">
        <v>0.59689999999999999</v>
      </c>
      <c r="AD40" s="187">
        <v>0.5988</v>
      </c>
      <c r="AE40" s="187">
        <v>0.6008</v>
      </c>
      <c r="AF40" s="187">
        <v>0.60289999999999999</v>
      </c>
      <c r="AG40" s="187">
        <v>0.6048</v>
      </c>
      <c r="AH40" s="187">
        <v>0.60670000000000002</v>
      </c>
      <c r="AI40" s="187">
        <v>0.60870000000000002</v>
      </c>
      <c r="AJ40" s="187">
        <v>0.6109</v>
      </c>
      <c r="AK40" s="187">
        <v>0.61319999999999997</v>
      </c>
      <c r="AL40" s="187">
        <v>0.61570000000000003</v>
      </c>
      <c r="AM40" s="187">
        <v>0.61829999999999996</v>
      </c>
      <c r="AN40" s="187">
        <v>0.621</v>
      </c>
      <c r="AO40" s="187">
        <v>0.62390000000000001</v>
      </c>
      <c r="AP40" s="187">
        <v>0.627</v>
      </c>
      <c r="AQ40" s="187">
        <v>0.63019999999999998</v>
      </c>
      <c r="AR40" s="187">
        <v>0.63360000000000005</v>
      </c>
      <c r="AS40" s="187">
        <v>0.63719999999999999</v>
      </c>
      <c r="AT40" s="187">
        <v>0.64100000000000001</v>
      </c>
      <c r="AU40" s="187">
        <v>0.64490000000000003</v>
      </c>
      <c r="AV40" s="187">
        <v>0.64910000000000001</v>
      </c>
      <c r="AW40" s="187">
        <v>0.65339999999999998</v>
      </c>
      <c r="AX40" s="187">
        <v>0.65800000000000003</v>
      </c>
      <c r="AY40" s="187">
        <v>0.66279999999999994</v>
      </c>
      <c r="AZ40" s="187">
        <v>0.66779999999999995</v>
      </c>
      <c r="BA40" s="187">
        <v>0.67300000000000004</v>
      </c>
      <c r="BB40" s="187">
        <v>0.6784</v>
      </c>
      <c r="BC40" s="187">
        <v>0.68400000000000005</v>
      </c>
      <c r="BD40" s="187">
        <v>0.68989999999999996</v>
      </c>
      <c r="BE40" s="187">
        <v>0.69599999999999995</v>
      </c>
      <c r="BF40" s="187">
        <v>0.70240000000000002</v>
      </c>
      <c r="BG40" s="187">
        <v>0.70899999999999996</v>
      </c>
      <c r="BH40" s="187">
        <v>0.71579999999999999</v>
      </c>
      <c r="BI40" s="187">
        <v>0.72289999999999999</v>
      </c>
      <c r="BJ40" s="187">
        <v>0.73019999999999996</v>
      </c>
      <c r="BK40" s="187">
        <v>0.73770000000000002</v>
      </c>
      <c r="BL40" s="187">
        <v>0.74550000000000005</v>
      </c>
      <c r="BM40" s="187">
        <v>0.75349999999999995</v>
      </c>
      <c r="BN40" s="187">
        <v>0.76170000000000004</v>
      </c>
      <c r="BO40" s="187">
        <v>0.77010000000000001</v>
      </c>
      <c r="BP40" s="187">
        <v>0.77869999999999995</v>
      </c>
      <c r="BQ40" s="187">
        <v>0.78749999999999998</v>
      </c>
      <c r="BR40" s="187">
        <v>0.79649999999999999</v>
      </c>
      <c r="BS40" s="187">
        <v>0.80559999999999998</v>
      </c>
      <c r="BT40" s="187">
        <v>0.81489999999999996</v>
      </c>
      <c r="BU40" s="187">
        <v>0.82440000000000002</v>
      </c>
      <c r="BV40" s="187">
        <v>0.83389999999999997</v>
      </c>
      <c r="BW40" s="187">
        <v>0.84360000000000002</v>
      </c>
      <c r="BX40" s="187">
        <v>0.85329999999999995</v>
      </c>
      <c r="BY40" s="187">
        <v>0.86299999999999999</v>
      </c>
      <c r="BZ40" s="187">
        <v>0.87270000000000003</v>
      </c>
      <c r="CA40" s="187">
        <v>0.88249999999999995</v>
      </c>
      <c r="CB40" s="187">
        <v>0.8921</v>
      </c>
      <c r="CC40" s="187">
        <v>0.90169999999999995</v>
      </c>
      <c r="CD40" s="187">
        <v>0.91110000000000002</v>
      </c>
      <c r="CE40" s="187">
        <v>0.9204</v>
      </c>
      <c r="CF40" s="187">
        <v>0.92949999999999999</v>
      </c>
      <c r="CG40" s="187">
        <v>0.9385</v>
      </c>
      <c r="CH40" s="187">
        <v>0.94720000000000004</v>
      </c>
      <c r="CI40" s="187">
        <v>0.95569999999999999</v>
      </c>
      <c r="CJ40" s="187">
        <v>0.96399999999999997</v>
      </c>
      <c r="CK40" s="187">
        <v>0.97209999999999996</v>
      </c>
      <c r="CL40" s="187">
        <v>0.9798</v>
      </c>
      <c r="CM40" s="251">
        <v>0.98719999999999997</v>
      </c>
      <c r="CN40" s="187">
        <v>0.99429999999999996</v>
      </c>
      <c r="CO40" s="187">
        <v>1.0009999999999999</v>
      </c>
      <c r="CP40" s="187">
        <v>1.0073000000000001</v>
      </c>
      <c r="CQ40" s="187">
        <v>1.0133000000000001</v>
      </c>
      <c r="CR40" s="187">
        <v>1.0189999999999999</v>
      </c>
      <c r="CS40" s="187">
        <v>1.0243</v>
      </c>
      <c r="CT40" s="187">
        <v>1.0291999999999999</v>
      </c>
      <c r="CU40" s="187">
        <v>1.0338000000000001</v>
      </c>
      <c r="CV40" s="187">
        <v>1.0381</v>
      </c>
      <c r="CW40" s="121">
        <v>1.0421</v>
      </c>
      <c r="CX40" s="61"/>
      <c r="CY40" s="78">
        <v>27881</v>
      </c>
      <c r="DG40" s="78"/>
      <c r="DL40" t="s">
        <v>136</v>
      </c>
      <c r="DM40">
        <v>0</v>
      </c>
      <c r="DN40" s="272">
        <v>0</v>
      </c>
      <c r="DO40" s="45">
        <v>0</v>
      </c>
      <c r="DP40" s="45">
        <v>0</v>
      </c>
      <c r="DQ40" s="45">
        <v>0</v>
      </c>
      <c r="DW40" s="92">
        <v>1944</v>
      </c>
      <c r="DX40" s="16">
        <v>44892</v>
      </c>
      <c r="DY40" s="46">
        <v>46032</v>
      </c>
      <c r="DZ40" s="46">
        <v>47112</v>
      </c>
      <c r="EA40" s="46">
        <v>48576</v>
      </c>
      <c r="EB40" s="46">
        <v>48852</v>
      </c>
      <c r="EC40" s="46">
        <v>49488</v>
      </c>
      <c r="ED40" s="46">
        <v>50568</v>
      </c>
      <c r="EE40" s="46">
        <v>51684</v>
      </c>
      <c r="EF40" s="46">
        <v>53124</v>
      </c>
      <c r="EG40" s="46">
        <v>54252</v>
      </c>
      <c r="EH40" s="46">
        <v>55452</v>
      </c>
      <c r="EI40" s="46">
        <v>56616</v>
      </c>
      <c r="EJ40" s="46">
        <v>57096</v>
      </c>
      <c r="EK40" s="140">
        <v>57276</v>
      </c>
      <c r="EN40" s="42">
        <v>1944</v>
      </c>
      <c r="EO40" s="105">
        <v>29424</v>
      </c>
      <c r="EP40" s="126">
        <v>31872</v>
      </c>
      <c r="EQ40" s="148">
        <v>33372</v>
      </c>
      <c r="ER40" s="126">
        <v>34608</v>
      </c>
      <c r="ES40" s="126">
        <v>36192</v>
      </c>
      <c r="ET40" s="126">
        <v>37320</v>
      </c>
      <c r="EU40" s="126">
        <v>38040</v>
      </c>
      <c r="EV40" s="40">
        <v>41712</v>
      </c>
      <c r="EW40" s="126">
        <v>43692</v>
      </c>
      <c r="EX40" s="200">
        <v>44892</v>
      </c>
      <c r="EY40" s="46">
        <v>46032</v>
      </c>
      <c r="EZ40" s="46">
        <v>47112</v>
      </c>
      <c r="FA40" s="46">
        <v>48576</v>
      </c>
      <c r="FB40" s="46">
        <v>48852</v>
      </c>
      <c r="FC40" s="46">
        <v>49488</v>
      </c>
      <c r="FD40" s="46">
        <v>50568</v>
      </c>
      <c r="FE40" s="46">
        <v>51684</v>
      </c>
      <c r="FF40" s="46">
        <v>53124</v>
      </c>
      <c r="FG40" s="46">
        <v>54252</v>
      </c>
      <c r="FH40" s="46">
        <v>55452</v>
      </c>
      <c r="FI40" s="46">
        <v>56616</v>
      </c>
      <c r="FJ40" s="46">
        <v>57096</v>
      </c>
      <c r="FK40" s="140">
        <v>57276</v>
      </c>
    </row>
    <row r="41" spans="1:167" ht="15.75" x14ac:dyDescent="0.25">
      <c r="B41" s="61"/>
      <c r="C41" s="61"/>
      <c r="D41" s="207">
        <v>36</v>
      </c>
      <c r="E41" s="125">
        <v>1.34</v>
      </c>
      <c r="F41" s="61"/>
      <c r="G41" s="61"/>
      <c r="H41" s="61"/>
      <c r="I41" s="61"/>
      <c r="J41" s="19">
        <v>37</v>
      </c>
      <c r="K41" s="121">
        <v>0.79444444444444517</v>
      </c>
      <c r="L41" s="61"/>
      <c r="M41" s="294">
        <v>37</v>
      </c>
      <c r="N41" s="121">
        <v>1.4370355065434106</v>
      </c>
      <c r="O41" s="61"/>
      <c r="P41" s="87">
        <v>64</v>
      </c>
      <c r="Q41" s="47">
        <v>0.56830000000000003</v>
      </c>
      <c r="R41" s="187">
        <v>0.56940000000000002</v>
      </c>
      <c r="S41" s="187">
        <v>0.57050000000000001</v>
      </c>
      <c r="T41" s="187">
        <v>0.57169999999999999</v>
      </c>
      <c r="U41" s="187">
        <v>0.57299999999999995</v>
      </c>
      <c r="V41" s="187">
        <v>0.57430000000000003</v>
      </c>
      <c r="W41" s="187">
        <v>0.57569999999999999</v>
      </c>
      <c r="X41" s="187">
        <v>0.57709999999999995</v>
      </c>
      <c r="Y41" s="187">
        <v>0.5786</v>
      </c>
      <c r="Z41" s="187">
        <v>0.58020000000000005</v>
      </c>
      <c r="AA41" s="187">
        <v>0.58189999999999997</v>
      </c>
      <c r="AB41" s="187">
        <v>0.58360000000000001</v>
      </c>
      <c r="AC41" s="187">
        <v>0.58540000000000003</v>
      </c>
      <c r="AD41" s="187">
        <v>0.58730000000000004</v>
      </c>
      <c r="AE41" s="187">
        <v>0.58930000000000005</v>
      </c>
      <c r="AF41" s="187">
        <v>0.59140000000000004</v>
      </c>
      <c r="AG41" s="187">
        <v>0.59309999999999996</v>
      </c>
      <c r="AH41" s="187">
        <v>0.59499999999999997</v>
      </c>
      <c r="AI41" s="187">
        <v>0.59709999999999996</v>
      </c>
      <c r="AJ41" s="187">
        <v>0.59919999999999995</v>
      </c>
      <c r="AK41" s="187">
        <v>0.60150000000000003</v>
      </c>
      <c r="AL41" s="187">
        <v>0.60389999999999999</v>
      </c>
      <c r="AM41" s="187">
        <v>0.60640000000000005</v>
      </c>
      <c r="AN41" s="187">
        <v>0.60909999999999997</v>
      </c>
      <c r="AO41" s="187">
        <v>0.61199999999999999</v>
      </c>
      <c r="AP41" s="187">
        <v>0.61499999999999999</v>
      </c>
      <c r="AQ41" s="187">
        <v>0.61819999999999997</v>
      </c>
      <c r="AR41" s="187">
        <v>0.62160000000000004</v>
      </c>
      <c r="AS41" s="187">
        <v>0.62509999999999999</v>
      </c>
      <c r="AT41" s="187">
        <v>0.62890000000000001</v>
      </c>
      <c r="AU41" s="187">
        <v>0.63280000000000003</v>
      </c>
      <c r="AV41" s="187">
        <v>0.63690000000000002</v>
      </c>
      <c r="AW41" s="187">
        <v>0.64119999999999999</v>
      </c>
      <c r="AX41" s="187">
        <v>0.64580000000000004</v>
      </c>
      <c r="AY41" s="187">
        <v>0.65049999999999997</v>
      </c>
      <c r="AZ41" s="187">
        <v>0.65549999999999997</v>
      </c>
      <c r="BA41" s="187">
        <v>0.66069999999999995</v>
      </c>
      <c r="BB41" s="187">
        <v>0.66610000000000003</v>
      </c>
      <c r="BC41" s="187">
        <v>0.67169999999999996</v>
      </c>
      <c r="BD41" s="187">
        <v>0.67759999999999998</v>
      </c>
      <c r="BE41" s="187">
        <v>0.68369999999999997</v>
      </c>
      <c r="BF41" s="187">
        <v>0.69010000000000005</v>
      </c>
      <c r="BG41" s="187">
        <v>0.69669999999999999</v>
      </c>
      <c r="BH41" s="187">
        <v>0.7036</v>
      </c>
      <c r="BI41" s="187">
        <v>0.7107</v>
      </c>
      <c r="BJ41" s="187">
        <v>0.71809999999999996</v>
      </c>
      <c r="BK41" s="187">
        <v>0.72570000000000001</v>
      </c>
      <c r="BL41" s="187">
        <v>0.73350000000000004</v>
      </c>
      <c r="BM41" s="187">
        <v>0.74160000000000004</v>
      </c>
      <c r="BN41" s="187">
        <v>0.75</v>
      </c>
      <c r="BO41" s="187">
        <v>0.75849999999999995</v>
      </c>
      <c r="BP41" s="187">
        <v>0.76729999999999998</v>
      </c>
      <c r="BQ41" s="187">
        <v>0.77629999999999999</v>
      </c>
      <c r="BR41" s="187">
        <v>0.78549999999999998</v>
      </c>
      <c r="BS41" s="187">
        <v>0.79490000000000005</v>
      </c>
      <c r="BT41" s="187">
        <v>0.80449999999999999</v>
      </c>
      <c r="BU41" s="187">
        <v>0.81420000000000003</v>
      </c>
      <c r="BV41" s="187">
        <v>0.82410000000000005</v>
      </c>
      <c r="BW41" s="187">
        <v>0.83409999999999995</v>
      </c>
      <c r="BX41" s="187">
        <v>0.84419999999999995</v>
      </c>
      <c r="BY41" s="187">
        <v>0.85429999999999995</v>
      </c>
      <c r="BZ41" s="187">
        <v>0.86450000000000005</v>
      </c>
      <c r="CA41" s="187">
        <v>0.87470000000000003</v>
      </c>
      <c r="CB41" s="187">
        <v>0.88490000000000002</v>
      </c>
      <c r="CC41" s="187">
        <v>0.89500000000000002</v>
      </c>
      <c r="CD41" s="187">
        <v>0.90500000000000003</v>
      </c>
      <c r="CE41" s="187">
        <v>0.91479999999999995</v>
      </c>
      <c r="CF41" s="187">
        <v>0.92449999999999999</v>
      </c>
      <c r="CG41" s="187">
        <v>0.93400000000000005</v>
      </c>
      <c r="CH41" s="187">
        <v>0.94340000000000002</v>
      </c>
      <c r="CI41" s="187">
        <v>0.95250000000000001</v>
      </c>
      <c r="CJ41" s="187">
        <v>0.96150000000000002</v>
      </c>
      <c r="CK41" s="187">
        <v>0.97009999999999996</v>
      </c>
      <c r="CL41" s="187">
        <v>0.97850000000000004</v>
      </c>
      <c r="CM41" s="251">
        <v>0.98650000000000004</v>
      </c>
      <c r="CN41" s="187">
        <v>0.99419999999999997</v>
      </c>
      <c r="CO41" s="187">
        <v>1.0016</v>
      </c>
      <c r="CP41" s="187">
        <v>1.0085</v>
      </c>
      <c r="CQ41" s="187">
        <v>1.0150999999999999</v>
      </c>
      <c r="CR41" s="187">
        <v>1.0213000000000001</v>
      </c>
      <c r="CS41" s="187">
        <v>1.0270999999999999</v>
      </c>
      <c r="CT41" s="187">
        <v>1.0326</v>
      </c>
      <c r="CU41" s="187">
        <v>1.0377000000000001</v>
      </c>
      <c r="CV41" s="187">
        <v>1.0424</v>
      </c>
      <c r="CW41" s="121">
        <v>1.0468</v>
      </c>
      <c r="CX41" s="61"/>
      <c r="CY41" s="149"/>
      <c r="DL41" t="s">
        <v>347</v>
      </c>
      <c r="DM41">
        <v>0</v>
      </c>
      <c r="DN41" s="272">
        <v>0</v>
      </c>
      <c r="DO41" s="45">
        <v>0</v>
      </c>
      <c r="DP41" s="45">
        <v>0</v>
      </c>
      <c r="DQ41" s="45">
        <v>0</v>
      </c>
      <c r="DW41" s="92">
        <v>1945</v>
      </c>
      <c r="DX41" s="16">
        <v>45984</v>
      </c>
      <c r="DY41" s="46">
        <v>47184</v>
      </c>
      <c r="DZ41" s="46">
        <v>48324</v>
      </c>
      <c r="EA41" s="46">
        <v>49872</v>
      </c>
      <c r="EB41" s="46">
        <v>50160</v>
      </c>
      <c r="EC41" s="46">
        <v>50844</v>
      </c>
      <c r="ED41" s="46">
        <v>52008</v>
      </c>
      <c r="EE41" s="46">
        <v>53208</v>
      </c>
      <c r="EF41" s="46">
        <v>54768</v>
      </c>
      <c r="EG41" s="46">
        <v>55992</v>
      </c>
      <c r="EH41" s="46">
        <v>57312</v>
      </c>
      <c r="EI41" s="46">
        <v>58608</v>
      </c>
      <c r="EJ41" s="46">
        <v>59418</v>
      </c>
      <c r="EK41" s="140">
        <v>59352</v>
      </c>
      <c r="EN41" s="42">
        <v>1945</v>
      </c>
      <c r="EO41" s="105">
        <v>29976</v>
      </c>
      <c r="EP41" s="126">
        <v>32520</v>
      </c>
      <c r="EQ41" s="148">
        <v>34060</v>
      </c>
      <c r="ER41" s="126">
        <v>35364</v>
      </c>
      <c r="ES41" s="126">
        <v>37008</v>
      </c>
      <c r="ET41" s="126">
        <v>38196</v>
      </c>
      <c r="EU41" s="126">
        <v>38952</v>
      </c>
      <c r="EV41" s="40">
        <v>42648</v>
      </c>
      <c r="EW41" s="126">
        <v>44724</v>
      </c>
      <c r="EX41" s="200">
        <v>45984</v>
      </c>
      <c r="EY41" s="46">
        <v>47184</v>
      </c>
      <c r="EZ41" s="46">
        <v>48324</v>
      </c>
      <c r="FA41" s="46">
        <v>49872</v>
      </c>
      <c r="FB41" s="46">
        <v>50160</v>
      </c>
      <c r="FC41" s="46">
        <v>50844</v>
      </c>
      <c r="FD41" s="46">
        <v>52008</v>
      </c>
      <c r="FE41" s="46">
        <v>53208</v>
      </c>
      <c r="FF41" s="46">
        <v>54768</v>
      </c>
      <c r="FG41" s="46">
        <v>55992</v>
      </c>
      <c r="FH41" s="46">
        <v>57312</v>
      </c>
      <c r="FI41" s="46">
        <v>58608</v>
      </c>
      <c r="FJ41" s="46">
        <v>59418</v>
      </c>
      <c r="FK41" s="140">
        <v>59352</v>
      </c>
    </row>
    <row r="42" spans="1:167" ht="15.75" x14ac:dyDescent="0.25">
      <c r="B42" s="61"/>
      <c r="C42" s="61"/>
      <c r="D42" s="207">
        <v>37</v>
      </c>
      <c r="E42" s="125">
        <v>1.3525</v>
      </c>
      <c r="F42" s="61"/>
      <c r="G42" s="61"/>
      <c r="H42" s="61"/>
      <c r="I42" s="61"/>
      <c r="J42" s="19">
        <v>38</v>
      </c>
      <c r="K42" s="121">
        <v>0.78888888888888964</v>
      </c>
      <c r="L42" s="61"/>
      <c r="M42" s="294">
        <v>38</v>
      </c>
      <c r="N42" s="121">
        <v>1.4527631693419636</v>
      </c>
      <c r="O42" s="61"/>
      <c r="P42" s="87">
        <v>65</v>
      </c>
      <c r="Q42" s="47">
        <v>0.55710000000000004</v>
      </c>
      <c r="R42" s="187">
        <v>0.55820000000000003</v>
      </c>
      <c r="S42" s="187">
        <v>0.55940000000000001</v>
      </c>
      <c r="T42" s="187">
        <v>0.5605</v>
      </c>
      <c r="U42" s="187">
        <v>0.56179999999999997</v>
      </c>
      <c r="V42" s="187">
        <v>0.56310000000000004</v>
      </c>
      <c r="W42" s="187">
        <v>0.56440000000000001</v>
      </c>
      <c r="X42" s="187">
        <v>0.56589999999999996</v>
      </c>
      <c r="Y42" s="187">
        <v>0.56740000000000002</v>
      </c>
      <c r="Z42" s="187">
        <v>0.56889999999999996</v>
      </c>
      <c r="AA42" s="187">
        <v>0.57050000000000001</v>
      </c>
      <c r="AB42" s="187">
        <v>0.57230000000000003</v>
      </c>
      <c r="AC42" s="187">
        <v>0.57399999999999995</v>
      </c>
      <c r="AD42" s="187">
        <v>0.57589999999999997</v>
      </c>
      <c r="AE42" s="187">
        <v>0.57789999999999997</v>
      </c>
      <c r="AF42" s="187">
        <v>0.57989999999999997</v>
      </c>
      <c r="AG42" s="187">
        <v>0.58169999999999999</v>
      </c>
      <c r="AH42" s="187">
        <v>0.58350000000000002</v>
      </c>
      <c r="AI42" s="187">
        <v>0.58550000000000002</v>
      </c>
      <c r="AJ42" s="187">
        <v>0.58760000000000001</v>
      </c>
      <c r="AK42" s="187">
        <v>0.58989999999999998</v>
      </c>
      <c r="AL42" s="187">
        <v>0.59219999999999995</v>
      </c>
      <c r="AM42" s="187">
        <v>0.59470000000000001</v>
      </c>
      <c r="AN42" s="187">
        <v>0.59740000000000004</v>
      </c>
      <c r="AO42" s="187">
        <v>0.60019999999999996</v>
      </c>
      <c r="AP42" s="187">
        <v>0.60319999999999996</v>
      </c>
      <c r="AQ42" s="187">
        <v>0.60640000000000005</v>
      </c>
      <c r="AR42" s="187">
        <v>0.60970000000000002</v>
      </c>
      <c r="AS42" s="187">
        <v>0.61319999999999997</v>
      </c>
      <c r="AT42" s="187">
        <v>0.6169</v>
      </c>
      <c r="AU42" s="187">
        <v>0.62080000000000002</v>
      </c>
      <c r="AV42" s="187">
        <v>0.62490000000000001</v>
      </c>
      <c r="AW42" s="187">
        <v>0.62919999999999998</v>
      </c>
      <c r="AX42" s="187">
        <v>0.63370000000000004</v>
      </c>
      <c r="AY42" s="187">
        <v>0.63839999999999997</v>
      </c>
      <c r="AZ42" s="187">
        <v>0.64339999999999997</v>
      </c>
      <c r="BA42" s="187">
        <v>0.64849999999999997</v>
      </c>
      <c r="BB42" s="187">
        <v>0.65390000000000004</v>
      </c>
      <c r="BC42" s="187">
        <v>0.65949999999999998</v>
      </c>
      <c r="BD42" s="187">
        <v>0.66539999999999999</v>
      </c>
      <c r="BE42" s="187">
        <v>0.67149999999999999</v>
      </c>
      <c r="BF42" s="187">
        <v>0.67789999999999995</v>
      </c>
      <c r="BG42" s="187">
        <v>0.6845</v>
      </c>
      <c r="BH42" s="187">
        <v>0.69140000000000001</v>
      </c>
      <c r="BI42" s="187">
        <v>0.6986</v>
      </c>
      <c r="BJ42" s="187">
        <v>0.70599999999999996</v>
      </c>
      <c r="BK42" s="187">
        <v>0.7137</v>
      </c>
      <c r="BL42" s="187">
        <v>0.72160000000000002</v>
      </c>
      <c r="BM42" s="187">
        <v>0.7298</v>
      </c>
      <c r="BN42" s="187">
        <v>0.73819999999999997</v>
      </c>
      <c r="BO42" s="187">
        <v>0.74690000000000001</v>
      </c>
      <c r="BP42" s="187">
        <v>0.75590000000000002</v>
      </c>
      <c r="BQ42" s="187">
        <v>0.76500000000000001</v>
      </c>
      <c r="BR42" s="187">
        <v>0.77439999999999998</v>
      </c>
      <c r="BS42" s="187">
        <v>0.78400000000000003</v>
      </c>
      <c r="BT42" s="187">
        <v>0.79390000000000005</v>
      </c>
      <c r="BU42" s="187">
        <v>0.80389999999999995</v>
      </c>
      <c r="BV42" s="187">
        <v>0.81410000000000005</v>
      </c>
      <c r="BW42" s="187">
        <v>0.82440000000000002</v>
      </c>
      <c r="BX42" s="187">
        <v>0.83489999999999998</v>
      </c>
      <c r="BY42" s="187">
        <v>0.84540000000000004</v>
      </c>
      <c r="BZ42" s="187">
        <v>0.85609999999999997</v>
      </c>
      <c r="CA42" s="187">
        <v>0.86670000000000003</v>
      </c>
      <c r="CB42" s="187">
        <v>0.87739999999999996</v>
      </c>
      <c r="CC42" s="187">
        <v>0.88800000000000001</v>
      </c>
      <c r="CD42" s="187">
        <v>0.89859999999999995</v>
      </c>
      <c r="CE42" s="187">
        <v>0.90900000000000003</v>
      </c>
      <c r="CF42" s="187">
        <v>0.91930000000000001</v>
      </c>
      <c r="CG42" s="187">
        <v>0.9294</v>
      </c>
      <c r="CH42" s="187">
        <v>0.93940000000000001</v>
      </c>
      <c r="CI42" s="187">
        <v>0.94920000000000004</v>
      </c>
      <c r="CJ42" s="187">
        <v>0.95879999999999999</v>
      </c>
      <c r="CK42" s="187">
        <v>0.96809999999999996</v>
      </c>
      <c r="CL42" s="187">
        <v>0.97719999999999996</v>
      </c>
      <c r="CM42" s="251">
        <v>0.9859</v>
      </c>
      <c r="CN42" s="187">
        <v>0.99419999999999997</v>
      </c>
      <c r="CO42" s="187">
        <v>1.0022</v>
      </c>
      <c r="CP42" s="187">
        <v>1.0098</v>
      </c>
      <c r="CQ42" s="187">
        <v>1.0169999999999999</v>
      </c>
      <c r="CR42" s="187">
        <v>1.0238</v>
      </c>
      <c r="CS42" s="187">
        <v>1.0303</v>
      </c>
      <c r="CT42" s="187">
        <v>1.0363</v>
      </c>
      <c r="CU42" s="187">
        <v>1.0419</v>
      </c>
      <c r="CV42" s="187">
        <v>1.0470999999999999</v>
      </c>
      <c r="CW42" s="121">
        <v>1.052</v>
      </c>
      <c r="CX42" s="61"/>
      <c r="CY42" s="183" t="s">
        <v>91</v>
      </c>
      <c r="CZ42" s="183"/>
      <c r="DL42" t="s">
        <v>399</v>
      </c>
      <c r="DM42">
        <v>0</v>
      </c>
      <c r="DN42" t="s">
        <v>417</v>
      </c>
      <c r="DO42" s="45">
        <v>0</v>
      </c>
      <c r="DP42" s="26">
        <v>0</v>
      </c>
      <c r="DQ42" s="45">
        <v>0</v>
      </c>
      <c r="DW42" s="92">
        <v>1946</v>
      </c>
      <c r="DX42" s="16">
        <v>47040</v>
      </c>
      <c r="DY42" s="46">
        <v>48300</v>
      </c>
      <c r="DZ42" s="46">
        <v>49500</v>
      </c>
      <c r="EA42" s="46">
        <v>51132</v>
      </c>
      <c r="EB42" s="46">
        <v>51432</v>
      </c>
      <c r="EC42" s="46">
        <v>52164</v>
      </c>
      <c r="ED42" s="46">
        <v>53400</v>
      </c>
      <c r="EE42" s="46">
        <v>54684</v>
      </c>
      <c r="EF42" s="46">
        <v>56364</v>
      </c>
      <c r="EG42" s="46">
        <v>57708</v>
      </c>
      <c r="EH42" s="46">
        <v>59148</v>
      </c>
      <c r="EI42" s="46">
        <v>60552</v>
      </c>
      <c r="EJ42" s="46">
        <v>61152</v>
      </c>
      <c r="EK42" s="140">
        <v>61392</v>
      </c>
      <c r="EN42" s="42">
        <v>1946</v>
      </c>
      <c r="EO42" s="105">
        <v>30492</v>
      </c>
      <c r="EP42" s="126">
        <v>33132</v>
      </c>
      <c r="EQ42" s="148">
        <v>34752</v>
      </c>
      <c r="ER42" s="126">
        <v>36096</v>
      </c>
      <c r="ES42" s="126">
        <v>37812</v>
      </c>
      <c r="ET42" s="126">
        <v>39048</v>
      </c>
      <c r="EU42" s="126">
        <v>39828</v>
      </c>
      <c r="EV42" s="40">
        <v>43548</v>
      </c>
      <c r="EW42" s="126">
        <v>45720</v>
      </c>
      <c r="EX42" s="200">
        <v>47040</v>
      </c>
      <c r="EY42" s="46">
        <v>48300</v>
      </c>
      <c r="EZ42" s="46">
        <v>49500</v>
      </c>
      <c r="FA42" s="46">
        <v>51132</v>
      </c>
      <c r="FB42" s="46">
        <v>51432</v>
      </c>
      <c r="FC42" s="46">
        <v>52164</v>
      </c>
      <c r="FD42" s="46">
        <v>53400</v>
      </c>
      <c r="FE42" s="46">
        <v>54684</v>
      </c>
      <c r="FF42" s="46">
        <v>56364</v>
      </c>
      <c r="FG42" s="46">
        <v>57708</v>
      </c>
      <c r="FH42" s="46">
        <v>59148</v>
      </c>
      <c r="FI42" s="46">
        <v>60552</v>
      </c>
      <c r="FJ42" s="46">
        <v>61152</v>
      </c>
      <c r="FK42" s="140">
        <v>61392</v>
      </c>
    </row>
    <row r="43" spans="1:167" ht="15.75" x14ac:dyDescent="0.25">
      <c r="B43" s="61"/>
      <c r="C43" s="61"/>
      <c r="D43" s="207">
        <v>38</v>
      </c>
      <c r="E43" s="125">
        <v>1.365</v>
      </c>
      <c r="F43" s="61"/>
      <c r="G43" s="61"/>
      <c r="H43" s="61"/>
      <c r="I43" s="61"/>
      <c r="J43" s="19">
        <v>39</v>
      </c>
      <c r="K43" s="121">
        <v>0.7833333333333341</v>
      </c>
      <c r="L43" s="61"/>
      <c r="M43" s="294">
        <v>39</v>
      </c>
      <c r="N43" s="121">
        <v>1.4684908321405166</v>
      </c>
      <c r="O43" s="61"/>
      <c r="P43" s="87">
        <v>66</v>
      </c>
      <c r="Q43" s="47">
        <v>0.54620000000000002</v>
      </c>
      <c r="R43" s="187">
        <v>0.54730000000000001</v>
      </c>
      <c r="S43" s="187">
        <v>0.5484</v>
      </c>
      <c r="T43" s="187">
        <v>0.54959999999999998</v>
      </c>
      <c r="U43" s="187">
        <v>0.55079999999999996</v>
      </c>
      <c r="V43" s="187">
        <v>0.55210000000000004</v>
      </c>
      <c r="W43" s="187">
        <v>0.5534</v>
      </c>
      <c r="X43" s="187">
        <v>0.55479999999999996</v>
      </c>
      <c r="Y43" s="187">
        <v>0.55630000000000002</v>
      </c>
      <c r="Z43" s="187">
        <v>0.55779999999999996</v>
      </c>
      <c r="AA43" s="187">
        <v>0.55940000000000001</v>
      </c>
      <c r="AB43" s="187">
        <v>0.56110000000000004</v>
      </c>
      <c r="AC43" s="187">
        <v>0.56289999999999996</v>
      </c>
      <c r="AD43" s="187">
        <v>0.56469999999999998</v>
      </c>
      <c r="AE43" s="187">
        <v>0.56669999999999998</v>
      </c>
      <c r="AF43" s="187">
        <v>0.56869999999999998</v>
      </c>
      <c r="AG43" s="187">
        <v>0.57040000000000002</v>
      </c>
      <c r="AH43" s="187">
        <v>0.57230000000000003</v>
      </c>
      <c r="AI43" s="187">
        <v>0.57420000000000004</v>
      </c>
      <c r="AJ43" s="187">
        <v>0.57630000000000003</v>
      </c>
      <c r="AK43" s="187">
        <v>0.57850000000000001</v>
      </c>
      <c r="AL43" s="187">
        <v>0.58079999999999998</v>
      </c>
      <c r="AM43" s="187">
        <v>0.58330000000000004</v>
      </c>
      <c r="AN43" s="187">
        <v>0.58589999999999998</v>
      </c>
      <c r="AO43" s="187">
        <v>0.5887</v>
      </c>
      <c r="AP43" s="187">
        <v>0.59160000000000001</v>
      </c>
      <c r="AQ43" s="187">
        <v>0.59470000000000001</v>
      </c>
      <c r="AR43" s="187">
        <v>0.59799999999999998</v>
      </c>
      <c r="AS43" s="187">
        <v>0.60150000000000003</v>
      </c>
      <c r="AT43" s="187">
        <v>0.60519999999999996</v>
      </c>
      <c r="AU43" s="187">
        <v>0.60899999999999999</v>
      </c>
      <c r="AV43" s="187">
        <v>0.61309999999999998</v>
      </c>
      <c r="AW43" s="187">
        <v>0.61729999999999996</v>
      </c>
      <c r="AX43" s="187">
        <v>0.62180000000000002</v>
      </c>
      <c r="AY43" s="187">
        <v>0.62649999999999995</v>
      </c>
      <c r="AZ43" s="187">
        <v>0.63139999999999996</v>
      </c>
      <c r="BA43" s="187">
        <v>0.63649999999999995</v>
      </c>
      <c r="BB43" s="187">
        <v>0.64190000000000003</v>
      </c>
      <c r="BC43" s="187">
        <v>0.64749999999999996</v>
      </c>
      <c r="BD43" s="187">
        <v>0.65329999999999999</v>
      </c>
      <c r="BE43" s="187">
        <v>0.65939999999999999</v>
      </c>
      <c r="BF43" s="187">
        <v>0.66579999999999995</v>
      </c>
      <c r="BG43" s="187">
        <v>0.67249999999999999</v>
      </c>
      <c r="BH43" s="187">
        <v>0.6794</v>
      </c>
      <c r="BI43" s="187">
        <v>0.6865</v>
      </c>
      <c r="BJ43" s="187">
        <v>0.69399999999999995</v>
      </c>
      <c r="BK43" s="187">
        <v>0.70169999999999999</v>
      </c>
      <c r="BL43" s="187">
        <v>0.7097</v>
      </c>
      <c r="BM43" s="187">
        <v>0.71799999999999997</v>
      </c>
      <c r="BN43" s="187">
        <v>0.72650000000000003</v>
      </c>
      <c r="BO43" s="187">
        <v>0.73529999999999995</v>
      </c>
      <c r="BP43" s="187">
        <v>0.74439999999999995</v>
      </c>
      <c r="BQ43" s="187">
        <v>0.75370000000000004</v>
      </c>
      <c r="BR43" s="187">
        <v>0.76329999999999998</v>
      </c>
      <c r="BS43" s="187">
        <v>0.77310000000000001</v>
      </c>
      <c r="BT43" s="187">
        <v>0.78320000000000001</v>
      </c>
      <c r="BU43" s="187">
        <v>0.79349999999999998</v>
      </c>
      <c r="BV43" s="187">
        <v>0.80400000000000005</v>
      </c>
      <c r="BW43" s="187">
        <v>0.81459999999999999</v>
      </c>
      <c r="BX43" s="187">
        <v>0.82550000000000001</v>
      </c>
      <c r="BY43" s="187">
        <v>0.83640000000000003</v>
      </c>
      <c r="BZ43" s="187">
        <v>0.84750000000000003</v>
      </c>
      <c r="CA43" s="187">
        <v>0.85860000000000003</v>
      </c>
      <c r="CB43" s="187">
        <v>0.86980000000000002</v>
      </c>
      <c r="CC43" s="187">
        <v>0.88090000000000002</v>
      </c>
      <c r="CD43" s="187">
        <v>0.89200000000000002</v>
      </c>
      <c r="CE43" s="187">
        <v>0.90300000000000002</v>
      </c>
      <c r="CF43" s="187">
        <v>0.91390000000000005</v>
      </c>
      <c r="CG43" s="187">
        <v>0.92459999999999998</v>
      </c>
      <c r="CH43" s="187">
        <v>0.93530000000000002</v>
      </c>
      <c r="CI43" s="187">
        <v>0.94579999999999997</v>
      </c>
      <c r="CJ43" s="187">
        <v>0.95599999999999996</v>
      </c>
      <c r="CK43" s="187">
        <v>0.96609999999999996</v>
      </c>
      <c r="CL43" s="187">
        <v>0.9758</v>
      </c>
      <c r="CM43" s="251">
        <v>0.98529999999999995</v>
      </c>
      <c r="CN43" s="187">
        <v>0.99429999999999996</v>
      </c>
      <c r="CO43" s="187">
        <v>1.0029999999999999</v>
      </c>
      <c r="CP43" s="187">
        <v>1.0113000000000001</v>
      </c>
      <c r="CQ43" s="187">
        <v>1.0190999999999999</v>
      </c>
      <c r="CR43" s="187">
        <v>1.0266</v>
      </c>
      <c r="CS43" s="187">
        <v>1.0337000000000001</v>
      </c>
      <c r="CT43" s="187">
        <v>1.0403</v>
      </c>
      <c r="CU43" s="187">
        <v>1.0465</v>
      </c>
      <c r="CV43" s="187">
        <v>1.0523</v>
      </c>
      <c r="CW43" s="121">
        <v>1.0577000000000001</v>
      </c>
      <c r="CX43" s="61"/>
      <c r="CY43" s="335"/>
      <c r="CZ43" s="335"/>
      <c r="DA43" s="335"/>
      <c r="DL43" t="s">
        <v>125</v>
      </c>
      <c r="DM43">
        <v>0</v>
      </c>
      <c r="DN43" t="s">
        <v>417</v>
      </c>
      <c r="DO43" s="45">
        <v>0</v>
      </c>
      <c r="DP43" s="26">
        <v>0</v>
      </c>
      <c r="DQ43" s="45">
        <v>0</v>
      </c>
      <c r="DW43" s="92">
        <v>1947</v>
      </c>
      <c r="DX43" s="16">
        <v>48060</v>
      </c>
      <c r="DY43" s="46">
        <v>49380</v>
      </c>
      <c r="DZ43" s="46">
        <v>50640</v>
      </c>
      <c r="EA43" s="46">
        <v>52356</v>
      </c>
      <c r="EB43" s="46">
        <v>52680</v>
      </c>
      <c r="EC43" s="46">
        <v>53448</v>
      </c>
      <c r="ED43" s="46">
        <v>54768</v>
      </c>
      <c r="EE43" s="46">
        <v>56136</v>
      </c>
      <c r="EF43" s="46">
        <v>57936</v>
      </c>
      <c r="EG43" s="46">
        <v>59376</v>
      </c>
      <c r="EH43" s="46">
        <v>60936</v>
      </c>
      <c r="EI43" s="46">
        <v>62472</v>
      </c>
      <c r="EJ43" s="46">
        <v>63132</v>
      </c>
      <c r="EK43" s="140">
        <v>63396</v>
      </c>
      <c r="EN43" s="42">
        <v>1947</v>
      </c>
      <c r="EO43" s="105">
        <v>30984</v>
      </c>
      <c r="EP43" s="126">
        <v>33720</v>
      </c>
      <c r="EQ43" s="148">
        <v>35400</v>
      </c>
      <c r="ER43" s="126">
        <v>36792</v>
      </c>
      <c r="ES43" s="126">
        <v>38568</v>
      </c>
      <c r="ET43" s="126">
        <v>39852</v>
      </c>
      <c r="EU43" s="126">
        <v>40680</v>
      </c>
      <c r="EV43" s="40">
        <v>44412</v>
      </c>
      <c r="EW43" s="126">
        <v>46680</v>
      </c>
      <c r="EX43" s="200">
        <v>48060</v>
      </c>
      <c r="EY43" s="46">
        <v>49380</v>
      </c>
      <c r="EZ43" s="46">
        <v>50640</v>
      </c>
      <c r="FA43" s="46">
        <v>52356</v>
      </c>
      <c r="FB43" s="46">
        <v>52680</v>
      </c>
      <c r="FC43" s="46">
        <v>53448</v>
      </c>
      <c r="FD43" s="46">
        <v>54768</v>
      </c>
      <c r="FE43" s="46">
        <v>56136</v>
      </c>
      <c r="FF43" s="46">
        <v>57936</v>
      </c>
      <c r="FG43" s="46">
        <v>59376</v>
      </c>
      <c r="FH43" s="46">
        <v>60936</v>
      </c>
      <c r="FI43" s="46">
        <v>62472</v>
      </c>
      <c r="FJ43" s="46">
        <v>63132</v>
      </c>
      <c r="FK43" s="140">
        <v>63396</v>
      </c>
    </row>
    <row r="44" spans="1:167" ht="15.75" x14ac:dyDescent="0.25">
      <c r="B44" s="61"/>
      <c r="C44" s="61"/>
      <c r="D44" s="207">
        <v>39</v>
      </c>
      <c r="E44" s="125">
        <v>1.3774999999999999</v>
      </c>
      <c r="F44" s="61"/>
      <c r="G44" s="61"/>
      <c r="H44" s="61"/>
      <c r="I44" s="61"/>
      <c r="J44" s="19">
        <v>40</v>
      </c>
      <c r="K44" s="121">
        <v>0.77777777777777857</v>
      </c>
      <c r="L44" s="61"/>
      <c r="M44" s="294">
        <v>40</v>
      </c>
      <c r="N44" s="121">
        <v>1.4842184949390698</v>
      </c>
      <c r="O44" s="61"/>
      <c r="P44" s="87">
        <v>67</v>
      </c>
      <c r="Q44" s="47">
        <v>0.53549999999999998</v>
      </c>
      <c r="R44" s="187">
        <v>0.53659999999999997</v>
      </c>
      <c r="S44" s="187">
        <v>0.53769999999999996</v>
      </c>
      <c r="T44" s="187">
        <v>0.53879999999999995</v>
      </c>
      <c r="U44" s="187">
        <v>0.54010000000000002</v>
      </c>
      <c r="V44" s="187">
        <v>0.5413</v>
      </c>
      <c r="W44" s="187">
        <v>0.54259999999999997</v>
      </c>
      <c r="X44" s="187">
        <v>0.54400000000000004</v>
      </c>
      <c r="Y44" s="187">
        <v>0.54549999999999998</v>
      </c>
      <c r="Z44" s="187">
        <v>0.54700000000000004</v>
      </c>
      <c r="AA44" s="187">
        <v>0.54859999999999998</v>
      </c>
      <c r="AB44" s="187">
        <v>0.55020000000000002</v>
      </c>
      <c r="AC44" s="187">
        <v>0.55200000000000005</v>
      </c>
      <c r="AD44" s="187">
        <v>0.55379999999999996</v>
      </c>
      <c r="AE44" s="187">
        <v>0.55569999999999997</v>
      </c>
      <c r="AF44" s="187">
        <v>0.55769999999999997</v>
      </c>
      <c r="AG44" s="187">
        <v>0.55940000000000001</v>
      </c>
      <c r="AH44" s="187">
        <v>0.56120000000000003</v>
      </c>
      <c r="AI44" s="187">
        <v>0.56310000000000004</v>
      </c>
      <c r="AJ44" s="187">
        <v>0.56510000000000005</v>
      </c>
      <c r="AK44" s="187">
        <v>0.56730000000000003</v>
      </c>
      <c r="AL44" s="187">
        <v>0.5696</v>
      </c>
      <c r="AM44" s="187">
        <v>0.57199999999999995</v>
      </c>
      <c r="AN44" s="187">
        <v>0.5746</v>
      </c>
      <c r="AO44" s="187">
        <v>0.57740000000000002</v>
      </c>
      <c r="AP44" s="187">
        <v>0.58030000000000004</v>
      </c>
      <c r="AQ44" s="187">
        <v>0.58330000000000004</v>
      </c>
      <c r="AR44" s="187">
        <v>0.58660000000000001</v>
      </c>
      <c r="AS44" s="187">
        <v>0.59</v>
      </c>
      <c r="AT44" s="187">
        <v>0.59360000000000002</v>
      </c>
      <c r="AU44" s="187">
        <v>0.59740000000000004</v>
      </c>
      <c r="AV44" s="187">
        <v>0.60140000000000005</v>
      </c>
      <c r="AW44" s="187">
        <v>0.60570000000000002</v>
      </c>
      <c r="AX44" s="187">
        <v>0.61009999999999998</v>
      </c>
      <c r="AY44" s="187">
        <v>0.61470000000000002</v>
      </c>
      <c r="AZ44" s="187">
        <v>0.61960000000000004</v>
      </c>
      <c r="BA44" s="187">
        <v>0.62470000000000003</v>
      </c>
      <c r="BB44" s="187">
        <v>0.63</v>
      </c>
      <c r="BC44" s="187">
        <v>0.63560000000000005</v>
      </c>
      <c r="BD44" s="187">
        <v>0.64149999999999996</v>
      </c>
      <c r="BE44" s="187">
        <v>0.64759999999999995</v>
      </c>
      <c r="BF44" s="187">
        <v>0.65390000000000004</v>
      </c>
      <c r="BG44" s="187">
        <v>0.66059999999999997</v>
      </c>
      <c r="BH44" s="187">
        <v>0.66749999999999998</v>
      </c>
      <c r="BI44" s="187">
        <v>0.67469999999999997</v>
      </c>
      <c r="BJ44" s="187">
        <v>0.68210000000000004</v>
      </c>
      <c r="BK44" s="187">
        <v>0.68989999999999996</v>
      </c>
      <c r="BL44" s="187">
        <v>0.69789999999999996</v>
      </c>
      <c r="BM44" s="187">
        <v>0.70630000000000004</v>
      </c>
      <c r="BN44" s="187">
        <v>0.71489999999999998</v>
      </c>
      <c r="BO44" s="187">
        <v>0.7238</v>
      </c>
      <c r="BP44" s="187">
        <v>0.73299999999999998</v>
      </c>
      <c r="BQ44" s="187">
        <v>0.74250000000000005</v>
      </c>
      <c r="BR44" s="187">
        <v>0.75219999999999998</v>
      </c>
      <c r="BS44" s="187">
        <v>0.76219999999999999</v>
      </c>
      <c r="BT44" s="187">
        <v>0.77249999999999996</v>
      </c>
      <c r="BU44" s="187">
        <v>0.78310000000000002</v>
      </c>
      <c r="BV44" s="187">
        <v>0.79379999999999995</v>
      </c>
      <c r="BW44" s="187">
        <v>0.80479999999999996</v>
      </c>
      <c r="BX44" s="187">
        <v>0.81599999999999995</v>
      </c>
      <c r="BY44" s="187">
        <v>0.82730000000000004</v>
      </c>
      <c r="BZ44" s="187">
        <v>0.83879999999999999</v>
      </c>
      <c r="CA44" s="187">
        <v>0.85029999999999994</v>
      </c>
      <c r="CB44" s="187">
        <v>0.86199999999999999</v>
      </c>
      <c r="CC44" s="187">
        <v>0.87360000000000004</v>
      </c>
      <c r="CD44" s="187">
        <v>0.88529999999999998</v>
      </c>
      <c r="CE44" s="187">
        <v>0.89690000000000003</v>
      </c>
      <c r="CF44" s="187">
        <v>0.90839999999999999</v>
      </c>
      <c r="CG44" s="187">
        <v>0.91979999999999995</v>
      </c>
      <c r="CH44" s="187">
        <v>0.93110000000000004</v>
      </c>
      <c r="CI44" s="187">
        <v>0.94230000000000003</v>
      </c>
      <c r="CJ44" s="187">
        <v>0.95320000000000005</v>
      </c>
      <c r="CK44" s="187">
        <v>0.96399999999999997</v>
      </c>
      <c r="CL44" s="187">
        <v>0.97450000000000003</v>
      </c>
      <c r="CM44" s="251">
        <v>0.98470000000000002</v>
      </c>
      <c r="CN44" s="187">
        <v>0.99450000000000005</v>
      </c>
      <c r="CO44" s="187">
        <v>1.0039</v>
      </c>
      <c r="CP44" s="187">
        <v>1.0128999999999999</v>
      </c>
      <c r="CQ44" s="187">
        <v>1.0215000000000001</v>
      </c>
      <c r="CR44" s="187">
        <v>1.0296000000000001</v>
      </c>
      <c r="CS44" s="187">
        <v>1.0374000000000001</v>
      </c>
      <c r="CT44" s="187">
        <v>1.0446</v>
      </c>
      <c r="CU44" s="187">
        <v>1.0515000000000001</v>
      </c>
      <c r="CV44" s="187">
        <v>1.0579000000000001</v>
      </c>
      <c r="CW44" s="121">
        <v>1.0639000000000001</v>
      </c>
      <c r="CX44" s="61"/>
      <c r="CY44" s="158">
        <v>7.4999999999999997E-2</v>
      </c>
      <c r="CZ44">
        <v>999</v>
      </c>
      <c r="DN44" s="45">
        <v>0</v>
      </c>
      <c r="DO44" s="45">
        <v>0</v>
      </c>
      <c r="DQ44" s="45">
        <v>0</v>
      </c>
      <c r="DR44" s="45">
        <v>0</v>
      </c>
      <c r="DW44" s="92">
        <v>1948</v>
      </c>
      <c r="DX44" s="16">
        <v>48936</v>
      </c>
      <c r="DY44" s="46">
        <v>50316</v>
      </c>
      <c r="DZ44" s="46">
        <v>51636</v>
      </c>
      <c r="EA44" s="46">
        <v>53436</v>
      </c>
      <c r="EB44" s="46">
        <v>53772</v>
      </c>
      <c r="EC44" s="46">
        <v>54588</v>
      </c>
      <c r="ED44" s="46">
        <v>55980</v>
      </c>
      <c r="EE44" s="46">
        <v>57432</v>
      </c>
      <c r="EF44" s="46">
        <v>59352</v>
      </c>
      <c r="EG44" s="46">
        <v>60900</v>
      </c>
      <c r="EH44" s="46">
        <v>62580</v>
      </c>
      <c r="EI44" s="46">
        <v>64248</v>
      </c>
      <c r="EJ44" s="46">
        <v>64968</v>
      </c>
      <c r="EK44" s="140">
        <v>65256</v>
      </c>
      <c r="EN44" s="42">
        <v>1948</v>
      </c>
      <c r="EO44" s="105">
        <v>31440</v>
      </c>
      <c r="EP44" s="126">
        <v>34272</v>
      </c>
      <c r="EQ44" s="148">
        <v>36012</v>
      </c>
      <c r="ER44" s="126">
        <v>37452</v>
      </c>
      <c r="ES44" s="126">
        <v>39300</v>
      </c>
      <c r="ET44" s="126">
        <v>40632</v>
      </c>
      <c r="EU44" s="126">
        <v>41496</v>
      </c>
      <c r="EV44" s="40">
        <v>45132</v>
      </c>
      <c r="EW44" s="126">
        <v>47496</v>
      </c>
      <c r="EX44" s="200">
        <v>48936</v>
      </c>
      <c r="EY44" s="46">
        <v>50316</v>
      </c>
      <c r="EZ44" s="46">
        <v>51636</v>
      </c>
      <c r="FA44" s="46">
        <v>53436</v>
      </c>
      <c r="FB44" s="46">
        <v>53772</v>
      </c>
      <c r="FC44" s="46">
        <v>54588</v>
      </c>
      <c r="FD44" s="46">
        <v>55980</v>
      </c>
      <c r="FE44" s="46">
        <v>57432</v>
      </c>
      <c r="FF44" s="46">
        <v>59352</v>
      </c>
      <c r="FG44" s="46">
        <v>60900</v>
      </c>
      <c r="FH44" s="46">
        <v>62580</v>
      </c>
      <c r="FI44" s="46">
        <v>64248</v>
      </c>
      <c r="FJ44" s="46">
        <v>64968</v>
      </c>
      <c r="FK44" s="140">
        <v>65256</v>
      </c>
    </row>
    <row r="45" spans="1:167" ht="15.75" x14ac:dyDescent="0.25">
      <c r="B45" s="61"/>
      <c r="C45" s="61"/>
      <c r="D45" s="207">
        <v>40</v>
      </c>
      <c r="E45" s="125">
        <v>1.39</v>
      </c>
      <c r="F45" s="61"/>
      <c r="G45" s="61"/>
      <c r="H45" s="61"/>
      <c r="I45" s="61"/>
      <c r="J45" s="19">
        <v>41</v>
      </c>
      <c r="K45" s="121">
        <v>0.77222222222222303</v>
      </c>
      <c r="L45" s="61"/>
      <c r="M45" s="294">
        <v>41</v>
      </c>
      <c r="N45" s="121">
        <v>1.499946157737623</v>
      </c>
      <c r="O45" s="61"/>
      <c r="P45" s="87">
        <v>68</v>
      </c>
      <c r="Q45" s="47">
        <v>0.52510000000000001</v>
      </c>
      <c r="R45" s="187">
        <v>0.5262</v>
      </c>
      <c r="S45" s="187">
        <v>0.5272</v>
      </c>
      <c r="T45" s="187">
        <v>0.52839999999999998</v>
      </c>
      <c r="U45" s="187">
        <v>0.52959999999999996</v>
      </c>
      <c r="V45" s="187">
        <v>0.53080000000000005</v>
      </c>
      <c r="W45" s="187">
        <v>0.53210000000000002</v>
      </c>
      <c r="X45" s="187">
        <v>0.53349999999999997</v>
      </c>
      <c r="Y45" s="187">
        <v>0.53490000000000004</v>
      </c>
      <c r="Z45" s="187">
        <v>0.53639999999999999</v>
      </c>
      <c r="AA45" s="187">
        <v>0.53800000000000003</v>
      </c>
      <c r="AB45" s="187">
        <v>0.53959999999999997</v>
      </c>
      <c r="AC45" s="187">
        <v>0.54139999999999999</v>
      </c>
      <c r="AD45" s="187">
        <v>0.54310000000000003</v>
      </c>
      <c r="AE45" s="187">
        <v>0.54500000000000004</v>
      </c>
      <c r="AF45" s="187">
        <v>0.54700000000000004</v>
      </c>
      <c r="AG45" s="187">
        <v>0.54869999999999997</v>
      </c>
      <c r="AH45" s="187">
        <v>0.5504</v>
      </c>
      <c r="AI45" s="187">
        <v>0.55230000000000001</v>
      </c>
      <c r="AJ45" s="187">
        <v>0.55430000000000001</v>
      </c>
      <c r="AK45" s="187">
        <v>0.55640000000000001</v>
      </c>
      <c r="AL45" s="187">
        <v>0.55869999999999997</v>
      </c>
      <c r="AM45" s="187">
        <v>0.56110000000000004</v>
      </c>
      <c r="AN45" s="187">
        <v>0.56359999999999999</v>
      </c>
      <c r="AO45" s="187">
        <v>0.56630000000000003</v>
      </c>
      <c r="AP45" s="187">
        <v>0.56920000000000004</v>
      </c>
      <c r="AQ45" s="187">
        <v>0.57220000000000004</v>
      </c>
      <c r="AR45" s="187">
        <v>0.57540000000000002</v>
      </c>
      <c r="AS45" s="187">
        <v>0.57879999999999998</v>
      </c>
      <c r="AT45" s="187">
        <v>0.58240000000000003</v>
      </c>
      <c r="AU45" s="187">
        <v>0.58609999999999995</v>
      </c>
      <c r="AV45" s="187">
        <v>0.59009999999999996</v>
      </c>
      <c r="AW45" s="187">
        <v>0.59430000000000005</v>
      </c>
      <c r="AX45" s="187">
        <v>0.59870000000000001</v>
      </c>
      <c r="AY45" s="187">
        <v>0.60329999999999995</v>
      </c>
      <c r="AZ45" s="187">
        <v>0.60809999999999997</v>
      </c>
      <c r="BA45" s="187">
        <v>0.61319999999999997</v>
      </c>
      <c r="BB45" s="187">
        <v>0.61850000000000005</v>
      </c>
      <c r="BC45" s="187">
        <v>0.624</v>
      </c>
      <c r="BD45" s="187">
        <v>0.62980000000000003</v>
      </c>
      <c r="BE45" s="187">
        <v>0.63590000000000002</v>
      </c>
      <c r="BF45" s="187">
        <v>0.64219999999999999</v>
      </c>
      <c r="BG45" s="187">
        <v>0.64890000000000003</v>
      </c>
      <c r="BH45" s="187">
        <v>0.65580000000000005</v>
      </c>
      <c r="BI45" s="187">
        <v>0.66300000000000003</v>
      </c>
      <c r="BJ45" s="187">
        <v>0.67049999999999998</v>
      </c>
      <c r="BK45" s="187">
        <v>0.67820000000000003</v>
      </c>
      <c r="BL45" s="187">
        <v>0.68630000000000002</v>
      </c>
      <c r="BM45" s="187">
        <v>0.69469999999999998</v>
      </c>
      <c r="BN45" s="187">
        <v>0.70340000000000003</v>
      </c>
      <c r="BO45" s="187">
        <v>0.71240000000000003</v>
      </c>
      <c r="BP45" s="187">
        <v>0.72170000000000001</v>
      </c>
      <c r="BQ45" s="187">
        <v>0.73129999999999995</v>
      </c>
      <c r="BR45" s="187">
        <v>0.74119999999999997</v>
      </c>
      <c r="BS45" s="187">
        <v>0.75139999999999996</v>
      </c>
      <c r="BT45" s="187">
        <v>0.76190000000000002</v>
      </c>
      <c r="BU45" s="187">
        <v>0.77259999999999995</v>
      </c>
      <c r="BV45" s="187">
        <v>0.78369999999999995</v>
      </c>
      <c r="BW45" s="187">
        <v>0.79490000000000005</v>
      </c>
      <c r="BX45" s="187">
        <v>0.80640000000000001</v>
      </c>
      <c r="BY45" s="187">
        <v>0.81810000000000005</v>
      </c>
      <c r="BZ45" s="187">
        <v>0.83</v>
      </c>
      <c r="CA45" s="187">
        <v>0.84199999999999997</v>
      </c>
      <c r="CB45" s="187">
        <v>0.85409999999999997</v>
      </c>
      <c r="CC45" s="187">
        <v>0.86629999999999996</v>
      </c>
      <c r="CD45" s="187">
        <v>0.87849999999999995</v>
      </c>
      <c r="CE45" s="187">
        <v>0.89070000000000005</v>
      </c>
      <c r="CF45" s="187">
        <v>0.90280000000000005</v>
      </c>
      <c r="CG45" s="187">
        <v>0.91479999999999995</v>
      </c>
      <c r="CH45" s="187">
        <v>0.92679999999999996</v>
      </c>
      <c r="CI45" s="187">
        <v>0.93869999999999998</v>
      </c>
      <c r="CJ45" s="187">
        <v>0.95040000000000002</v>
      </c>
      <c r="CK45" s="187">
        <v>0.96189999999999998</v>
      </c>
      <c r="CL45" s="187">
        <v>0.97319999999999995</v>
      </c>
      <c r="CM45" s="251">
        <v>0.98409999999999997</v>
      </c>
      <c r="CN45" s="187">
        <v>0.99470000000000003</v>
      </c>
      <c r="CO45" s="187">
        <v>1.0048999999999999</v>
      </c>
      <c r="CP45" s="187">
        <v>1.0146999999999999</v>
      </c>
      <c r="CQ45" s="187">
        <v>1.0241</v>
      </c>
      <c r="CR45" s="187">
        <v>1.0329999999999999</v>
      </c>
      <c r="CS45" s="187">
        <v>1.0415000000000001</v>
      </c>
      <c r="CT45" s="187">
        <v>1.0494000000000001</v>
      </c>
      <c r="CU45" s="187">
        <v>1.0569999999999999</v>
      </c>
      <c r="CV45" s="187">
        <v>1.0640000000000001</v>
      </c>
      <c r="CW45" s="121">
        <v>1.0707</v>
      </c>
      <c r="CX45" s="61"/>
      <c r="DN45" s="29"/>
      <c r="DO45" s="29"/>
      <c r="DP45" s="29"/>
      <c r="DQ45" s="29"/>
      <c r="DR45" s="45"/>
      <c r="DS45" s="45"/>
      <c r="DW45" s="92">
        <v>1949</v>
      </c>
      <c r="DX45" s="16">
        <v>49716</v>
      </c>
      <c r="DY45" s="46">
        <v>51156</v>
      </c>
      <c r="DZ45" s="46">
        <v>52536</v>
      </c>
      <c r="EA45" s="46">
        <v>54420</v>
      </c>
      <c r="EB45" s="46">
        <v>54780</v>
      </c>
      <c r="EC45" s="46">
        <v>55644</v>
      </c>
      <c r="ED45" s="46">
        <v>57108</v>
      </c>
      <c r="EE45" s="46">
        <v>58644</v>
      </c>
      <c r="EF45" s="46">
        <v>60684</v>
      </c>
      <c r="EG45" s="46">
        <v>62340</v>
      </c>
      <c r="EH45" s="46">
        <v>64140</v>
      </c>
      <c r="EI45" s="46">
        <v>65940</v>
      </c>
      <c r="EJ45" s="46">
        <v>66720</v>
      </c>
      <c r="EK45" s="140">
        <v>67020</v>
      </c>
      <c r="EN45" s="42">
        <v>1949</v>
      </c>
      <c r="EO45" s="105">
        <v>31860</v>
      </c>
      <c r="EP45" s="126">
        <v>34788</v>
      </c>
      <c r="EQ45" s="148">
        <v>36588</v>
      </c>
      <c r="ER45" s="126">
        <v>38076</v>
      </c>
      <c r="ES45" s="126">
        <v>39996</v>
      </c>
      <c r="ET45" s="126">
        <v>41388</v>
      </c>
      <c r="EU45" s="126">
        <v>42276</v>
      </c>
      <c r="EV45" s="40">
        <v>45768</v>
      </c>
      <c r="EW45" s="126">
        <v>48216</v>
      </c>
      <c r="EX45" s="200">
        <v>49716</v>
      </c>
      <c r="EY45" s="46">
        <v>51156</v>
      </c>
      <c r="EZ45" s="46">
        <v>52536</v>
      </c>
      <c r="FA45" s="46">
        <v>54420</v>
      </c>
      <c r="FB45" s="46">
        <v>54780</v>
      </c>
      <c r="FC45" s="46">
        <v>55644</v>
      </c>
      <c r="FD45" s="46">
        <v>57108</v>
      </c>
      <c r="FE45" s="46">
        <v>58644</v>
      </c>
      <c r="FF45" s="46">
        <v>60684</v>
      </c>
      <c r="FG45" s="46">
        <v>62340</v>
      </c>
      <c r="FH45" s="46">
        <v>64140</v>
      </c>
      <c r="FI45" s="46">
        <v>65940</v>
      </c>
      <c r="FJ45" s="46">
        <v>66720</v>
      </c>
      <c r="FK45" s="140">
        <v>67020</v>
      </c>
    </row>
    <row r="46" spans="1:167" ht="15.75" x14ac:dyDescent="0.25">
      <c r="B46" s="61"/>
      <c r="C46" s="61"/>
      <c r="D46" s="207">
        <v>41</v>
      </c>
      <c r="E46" s="125">
        <v>1.4025000000000001</v>
      </c>
      <c r="F46" s="61"/>
      <c r="G46" s="61"/>
      <c r="H46" s="61"/>
      <c r="I46" s="61"/>
      <c r="J46" s="19">
        <v>42</v>
      </c>
      <c r="K46" s="121">
        <v>0.7666666666666675</v>
      </c>
      <c r="L46" s="61"/>
      <c r="M46" s="294">
        <v>42</v>
      </c>
      <c r="N46" s="121">
        <v>1.5156738205361759</v>
      </c>
      <c r="O46" s="61"/>
      <c r="P46" s="87">
        <v>69</v>
      </c>
      <c r="Q46" s="47">
        <v>0.51500000000000001</v>
      </c>
      <c r="R46" s="187">
        <v>0.51600000000000001</v>
      </c>
      <c r="S46" s="187">
        <v>0.5171</v>
      </c>
      <c r="T46" s="187">
        <v>0.51819999999999999</v>
      </c>
      <c r="U46" s="187">
        <v>0.51939999999999997</v>
      </c>
      <c r="V46" s="187">
        <v>0.52059999999999995</v>
      </c>
      <c r="W46" s="187">
        <v>0.52190000000000003</v>
      </c>
      <c r="X46" s="187">
        <v>0.5232</v>
      </c>
      <c r="Y46" s="187">
        <v>0.52459999999999996</v>
      </c>
      <c r="Z46" s="187">
        <v>0.52610000000000001</v>
      </c>
      <c r="AA46" s="187">
        <v>0.52769999999999995</v>
      </c>
      <c r="AB46" s="187">
        <v>0.52929999999999999</v>
      </c>
      <c r="AC46" s="187">
        <v>0.53100000000000003</v>
      </c>
      <c r="AD46" s="187">
        <v>0.53280000000000005</v>
      </c>
      <c r="AE46" s="187">
        <v>0.53459999999999996</v>
      </c>
      <c r="AF46" s="187">
        <v>0.53659999999999997</v>
      </c>
      <c r="AG46" s="187">
        <v>0.53820000000000001</v>
      </c>
      <c r="AH46" s="187">
        <v>0.53990000000000005</v>
      </c>
      <c r="AI46" s="187">
        <v>0.54179999999999995</v>
      </c>
      <c r="AJ46" s="187">
        <v>0.54369999999999996</v>
      </c>
      <c r="AK46" s="187">
        <v>0.54579999999999995</v>
      </c>
      <c r="AL46" s="187">
        <v>0.54800000000000004</v>
      </c>
      <c r="AM46" s="187">
        <v>0.5504</v>
      </c>
      <c r="AN46" s="187">
        <v>0.55289999999999995</v>
      </c>
      <c r="AO46" s="187">
        <v>0.55549999999999999</v>
      </c>
      <c r="AP46" s="187">
        <v>0.55840000000000001</v>
      </c>
      <c r="AQ46" s="187">
        <v>0.56130000000000002</v>
      </c>
      <c r="AR46" s="187">
        <v>0.5645</v>
      </c>
      <c r="AS46" s="187">
        <v>0.56789999999999996</v>
      </c>
      <c r="AT46" s="187">
        <v>0.57140000000000002</v>
      </c>
      <c r="AU46" s="187">
        <v>0.57509999999999994</v>
      </c>
      <c r="AV46" s="187">
        <v>0.57899999999999996</v>
      </c>
      <c r="AW46" s="187">
        <v>0.58309999999999995</v>
      </c>
      <c r="AX46" s="187">
        <v>0.58750000000000002</v>
      </c>
      <c r="AY46" s="187">
        <v>0.59209999999999996</v>
      </c>
      <c r="AZ46" s="187">
        <v>0.5968</v>
      </c>
      <c r="BA46" s="187">
        <v>0.60189999999999999</v>
      </c>
      <c r="BB46" s="187">
        <v>0.60709999999999997</v>
      </c>
      <c r="BC46" s="187">
        <v>0.61260000000000003</v>
      </c>
      <c r="BD46" s="187">
        <v>0.61839999999999995</v>
      </c>
      <c r="BE46" s="187">
        <v>0.62450000000000006</v>
      </c>
      <c r="BF46" s="187">
        <v>0.63080000000000003</v>
      </c>
      <c r="BG46" s="187">
        <v>0.63739999999999997</v>
      </c>
      <c r="BH46" s="187">
        <v>0.64429999999999998</v>
      </c>
      <c r="BI46" s="187">
        <v>0.65149999999999997</v>
      </c>
      <c r="BJ46" s="187">
        <v>0.65900000000000003</v>
      </c>
      <c r="BK46" s="187">
        <v>0.66679999999999995</v>
      </c>
      <c r="BL46" s="187">
        <v>0.67490000000000006</v>
      </c>
      <c r="BM46" s="187">
        <v>0.68330000000000002</v>
      </c>
      <c r="BN46" s="187">
        <v>0.69210000000000005</v>
      </c>
      <c r="BO46" s="187">
        <v>0.70120000000000005</v>
      </c>
      <c r="BP46" s="187">
        <v>0.71060000000000001</v>
      </c>
      <c r="BQ46" s="187">
        <v>0.72030000000000005</v>
      </c>
      <c r="BR46" s="187">
        <v>0.73029999999999995</v>
      </c>
      <c r="BS46" s="187">
        <v>0.74060000000000004</v>
      </c>
      <c r="BT46" s="187">
        <v>0.75129999999999997</v>
      </c>
      <c r="BU46" s="187">
        <v>0.76229999999999998</v>
      </c>
      <c r="BV46" s="187">
        <v>0.77349999999999997</v>
      </c>
      <c r="BW46" s="187">
        <v>0.78510000000000002</v>
      </c>
      <c r="BX46" s="187">
        <v>0.79690000000000005</v>
      </c>
      <c r="BY46" s="187">
        <v>0.80900000000000005</v>
      </c>
      <c r="BZ46" s="187">
        <v>0.82120000000000004</v>
      </c>
      <c r="CA46" s="187">
        <v>0.8337</v>
      </c>
      <c r="CB46" s="187">
        <v>0.84619999999999995</v>
      </c>
      <c r="CC46" s="187">
        <v>0.8589</v>
      </c>
      <c r="CD46" s="187">
        <v>0.87170000000000003</v>
      </c>
      <c r="CE46" s="187">
        <v>0.88439999999999996</v>
      </c>
      <c r="CF46" s="187">
        <v>0.89710000000000001</v>
      </c>
      <c r="CG46" s="187">
        <v>0.90980000000000005</v>
      </c>
      <c r="CH46" s="187">
        <v>0.92249999999999999</v>
      </c>
      <c r="CI46" s="187">
        <v>0.93510000000000004</v>
      </c>
      <c r="CJ46" s="187">
        <v>0.9476</v>
      </c>
      <c r="CK46" s="187">
        <v>0.95989999999999998</v>
      </c>
      <c r="CL46" s="187">
        <v>0.97199999999999998</v>
      </c>
      <c r="CM46" s="251">
        <v>0.98370000000000002</v>
      </c>
      <c r="CN46" s="187">
        <v>0.99519999999999997</v>
      </c>
      <c r="CO46" s="187">
        <v>1.0062</v>
      </c>
      <c r="CP46" s="187">
        <v>1.0167999999999999</v>
      </c>
      <c r="CQ46" s="187">
        <v>1.0269999999999999</v>
      </c>
      <c r="CR46" s="187">
        <v>1.0367</v>
      </c>
      <c r="CS46" s="187">
        <v>1.046</v>
      </c>
      <c r="CT46" s="187">
        <v>1.0548</v>
      </c>
      <c r="CU46" s="187">
        <v>1.0629999999999999</v>
      </c>
      <c r="CV46" s="187">
        <v>1.0708</v>
      </c>
      <c r="CW46" s="121">
        <v>1.0782</v>
      </c>
      <c r="CX46" s="61"/>
      <c r="CY46" s="335"/>
      <c r="CZ46" s="335"/>
      <c r="DA46" s="335"/>
      <c r="DG46" s="78"/>
      <c r="DK46" t="s">
        <v>544</v>
      </c>
      <c r="DL46" t="s">
        <v>73</v>
      </c>
      <c r="DN46" s="29">
        <v>0</v>
      </c>
      <c r="DP46" s="65" t="s">
        <v>26</v>
      </c>
      <c r="DQ46" s="65" t="s">
        <v>26</v>
      </c>
      <c r="DR46" s="65" t="s">
        <v>276</v>
      </c>
      <c r="DS46" s="65" t="s">
        <v>276</v>
      </c>
      <c r="DW46" s="92">
        <v>1950</v>
      </c>
      <c r="DX46" s="16">
        <v>50400</v>
      </c>
      <c r="DY46" s="46">
        <v>51900</v>
      </c>
      <c r="DZ46" s="46">
        <v>53340</v>
      </c>
      <c r="EA46" s="46">
        <v>55308</v>
      </c>
      <c r="EB46" s="46">
        <v>55680</v>
      </c>
      <c r="EC46" s="46">
        <v>56580</v>
      </c>
      <c r="ED46" s="46">
        <v>58128</v>
      </c>
      <c r="EE46" s="46">
        <v>59760</v>
      </c>
      <c r="EF46" s="46">
        <v>61920</v>
      </c>
      <c r="EG46" s="46">
        <v>63660</v>
      </c>
      <c r="EH46" s="46">
        <v>65580</v>
      </c>
      <c r="EI46" s="46">
        <v>67512</v>
      </c>
      <c r="EJ46" s="46">
        <v>68352</v>
      </c>
      <c r="EK46" s="140">
        <v>68688</v>
      </c>
      <c r="EN46" s="42">
        <v>1950</v>
      </c>
      <c r="EO46" s="105">
        <v>32316</v>
      </c>
      <c r="EP46" s="126">
        <v>35148</v>
      </c>
      <c r="EQ46" s="148">
        <v>37008</v>
      </c>
      <c r="ER46" s="126">
        <v>38556</v>
      </c>
      <c r="ES46" s="126">
        <v>40536</v>
      </c>
      <c r="ET46" s="126">
        <v>41976</v>
      </c>
      <c r="EU46" s="126">
        <v>42900</v>
      </c>
      <c r="EV46" s="40">
        <v>46284</v>
      </c>
      <c r="EW46" s="126">
        <v>48840</v>
      </c>
      <c r="EX46" s="200">
        <v>50400</v>
      </c>
      <c r="EY46" s="46">
        <v>51900</v>
      </c>
      <c r="EZ46" s="46">
        <v>53340</v>
      </c>
      <c r="FA46" s="46">
        <v>55308</v>
      </c>
      <c r="FB46" s="46">
        <v>55680</v>
      </c>
      <c r="FC46" s="46">
        <v>56580</v>
      </c>
      <c r="FD46" s="46">
        <v>58128</v>
      </c>
      <c r="FE46" s="46">
        <v>59760</v>
      </c>
      <c r="FF46" s="46">
        <v>61920</v>
      </c>
      <c r="FG46" s="46">
        <v>63660</v>
      </c>
      <c r="FH46" s="46">
        <v>65580</v>
      </c>
      <c r="FI46" s="46">
        <v>67512</v>
      </c>
      <c r="FJ46" s="46">
        <v>68352</v>
      </c>
      <c r="FK46" s="140">
        <v>68688</v>
      </c>
    </row>
    <row r="47" spans="1:167" ht="15.75" x14ac:dyDescent="0.25">
      <c r="B47" s="61"/>
      <c r="C47" s="61"/>
      <c r="D47" s="207">
        <v>42</v>
      </c>
      <c r="E47" s="125">
        <v>1.415</v>
      </c>
      <c r="F47" s="61"/>
      <c r="G47" s="61"/>
      <c r="H47" s="61"/>
      <c r="I47" s="61"/>
      <c r="J47" s="19">
        <v>43</v>
      </c>
      <c r="K47" s="121">
        <v>0.76111111111111196</v>
      </c>
      <c r="L47" s="61"/>
      <c r="M47" s="294">
        <v>43</v>
      </c>
      <c r="N47" s="121">
        <v>1.5314014833347294</v>
      </c>
      <c r="O47" s="61"/>
      <c r="P47" s="87">
        <v>70</v>
      </c>
      <c r="Q47" s="47">
        <v>0.50519999999999998</v>
      </c>
      <c r="R47" s="187">
        <v>0.50619999999999998</v>
      </c>
      <c r="S47" s="187">
        <v>0.50719999999999998</v>
      </c>
      <c r="T47" s="187">
        <v>0.50829999999999997</v>
      </c>
      <c r="U47" s="187">
        <v>0.50949999999999995</v>
      </c>
      <c r="V47" s="187">
        <v>0.51070000000000004</v>
      </c>
      <c r="W47" s="187">
        <v>0.51190000000000002</v>
      </c>
      <c r="X47" s="187">
        <v>0.51329999999999998</v>
      </c>
      <c r="Y47" s="187">
        <v>0.51470000000000005</v>
      </c>
      <c r="Z47" s="187">
        <v>0.5161</v>
      </c>
      <c r="AA47" s="187">
        <v>0.51770000000000005</v>
      </c>
      <c r="AB47" s="187">
        <v>0.51929999999999998</v>
      </c>
      <c r="AC47" s="187">
        <v>0.52090000000000003</v>
      </c>
      <c r="AD47" s="187">
        <v>0.52270000000000005</v>
      </c>
      <c r="AE47" s="187">
        <v>0.52449999999999997</v>
      </c>
      <c r="AF47" s="187">
        <v>0.52639999999999998</v>
      </c>
      <c r="AG47" s="187">
        <v>0.52800000000000002</v>
      </c>
      <c r="AH47" s="187">
        <v>0.52969999999999995</v>
      </c>
      <c r="AI47" s="187">
        <v>0.53149999999999997</v>
      </c>
      <c r="AJ47" s="187">
        <v>0.53339999999999999</v>
      </c>
      <c r="AK47" s="187">
        <v>0.53549999999999998</v>
      </c>
      <c r="AL47" s="187">
        <v>0.53769999999999996</v>
      </c>
      <c r="AM47" s="187">
        <v>0.54</v>
      </c>
      <c r="AN47" s="187">
        <v>0.54249999999999998</v>
      </c>
      <c r="AO47" s="187">
        <v>0.54510000000000003</v>
      </c>
      <c r="AP47" s="187">
        <v>0.54790000000000005</v>
      </c>
      <c r="AQ47" s="187">
        <v>0.55079999999999996</v>
      </c>
      <c r="AR47" s="187">
        <v>0.55389999999999995</v>
      </c>
      <c r="AS47" s="187">
        <v>0.55720000000000003</v>
      </c>
      <c r="AT47" s="187">
        <v>0.56069999999999998</v>
      </c>
      <c r="AU47" s="187">
        <v>0.56440000000000001</v>
      </c>
      <c r="AV47" s="187">
        <v>0.56820000000000004</v>
      </c>
      <c r="AW47" s="187">
        <v>0.57230000000000003</v>
      </c>
      <c r="AX47" s="187">
        <v>0.5766</v>
      </c>
      <c r="AY47" s="187">
        <v>0.58109999999999995</v>
      </c>
      <c r="AZ47" s="187">
        <v>0.58589999999999998</v>
      </c>
      <c r="BA47" s="187">
        <v>0.59089999999999998</v>
      </c>
      <c r="BB47" s="187">
        <v>0.59609999999999996</v>
      </c>
      <c r="BC47" s="187">
        <v>0.60160000000000002</v>
      </c>
      <c r="BD47" s="187">
        <v>0.60729999999999995</v>
      </c>
      <c r="BE47" s="187">
        <v>0.61329999999999996</v>
      </c>
      <c r="BF47" s="187">
        <v>0.61960000000000004</v>
      </c>
      <c r="BG47" s="187">
        <v>0.62619999999999998</v>
      </c>
      <c r="BH47" s="187">
        <v>0.6331</v>
      </c>
      <c r="BI47" s="187">
        <v>0.64029999999999998</v>
      </c>
      <c r="BJ47" s="187">
        <v>0.64780000000000004</v>
      </c>
      <c r="BK47" s="187">
        <v>0.65559999999999996</v>
      </c>
      <c r="BL47" s="187">
        <v>0.66369999999999996</v>
      </c>
      <c r="BM47" s="187">
        <v>0.67220000000000002</v>
      </c>
      <c r="BN47" s="187">
        <v>0.68100000000000005</v>
      </c>
      <c r="BO47" s="187">
        <v>0.69010000000000005</v>
      </c>
      <c r="BP47" s="187">
        <v>0.6996</v>
      </c>
      <c r="BQ47" s="187">
        <v>0.70940000000000003</v>
      </c>
      <c r="BR47" s="187">
        <v>0.71950000000000003</v>
      </c>
      <c r="BS47" s="187">
        <v>0.73</v>
      </c>
      <c r="BT47" s="187">
        <v>0.74080000000000001</v>
      </c>
      <c r="BU47" s="187">
        <v>0.752</v>
      </c>
      <c r="BV47" s="187">
        <v>0.76349999999999996</v>
      </c>
      <c r="BW47" s="187">
        <v>0.77529999999999999</v>
      </c>
      <c r="BX47" s="187">
        <v>0.78739999999999999</v>
      </c>
      <c r="BY47" s="187">
        <v>0.79979999999999996</v>
      </c>
      <c r="BZ47" s="187">
        <v>0.8125</v>
      </c>
      <c r="CA47" s="187">
        <v>0.82530000000000003</v>
      </c>
      <c r="CB47" s="187">
        <v>0.83840000000000003</v>
      </c>
      <c r="CC47" s="187">
        <v>0.85150000000000003</v>
      </c>
      <c r="CD47" s="187">
        <v>0.86480000000000001</v>
      </c>
      <c r="CE47" s="187">
        <v>0.87809999999999999</v>
      </c>
      <c r="CF47" s="187">
        <v>0.89149999999999996</v>
      </c>
      <c r="CG47" s="187">
        <v>0.90490000000000004</v>
      </c>
      <c r="CH47" s="187">
        <v>0.91820000000000002</v>
      </c>
      <c r="CI47" s="187">
        <v>0.93159999999999998</v>
      </c>
      <c r="CJ47" s="187">
        <v>0.94489999999999996</v>
      </c>
      <c r="CK47" s="187">
        <v>0.95799999999999996</v>
      </c>
      <c r="CL47" s="187">
        <v>0.97089999999999999</v>
      </c>
      <c r="CM47" s="251">
        <v>0.98350000000000004</v>
      </c>
      <c r="CN47" s="187">
        <v>0.99580000000000002</v>
      </c>
      <c r="CO47" s="187">
        <v>1.0078</v>
      </c>
      <c r="CP47" s="187">
        <v>1.0193000000000001</v>
      </c>
      <c r="CQ47" s="187">
        <v>1.0303</v>
      </c>
      <c r="CR47" s="187">
        <v>1.0409999999999999</v>
      </c>
      <c r="CS47" s="187">
        <v>1.0510999999999999</v>
      </c>
      <c r="CT47" s="187">
        <v>1.0607</v>
      </c>
      <c r="CU47" s="187">
        <v>1.0698000000000001</v>
      </c>
      <c r="CV47" s="187">
        <v>1.0784</v>
      </c>
      <c r="CW47" s="121">
        <v>1.0865</v>
      </c>
      <c r="CX47" s="61"/>
      <c r="CY47" s="183" t="s">
        <v>346</v>
      </c>
      <c r="CZ47" s="183" t="s">
        <v>268</v>
      </c>
      <c r="DG47" s="78"/>
      <c r="DK47" t="s">
        <v>556</v>
      </c>
      <c r="DL47" t="s">
        <v>70</v>
      </c>
      <c r="DN47" s="29">
        <v>1497004</v>
      </c>
      <c r="DP47" s="65" t="s">
        <v>529</v>
      </c>
      <c r="DQ47" s="65" t="s">
        <v>143</v>
      </c>
      <c r="DR47" s="65" t="s">
        <v>529</v>
      </c>
      <c r="DS47" s="65" t="s">
        <v>143</v>
      </c>
      <c r="DW47" s="92">
        <v>1951</v>
      </c>
      <c r="DX47" s="16">
        <v>51000</v>
      </c>
      <c r="DY47" s="46">
        <v>52560</v>
      </c>
      <c r="DZ47" s="46">
        <v>54060</v>
      </c>
      <c r="EA47" s="46">
        <v>56112</v>
      </c>
      <c r="EB47" s="46">
        <v>56508</v>
      </c>
      <c r="EC47" s="46">
        <v>57444</v>
      </c>
      <c r="ED47" s="46">
        <v>59064</v>
      </c>
      <c r="EE47" s="46">
        <v>60780</v>
      </c>
      <c r="EF47" s="46">
        <v>63060</v>
      </c>
      <c r="EG47" s="46">
        <v>64920</v>
      </c>
      <c r="EH47" s="46">
        <v>66960</v>
      </c>
      <c r="EI47" s="46">
        <v>69012</v>
      </c>
      <c r="EJ47" s="46">
        <v>69912</v>
      </c>
      <c r="EK47" s="140">
        <v>70272</v>
      </c>
      <c r="EN47" s="42">
        <v>1951</v>
      </c>
      <c r="EO47" s="105">
        <v>32316</v>
      </c>
      <c r="EP47" s="126">
        <v>35424</v>
      </c>
      <c r="EQ47" s="148">
        <v>37344</v>
      </c>
      <c r="ER47" s="126">
        <v>38940</v>
      </c>
      <c r="ES47" s="126">
        <v>41004</v>
      </c>
      <c r="ET47" s="126">
        <v>42492</v>
      </c>
      <c r="EU47" s="126">
        <v>43452</v>
      </c>
      <c r="EV47" s="40">
        <v>46740</v>
      </c>
      <c r="EW47" s="126">
        <v>49380</v>
      </c>
      <c r="EX47" s="200">
        <v>51000</v>
      </c>
      <c r="EY47" s="46">
        <v>52560</v>
      </c>
      <c r="EZ47" s="46">
        <v>54060</v>
      </c>
      <c r="FA47" s="46">
        <v>56112</v>
      </c>
      <c r="FB47" s="46">
        <v>56508</v>
      </c>
      <c r="FC47" s="46">
        <v>57444</v>
      </c>
      <c r="FD47" s="46">
        <v>59064</v>
      </c>
      <c r="FE47" s="46">
        <v>60780</v>
      </c>
      <c r="FF47" s="46">
        <v>63060</v>
      </c>
      <c r="FG47" s="46">
        <v>64920</v>
      </c>
      <c r="FH47" s="46">
        <v>66960</v>
      </c>
      <c r="FI47" s="46">
        <v>69012</v>
      </c>
      <c r="FJ47" s="46">
        <v>69912</v>
      </c>
      <c r="FK47" s="140">
        <v>70272</v>
      </c>
    </row>
    <row r="48" spans="1:167" ht="15.75" x14ac:dyDescent="0.25">
      <c r="B48" s="61"/>
      <c r="C48" s="61"/>
      <c r="D48" s="207">
        <v>43</v>
      </c>
      <c r="E48" s="125">
        <v>1.4275</v>
      </c>
      <c r="F48" s="61"/>
      <c r="G48" s="61"/>
      <c r="H48" s="61"/>
      <c r="I48" s="61"/>
      <c r="J48" s="19">
        <v>44</v>
      </c>
      <c r="K48" s="121">
        <v>0.75555555555555642</v>
      </c>
      <c r="L48" s="61"/>
      <c r="M48" s="294">
        <v>44</v>
      </c>
      <c r="N48" s="121">
        <v>1.5471291461332823</v>
      </c>
      <c r="O48" s="61"/>
      <c r="P48" s="87">
        <v>71</v>
      </c>
      <c r="Q48" s="47">
        <v>0.49559999999999998</v>
      </c>
      <c r="R48" s="187">
        <v>0.49659999999999999</v>
      </c>
      <c r="S48" s="187">
        <v>0.49769999999999998</v>
      </c>
      <c r="T48" s="187">
        <v>0.49880000000000002</v>
      </c>
      <c r="U48" s="187">
        <v>0.49990000000000001</v>
      </c>
      <c r="V48" s="187">
        <v>0.50109999999999999</v>
      </c>
      <c r="W48" s="187">
        <v>0.50229999999999997</v>
      </c>
      <c r="X48" s="187">
        <v>0.50370000000000004</v>
      </c>
      <c r="Y48" s="187">
        <v>0.505</v>
      </c>
      <c r="Z48" s="187">
        <v>0.50649999999999995</v>
      </c>
      <c r="AA48" s="187">
        <v>0.50800000000000001</v>
      </c>
      <c r="AB48" s="187">
        <v>0.50960000000000005</v>
      </c>
      <c r="AC48" s="187">
        <v>0.51119999999999999</v>
      </c>
      <c r="AD48" s="187">
        <v>0.51290000000000002</v>
      </c>
      <c r="AE48" s="187">
        <v>0.51470000000000005</v>
      </c>
      <c r="AF48" s="187">
        <v>0.51659999999999995</v>
      </c>
      <c r="AG48" s="187">
        <v>0.51819999999999999</v>
      </c>
      <c r="AH48" s="187">
        <v>0.51990000000000003</v>
      </c>
      <c r="AI48" s="187">
        <v>0.52159999999999995</v>
      </c>
      <c r="AJ48" s="187">
        <v>0.52349999999999997</v>
      </c>
      <c r="AK48" s="187">
        <v>0.52549999999999997</v>
      </c>
      <c r="AL48" s="187">
        <v>0.52769999999999995</v>
      </c>
      <c r="AM48" s="187">
        <v>0.53</v>
      </c>
      <c r="AN48" s="187">
        <v>0.53239999999999998</v>
      </c>
      <c r="AO48" s="187">
        <v>0.53500000000000003</v>
      </c>
      <c r="AP48" s="187">
        <v>0.53769999999999996</v>
      </c>
      <c r="AQ48" s="187">
        <v>0.54059999999999997</v>
      </c>
      <c r="AR48" s="187">
        <v>0.54369999999999996</v>
      </c>
      <c r="AS48" s="187">
        <v>0.54690000000000005</v>
      </c>
      <c r="AT48" s="187">
        <v>0.5504</v>
      </c>
      <c r="AU48" s="187">
        <v>0.55400000000000005</v>
      </c>
      <c r="AV48" s="187">
        <v>0.55779999999999996</v>
      </c>
      <c r="AW48" s="187">
        <v>0.56179999999999997</v>
      </c>
      <c r="AX48" s="187">
        <v>0.56610000000000005</v>
      </c>
      <c r="AY48" s="187">
        <v>0.5706</v>
      </c>
      <c r="AZ48" s="187">
        <v>0.57530000000000003</v>
      </c>
      <c r="BA48" s="187">
        <v>0.58020000000000005</v>
      </c>
      <c r="BB48" s="187">
        <v>0.58540000000000003</v>
      </c>
      <c r="BC48" s="187">
        <v>0.59079999999999999</v>
      </c>
      <c r="BD48" s="187">
        <v>0.59650000000000003</v>
      </c>
      <c r="BE48" s="187">
        <v>0.60250000000000004</v>
      </c>
      <c r="BF48" s="187">
        <v>0.60880000000000001</v>
      </c>
      <c r="BG48" s="187">
        <v>0.61529999999999996</v>
      </c>
      <c r="BH48" s="187">
        <v>0.62219999999999998</v>
      </c>
      <c r="BI48" s="187">
        <v>0.62929999999999997</v>
      </c>
      <c r="BJ48" s="187">
        <v>0.63680000000000003</v>
      </c>
      <c r="BK48" s="187">
        <v>0.64470000000000005</v>
      </c>
      <c r="BL48" s="187">
        <v>0.65280000000000005</v>
      </c>
      <c r="BM48" s="187">
        <v>0.6613</v>
      </c>
      <c r="BN48" s="187">
        <v>0.67010000000000003</v>
      </c>
      <c r="BO48" s="187">
        <v>0.67930000000000001</v>
      </c>
      <c r="BP48" s="187">
        <v>0.68879999999999997</v>
      </c>
      <c r="BQ48" s="187">
        <v>0.69869999999999999</v>
      </c>
      <c r="BR48" s="187">
        <v>0.70899999999999996</v>
      </c>
      <c r="BS48" s="187">
        <v>0.71960000000000002</v>
      </c>
      <c r="BT48" s="187">
        <v>0.73060000000000003</v>
      </c>
      <c r="BU48" s="187">
        <v>0.7419</v>
      </c>
      <c r="BV48" s="187">
        <v>0.75360000000000005</v>
      </c>
      <c r="BW48" s="187">
        <v>0.76570000000000005</v>
      </c>
      <c r="BX48" s="187">
        <v>0.77810000000000001</v>
      </c>
      <c r="BY48" s="187">
        <v>0.79079999999999995</v>
      </c>
      <c r="BZ48" s="187">
        <v>0.80379999999999996</v>
      </c>
      <c r="CA48" s="187">
        <v>0.81710000000000005</v>
      </c>
      <c r="CB48" s="187">
        <v>0.83050000000000002</v>
      </c>
      <c r="CC48" s="187">
        <v>0.84419999999999995</v>
      </c>
      <c r="CD48" s="187">
        <v>0.85799999999999998</v>
      </c>
      <c r="CE48" s="187">
        <v>0.87190000000000001</v>
      </c>
      <c r="CF48" s="187">
        <v>0.88590000000000002</v>
      </c>
      <c r="CG48" s="187">
        <v>0.89990000000000003</v>
      </c>
      <c r="CH48" s="187">
        <v>0.91400000000000003</v>
      </c>
      <c r="CI48" s="187">
        <v>0.92810000000000004</v>
      </c>
      <c r="CJ48" s="187">
        <v>0.94220000000000004</v>
      </c>
      <c r="CK48" s="187">
        <v>0.95620000000000005</v>
      </c>
      <c r="CL48" s="187">
        <v>0.97</v>
      </c>
      <c r="CM48" s="251">
        <v>0.98350000000000004</v>
      </c>
      <c r="CN48" s="187">
        <v>0.99680000000000002</v>
      </c>
      <c r="CO48" s="187">
        <v>1.0096000000000001</v>
      </c>
      <c r="CP48" s="187">
        <v>1.0221</v>
      </c>
      <c r="CQ48" s="187">
        <v>1.0341</v>
      </c>
      <c r="CR48" s="187">
        <v>1.0457000000000001</v>
      </c>
      <c r="CS48" s="187">
        <v>1.0568</v>
      </c>
      <c r="CT48" s="187">
        <v>1.0672999999999999</v>
      </c>
      <c r="CU48" s="187">
        <v>1.0772999999999999</v>
      </c>
      <c r="CV48" s="187">
        <v>1.0868</v>
      </c>
      <c r="CW48" s="121">
        <v>1.0958000000000001</v>
      </c>
      <c r="CX48" s="61"/>
      <c r="CY48">
        <v>0.05</v>
      </c>
      <c r="CZ48">
        <v>999</v>
      </c>
      <c r="DK48" t="s">
        <v>572</v>
      </c>
      <c r="DL48" t="s">
        <v>83</v>
      </c>
      <c r="DN48" s="29">
        <v>-1497004</v>
      </c>
      <c r="DO48" t="s">
        <v>178</v>
      </c>
      <c r="DP48" s="274">
        <v>0</v>
      </c>
      <c r="DQ48" s="274">
        <v>0</v>
      </c>
      <c r="DR48" s="100" t="e">
        <v>#DIV/0!</v>
      </c>
      <c r="DS48" s="100" t="e">
        <v>#DIV/0!</v>
      </c>
      <c r="DT48" s="319" t="e">
        <v>#DIV/0!</v>
      </c>
      <c r="DU48" s="319" t="e">
        <v>#DIV/0!</v>
      </c>
      <c r="DW48" s="92">
        <v>1952</v>
      </c>
      <c r="DX48" s="16">
        <v>51504</v>
      </c>
      <c r="DY48" s="46">
        <v>53124</v>
      </c>
      <c r="DZ48" s="46">
        <v>54684</v>
      </c>
      <c r="EA48" s="46">
        <v>56820</v>
      </c>
      <c r="EB48" s="46">
        <v>57240</v>
      </c>
      <c r="EC48" s="46">
        <v>58224</v>
      </c>
      <c r="ED48" s="46">
        <v>59916</v>
      </c>
      <c r="EE48" s="46">
        <v>61716</v>
      </c>
      <c r="EF48" s="46">
        <v>64116</v>
      </c>
      <c r="EG48" s="46">
        <v>66072</v>
      </c>
      <c r="EH48" s="46">
        <v>68232</v>
      </c>
      <c r="EI48" s="46">
        <v>70416</v>
      </c>
      <c r="EJ48" s="46">
        <v>71376</v>
      </c>
      <c r="EK48" s="140">
        <v>71760</v>
      </c>
      <c r="EN48" s="42">
        <v>1952</v>
      </c>
      <c r="EO48" s="105">
        <v>32400</v>
      </c>
      <c r="EP48" s="126">
        <v>35604</v>
      </c>
      <c r="EQ48" s="148">
        <v>37584</v>
      </c>
      <c r="ER48" s="126">
        <v>39228</v>
      </c>
      <c r="ES48" s="126">
        <v>41352</v>
      </c>
      <c r="ET48" s="126">
        <v>42900</v>
      </c>
      <c r="EU48" s="126">
        <v>43884</v>
      </c>
      <c r="EV48" s="40">
        <v>47088</v>
      </c>
      <c r="EW48" s="126">
        <v>49824</v>
      </c>
      <c r="EX48" s="200">
        <v>51504</v>
      </c>
      <c r="EY48" s="46">
        <v>53124</v>
      </c>
      <c r="EZ48" s="46">
        <v>54684</v>
      </c>
      <c r="FA48" s="46">
        <v>56820</v>
      </c>
      <c r="FB48" s="46">
        <v>57240</v>
      </c>
      <c r="FC48" s="46">
        <v>58224</v>
      </c>
      <c r="FD48" s="46">
        <v>59916</v>
      </c>
      <c r="FE48" s="46">
        <v>61716</v>
      </c>
      <c r="FF48" s="46">
        <v>64116</v>
      </c>
      <c r="FG48" s="46">
        <v>66072</v>
      </c>
      <c r="FH48" s="46">
        <v>68232</v>
      </c>
      <c r="FI48" s="46">
        <v>70416</v>
      </c>
      <c r="FJ48" s="46">
        <v>71376</v>
      </c>
      <c r="FK48" s="140">
        <v>71760</v>
      </c>
    </row>
    <row r="49" spans="2:167" ht="15.75" x14ac:dyDescent="0.25">
      <c r="B49" s="61"/>
      <c r="C49" s="61"/>
      <c r="D49" s="207">
        <v>44</v>
      </c>
      <c r="E49" s="125">
        <v>1.44</v>
      </c>
      <c r="F49" s="61"/>
      <c r="G49" s="61"/>
      <c r="H49" s="61"/>
      <c r="I49" s="61"/>
      <c r="J49" s="19">
        <v>45</v>
      </c>
      <c r="K49" s="121">
        <v>0.75000000000000089</v>
      </c>
      <c r="L49" s="61"/>
      <c r="M49" s="294">
        <v>45</v>
      </c>
      <c r="N49" s="121">
        <v>1.5628568089318353</v>
      </c>
      <c r="O49" s="61"/>
      <c r="P49" s="87">
        <v>72</v>
      </c>
      <c r="Q49" s="47">
        <v>0.48649999999999999</v>
      </c>
      <c r="R49" s="187">
        <v>0.48749999999999999</v>
      </c>
      <c r="S49" s="187">
        <v>0.48849999999999999</v>
      </c>
      <c r="T49" s="187">
        <v>0.48959999999999998</v>
      </c>
      <c r="U49" s="187">
        <v>0.49070000000000003</v>
      </c>
      <c r="V49" s="187">
        <v>0.4919</v>
      </c>
      <c r="W49" s="187">
        <v>0.49309999999999998</v>
      </c>
      <c r="X49" s="187">
        <v>0.49440000000000001</v>
      </c>
      <c r="Y49" s="187">
        <v>0.49580000000000002</v>
      </c>
      <c r="Z49" s="187">
        <v>0.49719999999999998</v>
      </c>
      <c r="AA49" s="187">
        <v>0.49869999999999998</v>
      </c>
      <c r="AB49" s="187">
        <v>0.50019999999999998</v>
      </c>
      <c r="AC49" s="187">
        <v>0.50190000000000001</v>
      </c>
      <c r="AD49" s="187">
        <v>0.50360000000000005</v>
      </c>
      <c r="AE49" s="187">
        <v>0.50539999999999996</v>
      </c>
      <c r="AF49" s="187">
        <v>0.50719999999999998</v>
      </c>
      <c r="AG49" s="187">
        <v>0.50880000000000003</v>
      </c>
      <c r="AH49" s="187">
        <v>0.51039999999999996</v>
      </c>
      <c r="AI49" s="187">
        <v>0.5121</v>
      </c>
      <c r="AJ49" s="187">
        <v>0.51400000000000001</v>
      </c>
      <c r="AK49" s="187">
        <v>0.51600000000000001</v>
      </c>
      <c r="AL49" s="187">
        <v>0.5181</v>
      </c>
      <c r="AM49" s="187">
        <v>0.52029999999999998</v>
      </c>
      <c r="AN49" s="187">
        <v>0.52270000000000005</v>
      </c>
      <c r="AO49" s="187">
        <v>0.5252</v>
      </c>
      <c r="AP49" s="187">
        <v>0.52790000000000004</v>
      </c>
      <c r="AQ49" s="187">
        <v>0.53080000000000005</v>
      </c>
      <c r="AR49" s="187">
        <v>0.53380000000000005</v>
      </c>
      <c r="AS49" s="187">
        <v>0.53700000000000003</v>
      </c>
      <c r="AT49" s="187">
        <v>0.54039999999999999</v>
      </c>
      <c r="AU49" s="187">
        <v>0.54400000000000004</v>
      </c>
      <c r="AV49" s="187">
        <v>0.54779999999999995</v>
      </c>
      <c r="AW49" s="187">
        <v>0.55179999999999996</v>
      </c>
      <c r="AX49" s="187">
        <v>0.55600000000000005</v>
      </c>
      <c r="AY49" s="187">
        <v>0.56040000000000001</v>
      </c>
      <c r="AZ49" s="187">
        <v>0.56510000000000005</v>
      </c>
      <c r="BA49" s="187">
        <v>0.56989999999999996</v>
      </c>
      <c r="BB49" s="187">
        <v>0.57509999999999994</v>
      </c>
      <c r="BC49" s="187">
        <v>0.58050000000000002</v>
      </c>
      <c r="BD49" s="187">
        <v>0.58609999999999995</v>
      </c>
      <c r="BE49" s="187">
        <v>0.59209999999999996</v>
      </c>
      <c r="BF49" s="187">
        <v>0.59830000000000005</v>
      </c>
      <c r="BG49" s="187">
        <v>0.6048</v>
      </c>
      <c r="BH49" s="187">
        <v>0.61160000000000003</v>
      </c>
      <c r="BI49" s="187">
        <v>0.61880000000000002</v>
      </c>
      <c r="BJ49" s="187">
        <v>0.62629999999999997</v>
      </c>
      <c r="BK49" s="187">
        <v>0.6341</v>
      </c>
      <c r="BL49" s="187">
        <v>0.64219999999999999</v>
      </c>
      <c r="BM49" s="187">
        <v>0.65069999999999995</v>
      </c>
      <c r="BN49" s="187">
        <v>0.65959999999999996</v>
      </c>
      <c r="BO49" s="187">
        <v>0.66879999999999995</v>
      </c>
      <c r="BP49" s="187">
        <v>0.6784</v>
      </c>
      <c r="BQ49" s="187">
        <v>0.68830000000000002</v>
      </c>
      <c r="BR49" s="187">
        <v>0.69869999999999999</v>
      </c>
      <c r="BS49" s="187">
        <v>0.70940000000000003</v>
      </c>
      <c r="BT49" s="187">
        <v>0.72050000000000003</v>
      </c>
      <c r="BU49" s="187">
        <v>0.73209999999999997</v>
      </c>
      <c r="BV49" s="187">
        <v>0.74399999999999999</v>
      </c>
      <c r="BW49" s="187">
        <v>0.75629999999999997</v>
      </c>
      <c r="BX49" s="187">
        <v>0.76890000000000003</v>
      </c>
      <c r="BY49" s="187">
        <v>0.78190000000000004</v>
      </c>
      <c r="BZ49" s="187">
        <v>0.79530000000000001</v>
      </c>
      <c r="CA49" s="187">
        <v>0.80889999999999995</v>
      </c>
      <c r="CB49" s="187">
        <v>0.82289999999999996</v>
      </c>
      <c r="CC49" s="187">
        <v>0.83699999999999997</v>
      </c>
      <c r="CD49" s="187">
        <v>0.85129999999999995</v>
      </c>
      <c r="CE49" s="187">
        <v>0.86580000000000001</v>
      </c>
      <c r="CF49" s="187">
        <v>0.88039999999999996</v>
      </c>
      <c r="CG49" s="187">
        <v>0.89510000000000001</v>
      </c>
      <c r="CH49" s="187">
        <v>0.90990000000000004</v>
      </c>
      <c r="CI49" s="187">
        <v>0.92479999999999996</v>
      </c>
      <c r="CJ49" s="187">
        <v>0.93969999999999998</v>
      </c>
      <c r="CK49" s="187">
        <v>0.9546</v>
      </c>
      <c r="CL49" s="187">
        <v>0.96930000000000005</v>
      </c>
      <c r="CM49" s="251">
        <v>0.98380000000000001</v>
      </c>
      <c r="CN49" s="187">
        <v>0.998</v>
      </c>
      <c r="CO49" s="187">
        <v>1.0119</v>
      </c>
      <c r="CP49" s="187">
        <v>1.0253000000000001</v>
      </c>
      <c r="CQ49" s="187">
        <v>1.0384</v>
      </c>
      <c r="CR49" s="187">
        <v>1.0509999999999999</v>
      </c>
      <c r="CS49" s="187">
        <v>1.0630999999999999</v>
      </c>
      <c r="CT49" s="187">
        <v>1.0747</v>
      </c>
      <c r="CU49" s="187">
        <v>1.0857000000000001</v>
      </c>
      <c r="CV49" s="187">
        <v>1.0961000000000001</v>
      </c>
      <c r="CW49" s="121">
        <v>1.1061000000000001</v>
      </c>
      <c r="CX49" s="61"/>
      <c r="DK49" t="s">
        <v>92</v>
      </c>
      <c r="DL49" t="s">
        <v>124</v>
      </c>
      <c r="DN49" s="29">
        <v>0</v>
      </c>
      <c r="DO49" t="s">
        <v>142</v>
      </c>
      <c r="DP49" s="274">
        <v>0</v>
      </c>
      <c r="DQ49" s="274">
        <v>0</v>
      </c>
      <c r="DR49" s="100" t="e">
        <v>#DIV/0!</v>
      </c>
      <c r="DS49" s="100" t="e">
        <v>#DIV/0!</v>
      </c>
      <c r="DW49" s="92">
        <v>1953</v>
      </c>
      <c r="DX49" s="16">
        <v>51948</v>
      </c>
      <c r="DY49" s="46">
        <v>53628</v>
      </c>
      <c r="DZ49" s="46">
        <v>55248</v>
      </c>
      <c r="EA49" s="46">
        <v>57480</v>
      </c>
      <c r="EB49" s="46">
        <v>57900</v>
      </c>
      <c r="EC49" s="46">
        <v>58932</v>
      </c>
      <c r="ED49" s="46">
        <v>60708</v>
      </c>
      <c r="EE49" s="46">
        <v>62592</v>
      </c>
      <c r="EF49" s="46">
        <v>65112</v>
      </c>
      <c r="EG49" s="46">
        <v>67164</v>
      </c>
      <c r="EH49" s="46">
        <v>69444</v>
      </c>
      <c r="EI49" s="46">
        <v>71760</v>
      </c>
      <c r="EJ49" s="46">
        <v>72780</v>
      </c>
      <c r="EK49" s="140">
        <v>73200</v>
      </c>
      <c r="EN49" s="42">
        <v>1953</v>
      </c>
      <c r="EO49" s="105">
        <v>32400</v>
      </c>
      <c r="EP49" s="126">
        <v>35700</v>
      </c>
      <c r="EQ49" s="148">
        <v>37740</v>
      </c>
      <c r="ER49" s="126">
        <v>39432</v>
      </c>
      <c r="ES49" s="126">
        <v>41628</v>
      </c>
      <c r="ET49" s="126">
        <v>43224</v>
      </c>
      <c r="EU49" s="126">
        <v>44244</v>
      </c>
      <c r="EV49" s="40">
        <v>47376</v>
      </c>
      <c r="EW49" s="126">
        <v>50208</v>
      </c>
      <c r="EX49" s="200">
        <v>51948</v>
      </c>
      <c r="EY49" s="46">
        <v>53628</v>
      </c>
      <c r="EZ49" s="46">
        <v>55248</v>
      </c>
      <c r="FA49" s="46">
        <v>57480</v>
      </c>
      <c r="FB49" s="46">
        <v>57900</v>
      </c>
      <c r="FC49" s="46">
        <v>58932</v>
      </c>
      <c r="FD49" s="46">
        <v>60708</v>
      </c>
      <c r="FE49" s="46">
        <v>62592</v>
      </c>
      <c r="FF49" s="46">
        <v>65112</v>
      </c>
      <c r="FG49" s="46">
        <v>67164</v>
      </c>
      <c r="FH49" s="46">
        <v>69444</v>
      </c>
      <c r="FI49" s="46">
        <v>71760</v>
      </c>
      <c r="FJ49" s="46">
        <v>72780</v>
      </c>
      <c r="FK49" s="140">
        <v>73200</v>
      </c>
    </row>
    <row r="50" spans="2:167" ht="15.75" x14ac:dyDescent="0.25">
      <c r="B50" s="61"/>
      <c r="C50" s="61"/>
      <c r="D50" s="207">
        <v>45</v>
      </c>
      <c r="E50" s="125">
        <v>1.4524999999999999</v>
      </c>
      <c r="F50" s="61"/>
      <c r="G50" s="61"/>
      <c r="H50" s="61"/>
      <c r="I50" s="61"/>
      <c r="J50" s="19">
        <v>46</v>
      </c>
      <c r="K50" s="121">
        <v>0.74444444444444535</v>
      </c>
      <c r="L50" s="61"/>
      <c r="M50" s="294">
        <v>46</v>
      </c>
      <c r="N50" s="121">
        <v>1.5785844717303885</v>
      </c>
      <c r="O50" s="61"/>
      <c r="P50" s="87">
        <v>73</v>
      </c>
      <c r="Q50" s="47">
        <v>0.4778</v>
      </c>
      <c r="R50" s="187">
        <v>0.4788</v>
      </c>
      <c r="S50" s="187">
        <v>0.4798</v>
      </c>
      <c r="T50" s="187">
        <v>0.48080000000000001</v>
      </c>
      <c r="U50" s="187">
        <v>0.4819</v>
      </c>
      <c r="V50" s="187">
        <v>0.48309999999999997</v>
      </c>
      <c r="W50" s="187">
        <v>0.48430000000000001</v>
      </c>
      <c r="X50" s="187">
        <v>0.48559999999999998</v>
      </c>
      <c r="Y50" s="187">
        <v>0.4869</v>
      </c>
      <c r="Z50" s="187">
        <v>0.48830000000000001</v>
      </c>
      <c r="AA50" s="187">
        <v>0.48980000000000001</v>
      </c>
      <c r="AB50" s="187">
        <v>0.49130000000000001</v>
      </c>
      <c r="AC50" s="187">
        <v>0.4929</v>
      </c>
      <c r="AD50" s="187">
        <v>0.49459999999999998</v>
      </c>
      <c r="AE50" s="187">
        <v>0.49640000000000001</v>
      </c>
      <c r="AF50" s="187">
        <v>0.49819999999999998</v>
      </c>
      <c r="AG50" s="187">
        <v>0.49969999999999998</v>
      </c>
      <c r="AH50" s="187">
        <v>0.50129999999999997</v>
      </c>
      <c r="AI50" s="187">
        <v>0.50309999999999999</v>
      </c>
      <c r="AJ50" s="187">
        <v>0.50490000000000002</v>
      </c>
      <c r="AK50" s="187">
        <v>0.50680000000000003</v>
      </c>
      <c r="AL50" s="187">
        <v>0.50890000000000002</v>
      </c>
      <c r="AM50" s="187">
        <v>0.5111</v>
      </c>
      <c r="AN50" s="187">
        <v>0.51339999999999997</v>
      </c>
      <c r="AO50" s="187">
        <v>0.51590000000000003</v>
      </c>
      <c r="AP50" s="187">
        <v>0.51859999999999995</v>
      </c>
      <c r="AQ50" s="187">
        <v>0.52139999999999997</v>
      </c>
      <c r="AR50" s="187">
        <v>0.52439999999999998</v>
      </c>
      <c r="AS50" s="187">
        <v>0.52759999999999996</v>
      </c>
      <c r="AT50" s="187">
        <v>0.53090000000000004</v>
      </c>
      <c r="AU50" s="187">
        <v>0.53449999999999998</v>
      </c>
      <c r="AV50" s="187">
        <v>0.53820000000000001</v>
      </c>
      <c r="AW50" s="187">
        <v>0.54210000000000003</v>
      </c>
      <c r="AX50" s="187">
        <v>0.54630000000000001</v>
      </c>
      <c r="AY50" s="187">
        <v>0.55069999999999997</v>
      </c>
      <c r="AZ50" s="187">
        <v>0.55530000000000002</v>
      </c>
      <c r="BA50" s="187">
        <v>0.56010000000000004</v>
      </c>
      <c r="BB50" s="187">
        <v>0.56520000000000004</v>
      </c>
      <c r="BC50" s="187">
        <v>0.57050000000000001</v>
      </c>
      <c r="BD50" s="187">
        <v>0.57620000000000005</v>
      </c>
      <c r="BE50" s="187">
        <v>0.58209999999999995</v>
      </c>
      <c r="BF50" s="187">
        <v>0.58830000000000005</v>
      </c>
      <c r="BG50" s="187">
        <v>0.59470000000000001</v>
      </c>
      <c r="BH50" s="187">
        <v>0.60150000000000003</v>
      </c>
      <c r="BI50" s="187">
        <v>0.60870000000000002</v>
      </c>
      <c r="BJ50" s="187">
        <v>0.61609999999999998</v>
      </c>
      <c r="BK50" s="187">
        <v>0.62390000000000001</v>
      </c>
      <c r="BL50" s="187">
        <v>0.6321</v>
      </c>
      <c r="BM50" s="187">
        <v>0.64059999999999995</v>
      </c>
      <c r="BN50" s="187">
        <v>0.64939999999999998</v>
      </c>
      <c r="BO50" s="187">
        <v>0.65869999999999995</v>
      </c>
      <c r="BP50" s="187">
        <v>0.66830000000000001</v>
      </c>
      <c r="BQ50" s="187">
        <v>0.67830000000000001</v>
      </c>
      <c r="BR50" s="187">
        <v>0.68879999999999997</v>
      </c>
      <c r="BS50" s="187">
        <v>0.6996</v>
      </c>
      <c r="BT50" s="187">
        <v>0.71079999999999999</v>
      </c>
      <c r="BU50" s="187">
        <v>0.72250000000000003</v>
      </c>
      <c r="BV50" s="187">
        <v>0.73460000000000003</v>
      </c>
      <c r="BW50" s="187">
        <v>0.74709999999999999</v>
      </c>
      <c r="BX50" s="187">
        <v>0.76</v>
      </c>
      <c r="BY50" s="187">
        <v>0.77329999999999999</v>
      </c>
      <c r="BZ50" s="187">
        <v>0.78700000000000003</v>
      </c>
      <c r="CA50" s="187">
        <v>0.80100000000000005</v>
      </c>
      <c r="CB50" s="187">
        <v>0.81540000000000001</v>
      </c>
      <c r="CC50" s="187">
        <v>0.83</v>
      </c>
      <c r="CD50" s="187">
        <v>0.8448</v>
      </c>
      <c r="CE50" s="187">
        <v>0.8599</v>
      </c>
      <c r="CF50" s="187">
        <v>0.87509999999999999</v>
      </c>
      <c r="CG50" s="187">
        <v>0.89049999999999996</v>
      </c>
      <c r="CH50" s="187">
        <v>0.90600000000000003</v>
      </c>
      <c r="CI50" s="187">
        <v>0.92169999999999996</v>
      </c>
      <c r="CJ50" s="187">
        <v>0.93740000000000001</v>
      </c>
      <c r="CK50" s="187">
        <v>0.95320000000000005</v>
      </c>
      <c r="CL50" s="187">
        <v>0.96879999999999999</v>
      </c>
      <c r="CM50" s="251">
        <v>0.98429999999999995</v>
      </c>
      <c r="CN50" s="187">
        <v>0.99960000000000004</v>
      </c>
      <c r="CO50" s="187">
        <v>1.0145</v>
      </c>
      <c r="CP50" s="187">
        <v>1.0289999999999999</v>
      </c>
      <c r="CQ50" s="187">
        <v>1.0431999999999999</v>
      </c>
      <c r="CR50" s="187">
        <v>1.0569</v>
      </c>
      <c r="CS50" s="187">
        <v>1.0701000000000001</v>
      </c>
      <c r="CT50" s="187">
        <v>1.0828</v>
      </c>
      <c r="CU50" s="187">
        <v>1.0949</v>
      </c>
      <c r="CV50" s="187">
        <v>1.1064000000000001</v>
      </c>
      <c r="CW50" s="121">
        <v>1.1173999999999999</v>
      </c>
      <c r="CX50" s="61"/>
      <c r="DK50" t="s">
        <v>101</v>
      </c>
      <c r="DL50" t="s">
        <v>549</v>
      </c>
      <c r="DN50" s="29">
        <v>-1497004</v>
      </c>
      <c r="DO50" t="s">
        <v>136</v>
      </c>
      <c r="DP50" s="115">
        <v>0</v>
      </c>
      <c r="DQ50" s="115">
        <v>0</v>
      </c>
      <c r="DR50" s="100" t="e">
        <v>#DIV/0!</v>
      </c>
      <c r="DS50" s="100" t="e">
        <v>#DIV/0!</v>
      </c>
      <c r="DW50" s="92">
        <v>1954</v>
      </c>
      <c r="DX50" s="16">
        <v>52344</v>
      </c>
      <c r="DY50" s="46">
        <v>54084</v>
      </c>
      <c r="DZ50" s="46">
        <v>55764</v>
      </c>
      <c r="EA50" s="46">
        <v>58080</v>
      </c>
      <c r="EB50" s="46">
        <v>58524</v>
      </c>
      <c r="EC50" s="46">
        <v>59592</v>
      </c>
      <c r="ED50" s="46">
        <v>61440</v>
      </c>
      <c r="EE50" s="46">
        <v>63420</v>
      </c>
      <c r="EF50" s="46">
        <v>66060</v>
      </c>
      <c r="EG50" s="46">
        <v>68220</v>
      </c>
      <c r="EH50" s="46">
        <v>70620</v>
      </c>
      <c r="EI50" s="46">
        <v>73056</v>
      </c>
      <c r="EJ50" s="46">
        <v>74136</v>
      </c>
      <c r="EK50" s="140">
        <v>74580</v>
      </c>
      <c r="EN50" s="42">
        <v>1954</v>
      </c>
      <c r="EO50" s="105">
        <v>32400</v>
      </c>
      <c r="EP50" s="126">
        <v>35700</v>
      </c>
      <c r="EQ50" s="148">
        <v>37800</v>
      </c>
      <c r="ER50" s="126">
        <v>39540</v>
      </c>
      <c r="ES50" s="126">
        <v>41808</v>
      </c>
      <c r="ET50" s="126">
        <v>43452</v>
      </c>
      <c r="EU50" s="126">
        <v>44520</v>
      </c>
      <c r="EV50" s="40">
        <v>47616</v>
      </c>
      <c r="EW50" s="126">
        <v>50544</v>
      </c>
      <c r="EX50" s="200">
        <v>52344</v>
      </c>
      <c r="EY50" s="46">
        <v>54084</v>
      </c>
      <c r="EZ50" s="46">
        <v>55764</v>
      </c>
      <c r="FA50" s="46">
        <v>58080</v>
      </c>
      <c r="FB50" s="46">
        <v>58524</v>
      </c>
      <c r="FC50" s="46">
        <v>59592</v>
      </c>
      <c r="FD50" s="46">
        <v>61440</v>
      </c>
      <c r="FE50" s="46">
        <v>63420</v>
      </c>
      <c r="FF50" s="46">
        <v>66060</v>
      </c>
      <c r="FG50" s="46">
        <v>68220</v>
      </c>
      <c r="FH50" s="46">
        <v>70620</v>
      </c>
      <c r="FI50" s="46">
        <v>73056</v>
      </c>
      <c r="FJ50" s="46">
        <v>74136</v>
      </c>
      <c r="FK50" s="140">
        <v>74580</v>
      </c>
    </row>
    <row r="51" spans="2:167" ht="15.75" x14ac:dyDescent="0.25">
      <c r="B51" s="61"/>
      <c r="C51" s="61"/>
      <c r="D51" s="207">
        <v>46</v>
      </c>
      <c r="E51" s="125">
        <v>1.4650000000000001</v>
      </c>
      <c r="F51" s="61"/>
      <c r="G51" s="61"/>
      <c r="H51" s="61"/>
      <c r="I51" s="61"/>
      <c r="J51" s="19">
        <v>47</v>
      </c>
      <c r="K51" s="121">
        <v>0.73888888888888982</v>
      </c>
      <c r="L51" s="61"/>
      <c r="M51" s="294">
        <v>47</v>
      </c>
      <c r="N51" s="121">
        <v>1.5943121345289415</v>
      </c>
      <c r="O51" s="61"/>
      <c r="P51" s="87">
        <v>74</v>
      </c>
      <c r="Q51" s="47">
        <v>0.46949999999999997</v>
      </c>
      <c r="R51" s="187">
        <v>0.47049999999999997</v>
      </c>
      <c r="S51" s="187">
        <v>0.47149999999999997</v>
      </c>
      <c r="T51" s="187">
        <v>0.47249999999999998</v>
      </c>
      <c r="U51" s="187">
        <v>0.47360000000000002</v>
      </c>
      <c r="V51" s="187">
        <v>0.47470000000000001</v>
      </c>
      <c r="W51" s="187">
        <v>0.47589999999999999</v>
      </c>
      <c r="X51" s="187">
        <v>0.47720000000000001</v>
      </c>
      <c r="Y51" s="187">
        <v>0.47849999999999998</v>
      </c>
      <c r="Z51" s="187">
        <v>0.47989999999999999</v>
      </c>
      <c r="AA51" s="187">
        <v>0.48139999999999999</v>
      </c>
      <c r="AB51" s="187">
        <v>0.4829</v>
      </c>
      <c r="AC51" s="187">
        <v>0.48449999999999999</v>
      </c>
      <c r="AD51" s="187">
        <v>0.48609999999999998</v>
      </c>
      <c r="AE51" s="187">
        <v>0.4879</v>
      </c>
      <c r="AF51" s="187">
        <v>0.48970000000000002</v>
      </c>
      <c r="AG51" s="187">
        <v>0.49120000000000003</v>
      </c>
      <c r="AH51" s="187">
        <v>0.49280000000000002</v>
      </c>
      <c r="AI51" s="187">
        <v>0.49440000000000001</v>
      </c>
      <c r="AJ51" s="187">
        <v>0.49619999999999997</v>
      </c>
      <c r="AK51" s="187">
        <v>0.49809999999999999</v>
      </c>
      <c r="AL51" s="187">
        <v>0.50019999999999998</v>
      </c>
      <c r="AM51" s="187">
        <v>0.50239999999999996</v>
      </c>
      <c r="AN51" s="187">
        <v>0.50470000000000004</v>
      </c>
      <c r="AO51" s="187">
        <v>0.5071</v>
      </c>
      <c r="AP51" s="187">
        <v>0.50970000000000004</v>
      </c>
      <c r="AQ51" s="187">
        <v>0.51249999999999996</v>
      </c>
      <c r="AR51" s="187">
        <v>0.51549999999999996</v>
      </c>
      <c r="AS51" s="187">
        <v>0.51859999999999995</v>
      </c>
      <c r="AT51" s="187">
        <v>0.52190000000000003</v>
      </c>
      <c r="AU51" s="187">
        <v>0.52539999999999998</v>
      </c>
      <c r="AV51" s="187">
        <v>0.52910000000000001</v>
      </c>
      <c r="AW51" s="187">
        <v>0.53300000000000003</v>
      </c>
      <c r="AX51" s="187">
        <v>0.53710000000000002</v>
      </c>
      <c r="AY51" s="187">
        <v>0.54139999999999999</v>
      </c>
      <c r="AZ51" s="187">
        <v>0.54600000000000004</v>
      </c>
      <c r="BA51" s="187">
        <v>0.55079999999999996</v>
      </c>
      <c r="BB51" s="187">
        <v>0.55579999999999996</v>
      </c>
      <c r="BC51" s="187">
        <v>0.56110000000000004</v>
      </c>
      <c r="BD51" s="187">
        <v>0.56669999999999998</v>
      </c>
      <c r="BE51" s="187">
        <v>0.5726</v>
      </c>
      <c r="BF51" s="187">
        <v>0.57869999999999999</v>
      </c>
      <c r="BG51" s="187">
        <v>0.58520000000000005</v>
      </c>
      <c r="BH51" s="187">
        <v>0.59189999999999998</v>
      </c>
      <c r="BI51" s="187">
        <v>0.59899999999999998</v>
      </c>
      <c r="BJ51" s="187">
        <v>0.60650000000000004</v>
      </c>
      <c r="BK51" s="187">
        <v>0.61419999999999997</v>
      </c>
      <c r="BL51" s="187">
        <v>0.62239999999999995</v>
      </c>
      <c r="BM51" s="187">
        <v>0.63090000000000002</v>
      </c>
      <c r="BN51" s="187">
        <v>0.63970000000000005</v>
      </c>
      <c r="BO51" s="187">
        <v>0.64900000000000002</v>
      </c>
      <c r="BP51" s="187">
        <v>0.65869999999999995</v>
      </c>
      <c r="BQ51" s="187">
        <v>0.66879999999999995</v>
      </c>
      <c r="BR51" s="187">
        <v>0.67930000000000001</v>
      </c>
      <c r="BS51" s="187">
        <v>0.69020000000000004</v>
      </c>
      <c r="BT51" s="187">
        <v>0.70150000000000001</v>
      </c>
      <c r="BU51" s="187">
        <v>0.71340000000000003</v>
      </c>
      <c r="BV51" s="187">
        <v>0.72560000000000002</v>
      </c>
      <c r="BW51" s="187">
        <v>0.73829999999999996</v>
      </c>
      <c r="BX51" s="187">
        <v>0.75149999999999995</v>
      </c>
      <c r="BY51" s="187">
        <v>0.76500000000000001</v>
      </c>
      <c r="BZ51" s="187">
        <v>0.77900000000000003</v>
      </c>
      <c r="CA51" s="187">
        <v>0.79339999999999999</v>
      </c>
      <c r="CB51" s="187">
        <v>0.80820000000000003</v>
      </c>
      <c r="CC51" s="187">
        <v>0.82320000000000004</v>
      </c>
      <c r="CD51" s="187">
        <v>0.83860000000000001</v>
      </c>
      <c r="CE51" s="187">
        <v>0.85419999999999996</v>
      </c>
      <c r="CF51" s="187">
        <v>0.87</v>
      </c>
      <c r="CG51" s="187">
        <v>0.88600000000000001</v>
      </c>
      <c r="CH51" s="187">
        <v>0.90229999999999999</v>
      </c>
      <c r="CI51" s="187">
        <v>0.91879999999999995</v>
      </c>
      <c r="CJ51" s="187">
        <v>0.93540000000000001</v>
      </c>
      <c r="CK51" s="187">
        <v>0.95199999999999996</v>
      </c>
      <c r="CL51" s="187">
        <v>0.96870000000000001</v>
      </c>
      <c r="CM51" s="251">
        <v>0.98519999999999996</v>
      </c>
      <c r="CN51" s="187">
        <v>1.0015000000000001</v>
      </c>
      <c r="CO51" s="187">
        <v>1.0175000000000001</v>
      </c>
      <c r="CP51" s="187">
        <v>1.0331999999999999</v>
      </c>
      <c r="CQ51" s="187">
        <v>1.0485</v>
      </c>
      <c r="CR51" s="187">
        <v>1.0633999999999999</v>
      </c>
      <c r="CS51" s="187">
        <v>1.0778000000000001</v>
      </c>
      <c r="CT51" s="187">
        <v>1.0916999999999999</v>
      </c>
      <c r="CU51" s="187">
        <v>1.1049</v>
      </c>
      <c r="CV51" s="187">
        <v>1.1176999999999999</v>
      </c>
      <c r="CW51" s="121">
        <v>1.1297999999999999</v>
      </c>
      <c r="CX51" s="61"/>
      <c r="DK51" t="s">
        <v>116</v>
      </c>
      <c r="DL51" t="s">
        <v>69</v>
      </c>
      <c r="DN51" s="149">
        <v>0.17230000000000001</v>
      </c>
      <c r="DO51" t="s">
        <v>347</v>
      </c>
      <c r="DP51" s="115">
        <v>0</v>
      </c>
      <c r="DQ51" s="115">
        <v>0</v>
      </c>
      <c r="DR51" s="100" t="e">
        <v>#DIV/0!</v>
      </c>
      <c r="DS51" s="100" t="e">
        <v>#DIV/0!</v>
      </c>
      <c r="DW51" s="92">
        <v>1955</v>
      </c>
      <c r="DX51" s="16">
        <v>52944</v>
      </c>
      <c r="DY51" s="46">
        <v>54804</v>
      </c>
      <c r="DZ51" s="46">
        <v>56604</v>
      </c>
      <c r="EA51" s="46">
        <v>59088</v>
      </c>
      <c r="EB51" s="46">
        <v>59568</v>
      </c>
      <c r="EC51" s="46">
        <v>60720</v>
      </c>
      <c r="ED51" s="46">
        <v>62724</v>
      </c>
      <c r="EE51" s="46">
        <v>64872</v>
      </c>
      <c r="EF51" s="46">
        <v>67752</v>
      </c>
      <c r="EG51" s="46">
        <v>70116</v>
      </c>
      <c r="EH51" s="46">
        <v>72756</v>
      </c>
      <c r="EI51" s="46">
        <v>75456</v>
      </c>
      <c r="EJ51" s="46">
        <v>76656</v>
      </c>
      <c r="EK51" s="140">
        <v>77148</v>
      </c>
      <c r="EN51" s="42">
        <v>1955</v>
      </c>
      <c r="EO51" s="105">
        <v>32400</v>
      </c>
      <c r="EP51" s="126">
        <v>35700</v>
      </c>
      <c r="EQ51" s="148">
        <v>37800</v>
      </c>
      <c r="ER51" s="126">
        <v>39600</v>
      </c>
      <c r="ES51" s="126">
        <v>41928</v>
      </c>
      <c r="ET51" s="126">
        <v>43620</v>
      </c>
      <c r="EU51" s="126">
        <v>44724</v>
      </c>
      <c r="EV51" s="40">
        <v>47904</v>
      </c>
      <c r="EW51" s="126">
        <v>51024</v>
      </c>
      <c r="EX51" s="200">
        <v>52944</v>
      </c>
      <c r="EY51" s="46">
        <v>54804</v>
      </c>
      <c r="EZ51" s="46">
        <v>56604</v>
      </c>
      <c r="FA51" s="46">
        <v>59088</v>
      </c>
      <c r="FB51" s="46">
        <v>59568</v>
      </c>
      <c r="FC51" s="46">
        <v>60720</v>
      </c>
      <c r="FD51" s="46">
        <v>62724</v>
      </c>
      <c r="FE51" s="46">
        <v>64872</v>
      </c>
      <c r="FF51" s="46">
        <v>67752</v>
      </c>
      <c r="FG51" s="46">
        <v>70116</v>
      </c>
      <c r="FH51" s="46">
        <v>72756</v>
      </c>
      <c r="FI51" s="46">
        <v>75456</v>
      </c>
      <c r="FJ51" s="46">
        <v>76656</v>
      </c>
      <c r="FK51" s="140">
        <v>77148</v>
      </c>
    </row>
    <row r="52" spans="2:167" ht="16.5" thickBot="1" x14ac:dyDescent="0.3">
      <c r="B52" s="61"/>
      <c r="C52" s="61"/>
      <c r="D52" s="207">
        <v>47</v>
      </c>
      <c r="E52" s="125">
        <v>1.4775</v>
      </c>
      <c r="F52" s="61"/>
      <c r="G52" s="61"/>
      <c r="H52" s="61"/>
      <c r="I52" s="61"/>
      <c r="J52" s="19">
        <v>48</v>
      </c>
      <c r="K52" s="121">
        <v>0.73333333333333428</v>
      </c>
      <c r="L52" s="61"/>
      <c r="M52" s="294">
        <v>48</v>
      </c>
      <c r="N52" s="121">
        <v>1.6100397973274947</v>
      </c>
      <c r="O52" s="61"/>
      <c r="P52" s="245">
        <v>75</v>
      </c>
      <c r="Q52" s="5">
        <v>0.4617</v>
      </c>
      <c r="R52" s="90">
        <v>0.4627</v>
      </c>
      <c r="S52" s="90">
        <v>0.46360000000000001</v>
      </c>
      <c r="T52" s="90">
        <v>0.4647</v>
      </c>
      <c r="U52" s="90">
        <v>0.46579999999999999</v>
      </c>
      <c r="V52" s="90">
        <v>0.46689999999999998</v>
      </c>
      <c r="W52" s="90">
        <v>0.46810000000000002</v>
      </c>
      <c r="X52" s="90">
        <v>0.46929999999999999</v>
      </c>
      <c r="Y52" s="90">
        <v>0.47060000000000002</v>
      </c>
      <c r="Z52" s="90">
        <v>0.47199999999999998</v>
      </c>
      <c r="AA52" s="90">
        <v>0.47339999999999999</v>
      </c>
      <c r="AB52" s="90">
        <v>0.47489999999999999</v>
      </c>
      <c r="AC52" s="90">
        <v>0.47649999999999998</v>
      </c>
      <c r="AD52" s="90">
        <v>0.47820000000000001</v>
      </c>
      <c r="AE52" s="90">
        <v>0.47989999999999999</v>
      </c>
      <c r="AF52" s="90">
        <v>0.48170000000000002</v>
      </c>
      <c r="AG52" s="90">
        <v>0.48309999999999997</v>
      </c>
      <c r="AH52" s="90">
        <v>0.48470000000000002</v>
      </c>
      <c r="AI52" s="90">
        <v>0.48630000000000001</v>
      </c>
      <c r="AJ52" s="90">
        <v>0.48809999999999998</v>
      </c>
      <c r="AK52" s="90">
        <v>0.49</v>
      </c>
      <c r="AL52" s="90">
        <v>0.49199999999999999</v>
      </c>
      <c r="AM52" s="90">
        <v>0.49409999999999998</v>
      </c>
      <c r="AN52" s="90">
        <v>0.49640000000000001</v>
      </c>
      <c r="AO52" s="90">
        <v>0.49880000000000002</v>
      </c>
      <c r="AP52" s="90">
        <v>0.50139999999999996</v>
      </c>
      <c r="AQ52" s="90">
        <v>0.50409999999999999</v>
      </c>
      <c r="AR52" s="90">
        <v>0.5071</v>
      </c>
      <c r="AS52" s="90">
        <v>0.5101</v>
      </c>
      <c r="AT52" s="90">
        <v>0.51339999999999997</v>
      </c>
      <c r="AU52" s="90">
        <v>0.51680000000000004</v>
      </c>
      <c r="AV52" s="90">
        <v>0.52049999999999996</v>
      </c>
      <c r="AW52" s="90">
        <v>0.52429999999999999</v>
      </c>
      <c r="AX52" s="90">
        <v>0.52839999999999998</v>
      </c>
      <c r="AY52" s="90">
        <v>0.53269999999999995</v>
      </c>
      <c r="AZ52" s="90">
        <v>0.53720000000000001</v>
      </c>
      <c r="BA52" s="90">
        <v>0.54200000000000004</v>
      </c>
      <c r="BB52" s="90">
        <v>0.54700000000000004</v>
      </c>
      <c r="BC52" s="90">
        <v>0.55220000000000002</v>
      </c>
      <c r="BD52" s="90">
        <v>0.55779999999999996</v>
      </c>
      <c r="BE52" s="90">
        <v>0.56359999999999999</v>
      </c>
      <c r="BF52" s="90">
        <v>0.56969999999999998</v>
      </c>
      <c r="BG52" s="90">
        <v>0.57609999999999995</v>
      </c>
      <c r="BH52" s="90">
        <v>0.58279999999999998</v>
      </c>
      <c r="BI52" s="90">
        <v>0.58989999999999998</v>
      </c>
      <c r="BJ52" s="90">
        <v>0.59730000000000005</v>
      </c>
      <c r="BK52" s="90">
        <v>0.60509999999999997</v>
      </c>
      <c r="BL52" s="90">
        <v>0.61319999999999997</v>
      </c>
      <c r="BM52" s="90">
        <v>0.62170000000000003</v>
      </c>
      <c r="BN52" s="90">
        <v>0.63060000000000005</v>
      </c>
      <c r="BO52" s="90">
        <v>0.63990000000000002</v>
      </c>
      <c r="BP52" s="90">
        <v>0.64959999999999996</v>
      </c>
      <c r="BQ52" s="90">
        <v>0.65969999999999995</v>
      </c>
      <c r="BR52" s="90">
        <v>0.67020000000000002</v>
      </c>
      <c r="BS52" s="90">
        <v>0.68120000000000003</v>
      </c>
      <c r="BT52" s="90">
        <v>0.69269999999999998</v>
      </c>
      <c r="BU52" s="90">
        <v>0.7046</v>
      </c>
      <c r="BV52" s="90">
        <v>0.71709999999999996</v>
      </c>
      <c r="BW52" s="90">
        <v>0.72989999999999999</v>
      </c>
      <c r="BX52" s="90">
        <v>0.74329999999999996</v>
      </c>
      <c r="BY52" s="90">
        <v>0.7571</v>
      </c>
      <c r="BZ52" s="90">
        <v>0.77139999999999997</v>
      </c>
      <c r="CA52" s="90">
        <v>0.78610000000000002</v>
      </c>
      <c r="CB52" s="90">
        <v>0.80130000000000001</v>
      </c>
      <c r="CC52" s="90">
        <v>0.81679999999999997</v>
      </c>
      <c r="CD52" s="90">
        <v>0.83260000000000001</v>
      </c>
      <c r="CE52" s="90">
        <v>0.84870000000000001</v>
      </c>
      <c r="CF52" s="90">
        <v>0.86519999999999997</v>
      </c>
      <c r="CG52" s="90">
        <v>0.88190000000000002</v>
      </c>
      <c r="CH52" s="90">
        <v>0.89890000000000003</v>
      </c>
      <c r="CI52" s="90">
        <v>0.91620000000000001</v>
      </c>
      <c r="CJ52" s="90">
        <v>0.93359999999999999</v>
      </c>
      <c r="CK52" s="90">
        <v>0.95120000000000005</v>
      </c>
      <c r="CL52" s="90">
        <v>0.96879999999999999</v>
      </c>
      <c r="CM52" s="252">
        <v>0.98640000000000005</v>
      </c>
      <c r="CN52" s="90">
        <v>1.0038</v>
      </c>
      <c r="CO52" s="90">
        <v>1.0209999999999999</v>
      </c>
      <c r="CP52" s="90">
        <v>1.0379</v>
      </c>
      <c r="CQ52" s="90">
        <v>1.0544</v>
      </c>
      <c r="CR52" s="90">
        <v>1.0706</v>
      </c>
      <c r="CS52" s="90">
        <v>1.0862000000000001</v>
      </c>
      <c r="CT52" s="90">
        <v>1.1013999999999999</v>
      </c>
      <c r="CU52" s="90">
        <v>1.1158999999999999</v>
      </c>
      <c r="CV52" s="90">
        <v>1.1298999999999999</v>
      </c>
      <c r="CW52" s="219">
        <v>1.1433</v>
      </c>
      <c r="CX52" s="61"/>
      <c r="CY52" s="183" t="s">
        <v>43</v>
      </c>
      <c r="CZ52" s="183"/>
      <c r="DK52" t="s">
        <v>130</v>
      </c>
      <c r="DL52" t="s">
        <v>379</v>
      </c>
      <c r="DN52" s="29">
        <v>0</v>
      </c>
      <c r="DO52" t="s">
        <v>399</v>
      </c>
      <c r="DP52" s="115">
        <v>0</v>
      </c>
      <c r="DQ52" s="115">
        <v>0</v>
      </c>
      <c r="DR52" s="100">
        <v>0</v>
      </c>
      <c r="DS52" s="100">
        <v>0</v>
      </c>
      <c r="DW52" s="92">
        <v>1956</v>
      </c>
      <c r="DX52" s="16">
        <v>53184</v>
      </c>
      <c r="DY52" s="46">
        <v>55104</v>
      </c>
      <c r="DZ52" s="46">
        <v>56964</v>
      </c>
      <c r="EA52" s="46">
        <v>59532</v>
      </c>
      <c r="EB52" s="46">
        <v>60024</v>
      </c>
      <c r="EC52" s="46">
        <v>61224</v>
      </c>
      <c r="ED52" s="46">
        <v>63312</v>
      </c>
      <c r="EE52" s="46">
        <v>65544</v>
      </c>
      <c r="EF52" s="46">
        <v>68544</v>
      </c>
      <c r="EG52" s="46">
        <v>71004</v>
      </c>
      <c r="EH52" s="46">
        <v>73764</v>
      </c>
      <c r="EI52" s="46">
        <v>76596</v>
      </c>
      <c r="EJ52" s="46">
        <v>77856</v>
      </c>
      <c r="EK52" s="140">
        <v>78372</v>
      </c>
      <c r="EN52" s="42">
        <v>1956</v>
      </c>
      <c r="EO52" s="105">
        <v>32400</v>
      </c>
      <c r="EP52" s="126">
        <v>35700</v>
      </c>
      <c r="EQ52" s="148">
        <v>37800</v>
      </c>
      <c r="ER52" s="126">
        <v>39600</v>
      </c>
      <c r="ES52" s="126">
        <v>42000</v>
      </c>
      <c r="ET52" s="126">
        <v>43740</v>
      </c>
      <c r="EU52" s="126">
        <v>44880</v>
      </c>
      <c r="EV52" s="40">
        <v>48000</v>
      </c>
      <c r="EW52" s="126">
        <v>51204</v>
      </c>
      <c r="EX52" s="200">
        <v>53184</v>
      </c>
      <c r="EY52" s="46">
        <v>55104</v>
      </c>
      <c r="EZ52" s="46">
        <v>56964</v>
      </c>
      <c r="FA52" s="46">
        <v>59532</v>
      </c>
      <c r="FB52" s="46">
        <v>60024</v>
      </c>
      <c r="FC52" s="46">
        <v>61224</v>
      </c>
      <c r="FD52" s="46">
        <v>63312</v>
      </c>
      <c r="FE52" s="46">
        <v>65544</v>
      </c>
      <c r="FF52" s="46">
        <v>68544</v>
      </c>
      <c r="FG52" s="46">
        <v>71004</v>
      </c>
      <c r="FH52" s="46">
        <v>73764</v>
      </c>
      <c r="FI52" s="46">
        <v>76596</v>
      </c>
      <c r="FJ52" s="46">
        <v>77856</v>
      </c>
      <c r="FK52" s="140">
        <v>78372</v>
      </c>
    </row>
    <row r="53" spans="2:167" ht="16.5" thickTop="1" x14ac:dyDescent="0.25">
      <c r="B53" s="61"/>
      <c r="C53" s="61"/>
      <c r="D53" s="207">
        <v>48</v>
      </c>
      <c r="E53" s="125">
        <v>1.49</v>
      </c>
      <c r="F53" s="61"/>
      <c r="G53" s="61"/>
      <c r="H53" s="61"/>
      <c r="I53" s="61"/>
      <c r="J53" s="19">
        <v>49</v>
      </c>
      <c r="K53" s="121">
        <v>0.72777777777777874</v>
      </c>
      <c r="L53" s="61"/>
      <c r="M53" s="294">
        <v>49</v>
      </c>
      <c r="N53" s="121">
        <v>1.6284861669924362</v>
      </c>
      <c r="O53" s="61"/>
      <c r="P53" s="61"/>
      <c r="Q53" s="61"/>
      <c r="R53" s="61"/>
      <c r="S53" s="61"/>
      <c r="T53" s="61"/>
      <c r="U53" s="61"/>
      <c r="V53" s="61"/>
      <c r="W53" s="61"/>
      <c r="X53" s="61"/>
      <c r="Y53" s="61"/>
      <c r="Z53" s="61"/>
      <c r="AA53" s="61"/>
      <c r="AB53" s="61"/>
      <c r="AC53" s="61"/>
      <c r="AD53" s="61"/>
      <c r="AE53" s="61"/>
      <c r="AF53" s="61"/>
      <c r="AG53" s="61"/>
      <c r="AH53" s="61"/>
      <c r="AI53" s="61"/>
      <c r="AJ53" s="61"/>
      <c r="AK53" s="61"/>
      <c r="AL53" s="61"/>
      <c r="AM53" s="61"/>
      <c r="AN53" s="61"/>
      <c r="AO53" s="61"/>
      <c r="AP53" s="61"/>
      <c r="AQ53" s="61"/>
      <c r="AR53" s="61"/>
      <c r="AS53" s="61"/>
      <c r="AT53" s="61"/>
      <c r="AU53" s="61"/>
      <c r="AV53" s="61"/>
      <c r="AW53" s="61"/>
      <c r="AX53" s="61"/>
      <c r="AY53" s="61"/>
      <c r="AZ53" s="61"/>
      <c r="BA53" s="61"/>
      <c r="BB53" s="61"/>
      <c r="BC53" s="61"/>
      <c r="BD53" s="61"/>
      <c r="BE53" s="61"/>
      <c r="BF53" s="61"/>
      <c r="BG53" s="61"/>
      <c r="BH53" s="61"/>
      <c r="BI53" s="61"/>
      <c r="BJ53" s="61"/>
      <c r="BK53" s="61"/>
      <c r="BL53" s="61"/>
      <c r="BM53" s="61"/>
      <c r="BN53" s="61"/>
      <c r="BO53" s="61"/>
      <c r="BP53" s="61"/>
      <c r="BQ53" s="61"/>
      <c r="BR53" s="61"/>
      <c r="BS53" s="61"/>
      <c r="BT53" s="61"/>
      <c r="BU53" s="61"/>
      <c r="BV53" s="61"/>
      <c r="BW53" s="61"/>
      <c r="BX53" s="61"/>
      <c r="BY53" s="61"/>
      <c r="BZ53" s="61"/>
      <c r="CA53" s="61"/>
      <c r="CB53" s="61"/>
      <c r="CC53" s="61"/>
      <c r="CD53" s="61"/>
      <c r="CE53" s="61"/>
      <c r="CF53" s="61"/>
      <c r="CG53" s="61"/>
      <c r="CH53" s="61"/>
      <c r="CI53" s="61"/>
      <c r="CJ53" s="61"/>
      <c r="CK53" s="61"/>
      <c r="CL53" s="61"/>
      <c r="CM53" s="61"/>
      <c r="CN53" s="61"/>
      <c r="CO53" s="61"/>
      <c r="CP53" s="61"/>
      <c r="CQ53" s="61"/>
      <c r="CR53" s="61"/>
      <c r="CS53" s="61"/>
      <c r="CT53" s="61"/>
      <c r="CU53" s="61"/>
      <c r="CV53" s="61"/>
      <c r="CW53" s="61"/>
      <c r="CX53" s="61"/>
      <c r="CY53" s="208">
        <v>0.25</v>
      </c>
      <c r="CZ53" s="27">
        <v>0.95</v>
      </c>
      <c r="DG53" s="78"/>
      <c r="DK53" t="s">
        <v>248</v>
      </c>
      <c r="DL53" t="s">
        <v>161</v>
      </c>
      <c r="DN53" s="29">
        <v>0</v>
      </c>
      <c r="DO53" t="s">
        <v>125</v>
      </c>
      <c r="DP53" s="115">
        <v>0</v>
      </c>
      <c r="DQ53" s="115">
        <v>0</v>
      </c>
      <c r="DR53" s="100">
        <v>0</v>
      </c>
      <c r="DS53" s="100">
        <v>0</v>
      </c>
      <c r="DW53" s="92">
        <v>1957</v>
      </c>
      <c r="DX53" s="16">
        <v>53340</v>
      </c>
      <c r="DY53" s="46">
        <v>55320</v>
      </c>
      <c r="DZ53" s="46">
        <v>57240</v>
      </c>
      <c r="EA53" s="46">
        <v>59892</v>
      </c>
      <c r="EB53" s="46">
        <v>60408</v>
      </c>
      <c r="EC53" s="46">
        <v>61644</v>
      </c>
      <c r="ED53" s="46">
        <v>63804</v>
      </c>
      <c r="EE53" s="46">
        <v>66120</v>
      </c>
      <c r="EF53" s="46">
        <v>69240</v>
      </c>
      <c r="EG53" s="46">
        <v>71820</v>
      </c>
      <c r="EH53" s="46">
        <v>74700</v>
      </c>
      <c r="EI53" s="46">
        <v>77652</v>
      </c>
      <c r="EJ53" s="46">
        <v>78972</v>
      </c>
      <c r="EK53" s="140">
        <v>79512</v>
      </c>
      <c r="EN53" s="42">
        <v>1957</v>
      </c>
      <c r="EO53" s="105">
        <v>32400</v>
      </c>
      <c r="EP53" s="126">
        <v>35700</v>
      </c>
      <c r="EQ53" s="148">
        <v>37800</v>
      </c>
      <c r="ER53" s="126">
        <v>39600</v>
      </c>
      <c r="ES53" s="126">
        <v>42000</v>
      </c>
      <c r="ET53" s="126">
        <v>43800</v>
      </c>
      <c r="EU53" s="126">
        <v>44964</v>
      </c>
      <c r="EV53" s="40">
        <v>48000</v>
      </c>
      <c r="EW53" s="126">
        <v>51300</v>
      </c>
      <c r="EX53" s="200">
        <v>53340</v>
      </c>
      <c r="EY53" s="46">
        <v>55320</v>
      </c>
      <c r="EZ53" s="46">
        <v>57240</v>
      </c>
      <c r="FA53" s="46">
        <v>59892</v>
      </c>
      <c r="FB53" s="46">
        <v>60408</v>
      </c>
      <c r="FC53" s="46">
        <v>61644</v>
      </c>
      <c r="FD53" s="46">
        <v>63804</v>
      </c>
      <c r="FE53" s="46">
        <v>66120</v>
      </c>
      <c r="FF53" s="46">
        <v>69240</v>
      </c>
      <c r="FG53" s="46">
        <v>71820</v>
      </c>
      <c r="FH53" s="46">
        <v>74700</v>
      </c>
      <c r="FI53" s="46">
        <v>77652</v>
      </c>
      <c r="FJ53" s="46">
        <v>78972</v>
      </c>
      <c r="FK53" s="140">
        <v>79512</v>
      </c>
    </row>
    <row r="54" spans="2:167" ht="15.75" x14ac:dyDescent="0.25">
      <c r="B54" s="61"/>
      <c r="C54" s="61"/>
      <c r="D54" s="207">
        <v>49</v>
      </c>
      <c r="E54" s="125">
        <v>1.5042</v>
      </c>
      <c r="F54" s="61"/>
      <c r="G54" s="61"/>
      <c r="H54" s="61"/>
      <c r="I54" s="61"/>
      <c r="J54" s="19">
        <v>50</v>
      </c>
      <c r="K54" s="121">
        <v>0.72222222222222321</v>
      </c>
      <c r="L54" s="61"/>
      <c r="M54" s="294">
        <v>50</v>
      </c>
      <c r="N54" s="121">
        <v>1.6469325366573782</v>
      </c>
      <c r="O54" s="61"/>
      <c r="P54" s="61"/>
      <c r="Q54" s="61"/>
      <c r="R54" s="61"/>
      <c r="S54" s="61"/>
      <c r="T54" s="61"/>
      <c r="U54" s="61"/>
      <c r="V54" s="61"/>
      <c r="W54" s="61"/>
      <c r="X54" s="61"/>
      <c r="Y54" s="61"/>
      <c r="Z54" s="61"/>
      <c r="AA54" s="61"/>
      <c r="AB54" s="61"/>
      <c r="AC54" s="61"/>
      <c r="AD54" s="61"/>
      <c r="AE54" s="61"/>
      <c r="AF54" s="61"/>
      <c r="AG54" s="61"/>
      <c r="AH54" s="61"/>
      <c r="AI54" s="61"/>
      <c r="AJ54" s="61"/>
      <c r="AK54" s="61"/>
      <c r="AL54" s="61"/>
      <c r="AM54" s="61"/>
      <c r="AN54" s="61"/>
      <c r="AO54" s="61"/>
      <c r="AP54" s="61"/>
      <c r="AQ54" s="61"/>
      <c r="AR54" s="61"/>
      <c r="AS54" s="61"/>
      <c r="AT54" s="61"/>
      <c r="AU54" s="61"/>
      <c r="AV54" s="61"/>
      <c r="AW54" s="61"/>
      <c r="AX54" s="61"/>
      <c r="AY54" s="61"/>
      <c r="AZ54" s="61"/>
      <c r="BA54" s="61"/>
      <c r="BB54" s="61"/>
      <c r="BC54" s="61"/>
      <c r="BD54" s="61"/>
      <c r="BE54" s="61"/>
      <c r="BF54" s="61"/>
      <c r="BG54" s="61"/>
      <c r="BH54" s="61"/>
      <c r="BI54" s="61"/>
      <c r="BJ54" s="61"/>
      <c r="BK54" s="61"/>
      <c r="BL54" s="61"/>
      <c r="BM54" s="61"/>
      <c r="BN54" s="61"/>
      <c r="BO54" s="61"/>
      <c r="BP54" s="61"/>
      <c r="BQ54" s="61"/>
      <c r="BR54" s="61"/>
      <c r="BS54" s="61"/>
      <c r="BT54" s="61"/>
      <c r="BU54" s="61"/>
      <c r="BV54" s="61"/>
      <c r="BW54" s="61"/>
      <c r="BX54" s="61"/>
      <c r="BY54" s="61"/>
      <c r="BZ54" s="61"/>
      <c r="CA54" s="61"/>
      <c r="CB54" s="61"/>
      <c r="CC54" s="61"/>
      <c r="CD54" s="61"/>
      <c r="CE54" s="61"/>
      <c r="CF54" s="61"/>
      <c r="CG54" s="61"/>
      <c r="CH54" s="61"/>
      <c r="CI54" s="61"/>
      <c r="CJ54" s="61"/>
      <c r="CK54" s="61"/>
      <c r="CL54" s="61"/>
      <c r="CM54" s="61"/>
      <c r="CN54" s="61"/>
      <c r="CO54" s="61"/>
      <c r="CP54" s="61"/>
      <c r="CQ54" s="61"/>
      <c r="CR54" s="61"/>
      <c r="CS54" s="61"/>
      <c r="CT54" s="61"/>
      <c r="CU54" s="61"/>
      <c r="CV54" s="61"/>
      <c r="CW54" s="61"/>
      <c r="CX54" s="61"/>
      <c r="CY54" s="64">
        <v>0.5</v>
      </c>
      <c r="CZ54" s="121">
        <v>0.9</v>
      </c>
      <c r="DG54" s="78"/>
      <c r="DW54" s="92">
        <v>1958</v>
      </c>
      <c r="DX54" s="16">
        <v>53400</v>
      </c>
      <c r="DY54" s="46">
        <v>55440</v>
      </c>
      <c r="DZ54" s="46">
        <v>57420</v>
      </c>
      <c r="EA54" s="46">
        <v>60156</v>
      </c>
      <c r="EB54" s="46">
        <v>60684</v>
      </c>
      <c r="EC54" s="46">
        <v>61980</v>
      </c>
      <c r="ED54" s="46">
        <v>64212</v>
      </c>
      <c r="EE54" s="46">
        <v>66612</v>
      </c>
      <c r="EF54" s="46">
        <v>69852</v>
      </c>
      <c r="EG54" s="46">
        <v>72528</v>
      </c>
      <c r="EH54" s="46">
        <v>75528</v>
      </c>
      <c r="EI54" s="46">
        <v>78612</v>
      </c>
      <c r="EJ54" s="46">
        <v>79992</v>
      </c>
      <c r="EK54" s="140">
        <v>80556</v>
      </c>
      <c r="EN54" s="42">
        <v>1958</v>
      </c>
      <c r="EO54" s="105">
        <v>32400</v>
      </c>
      <c r="EP54" s="126">
        <v>35700</v>
      </c>
      <c r="EQ54" s="148">
        <v>37800</v>
      </c>
      <c r="ER54" s="126">
        <v>39600</v>
      </c>
      <c r="ES54" s="126">
        <v>42000</v>
      </c>
      <c r="ET54" s="126">
        <v>43800</v>
      </c>
      <c r="EU54" s="126">
        <v>45000</v>
      </c>
      <c r="EV54" s="40">
        <v>48000</v>
      </c>
      <c r="EW54" s="126">
        <v>51300</v>
      </c>
      <c r="EX54" s="200">
        <v>53400</v>
      </c>
      <c r="EY54" s="46">
        <v>55440</v>
      </c>
      <c r="EZ54" s="46">
        <v>57420</v>
      </c>
      <c r="FA54" s="46">
        <v>60156</v>
      </c>
      <c r="FB54" s="46">
        <v>60684</v>
      </c>
      <c r="FC54" s="46">
        <v>61980</v>
      </c>
      <c r="FD54" s="46">
        <v>64212</v>
      </c>
      <c r="FE54" s="46">
        <v>66612</v>
      </c>
      <c r="FF54" s="46">
        <v>69852</v>
      </c>
      <c r="FG54" s="46">
        <v>72528</v>
      </c>
      <c r="FH54" s="46">
        <v>75528</v>
      </c>
      <c r="FI54" s="46">
        <v>78612</v>
      </c>
      <c r="FJ54" s="46">
        <v>79992</v>
      </c>
      <c r="FK54" s="140">
        <v>80556</v>
      </c>
    </row>
    <row r="55" spans="2:167" ht="15.75" x14ac:dyDescent="0.25">
      <c r="B55" s="61"/>
      <c r="C55" s="61"/>
      <c r="D55" s="207">
        <v>50</v>
      </c>
      <c r="E55" s="125">
        <v>1.5183</v>
      </c>
      <c r="F55" s="61"/>
      <c r="G55" s="61"/>
      <c r="H55" s="61"/>
      <c r="I55" s="61"/>
      <c r="J55" s="19">
        <v>51</v>
      </c>
      <c r="K55" s="121">
        <v>0.71666666666666767</v>
      </c>
      <c r="L55" s="61"/>
      <c r="M55" s="294">
        <v>51</v>
      </c>
      <c r="N55" s="121">
        <v>1.6653789063223197</v>
      </c>
      <c r="O55" s="61"/>
      <c r="P55" s="183" t="s">
        <v>243</v>
      </c>
      <c r="Q55" s="61"/>
      <c r="R55" s="61"/>
      <c r="S55" s="61"/>
      <c r="T55" s="61"/>
      <c r="U55" s="61"/>
      <c r="V55" s="61"/>
      <c r="W55" s="61"/>
      <c r="X55" s="61"/>
      <c r="Y55" s="61"/>
      <c r="Z55" s="61"/>
      <c r="AA55" s="61"/>
      <c r="AB55" s="61"/>
      <c r="AC55" s="61"/>
      <c r="AD55" s="61"/>
      <c r="AE55" s="61"/>
      <c r="AF55" s="61"/>
      <c r="AG55" s="61"/>
      <c r="AH55" s="61"/>
      <c r="AI55" s="61"/>
      <c r="AJ55" s="61"/>
      <c r="AK55" s="61"/>
      <c r="AL55" s="61"/>
      <c r="AM55" s="61"/>
      <c r="AN55" s="61"/>
      <c r="AO55" s="61"/>
      <c r="AP55" s="61"/>
      <c r="AQ55" s="61"/>
      <c r="AR55" s="61"/>
      <c r="AS55" s="61"/>
      <c r="AT55" s="61"/>
      <c r="AU55" s="61"/>
      <c r="AV55" s="61"/>
      <c r="AW55" s="61"/>
      <c r="AX55" s="61"/>
      <c r="AY55" s="61"/>
      <c r="AZ55" s="61"/>
      <c r="BA55" s="61"/>
      <c r="BB55" s="61"/>
      <c r="BC55" s="61"/>
      <c r="BD55" s="61"/>
      <c r="BE55" s="61"/>
      <c r="BF55" s="61"/>
      <c r="BG55" s="61"/>
      <c r="BH55" s="61"/>
      <c r="BI55" s="61"/>
      <c r="BJ55" s="61"/>
      <c r="BK55" s="61"/>
      <c r="BL55" s="61"/>
      <c r="BM55" s="61"/>
      <c r="BN55" s="61"/>
      <c r="BO55" s="61"/>
      <c r="BP55" s="61"/>
      <c r="BQ55" s="61"/>
      <c r="BR55" s="61"/>
      <c r="BS55" s="61"/>
      <c r="BT55" s="61"/>
      <c r="BU55" s="61"/>
      <c r="BV55" s="61"/>
      <c r="BW55" s="61"/>
      <c r="BX55" s="61"/>
      <c r="BY55" s="61"/>
      <c r="BZ55" s="61"/>
      <c r="CA55" s="61"/>
      <c r="CB55" s="61"/>
      <c r="CC55" s="61"/>
      <c r="CD55" s="61"/>
      <c r="CE55" s="61"/>
      <c r="CF55" s="61"/>
      <c r="CG55" s="61"/>
      <c r="CH55" s="61"/>
      <c r="CI55" s="61"/>
      <c r="CJ55" s="61"/>
      <c r="CK55" s="61"/>
      <c r="CL55" s="61"/>
      <c r="CM55" s="61"/>
      <c r="CN55" s="61"/>
      <c r="CO55" s="61"/>
      <c r="CP55" s="61"/>
      <c r="CQ55" s="61"/>
      <c r="CR55" s="61"/>
      <c r="CS55" s="61"/>
      <c r="CT55" s="61"/>
      <c r="CU55" s="61"/>
      <c r="CV55" s="61"/>
      <c r="CW55" s="61"/>
      <c r="CX55" s="61"/>
      <c r="CY55" s="68">
        <v>0.66666666666666696</v>
      </c>
      <c r="CZ55" s="113">
        <v>0.86670000000000003</v>
      </c>
      <c r="DK55" t="s">
        <v>458</v>
      </c>
      <c r="DM55" s="45">
        <v>0</v>
      </c>
      <c r="DN55" s="149" t="e">
        <v>#DIV/0!</v>
      </c>
      <c r="DO55" t="s">
        <v>709</v>
      </c>
      <c r="DP55" s="45">
        <v>0</v>
      </c>
      <c r="DW55" s="92">
        <v>1959</v>
      </c>
      <c r="DX55" s="16">
        <v>53400</v>
      </c>
      <c r="DY55" s="46">
        <v>55500</v>
      </c>
      <c r="DZ55" s="46">
        <v>57540</v>
      </c>
      <c r="EA55" s="46">
        <v>60360</v>
      </c>
      <c r="EB55" s="46">
        <v>60912</v>
      </c>
      <c r="EC55" s="46">
        <v>62244</v>
      </c>
      <c r="ED55" s="46">
        <v>64560</v>
      </c>
      <c r="EE55" s="46">
        <v>67044</v>
      </c>
      <c r="EF55" s="46">
        <v>70404</v>
      </c>
      <c r="EG55" s="46">
        <v>73176</v>
      </c>
      <c r="EH55" s="46">
        <v>76296</v>
      </c>
      <c r="EI55" s="46">
        <v>79512</v>
      </c>
      <c r="EJ55" s="46">
        <v>80952</v>
      </c>
      <c r="EK55" s="140">
        <v>81540</v>
      </c>
      <c r="EN55" s="42">
        <v>1959</v>
      </c>
      <c r="EO55" s="105">
        <v>32400</v>
      </c>
      <c r="EP55" s="126">
        <v>35700</v>
      </c>
      <c r="EQ55" s="148">
        <v>37800</v>
      </c>
      <c r="ER55" s="126">
        <v>39600</v>
      </c>
      <c r="ES55" s="126">
        <v>42000</v>
      </c>
      <c r="ET55" s="126">
        <v>43800</v>
      </c>
      <c r="EU55" s="126">
        <v>45000</v>
      </c>
      <c r="EV55" s="40">
        <v>48000</v>
      </c>
      <c r="EW55" s="126">
        <v>51300</v>
      </c>
      <c r="EX55" s="200">
        <v>53400</v>
      </c>
      <c r="EY55" s="46">
        <v>55500</v>
      </c>
      <c r="EZ55" s="46">
        <v>57540</v>
      </c>
      <c r="FA55" s="46">
        <v>60360</v>
      </c>
      <c r="FB55" s="46">
        <v>60912</v>
      </c>
      <c r="FC55" s="46">
        <v>62244</v>
      </c>
      <c r="FD55" s="46">
        <v>64560</v>
      </c>
      <c r="FE55" s="46">
        <v>67044</v>
      </c>
      <c r="FF55" s="46">
        <v>70404</v>
      </c>
      <c r="FG55" s="46">
        <v>73176</v>
      </c>
      <c r="FH55" s="46">
        <v>76296</v>
      </c>
      <c r="FI55" s="46">
        <v>79512</v>
      </c>
      <c r="FJ55" s="46">
        <v>80952</v>
      </c>
      <c r="FK55" s="140">
        <v>81540</v>
      </c>
    </row>
    <row r="56" spans="2:167" ht="15.75" x14ac:dyDescent="0.25">
      <c r="B56" s="61"/>
      <c r="C56" s="61"/>
      <c r="D56" s="207">
        <v>51</v>
      </c>
      <c r="E56" s="125">
        <v>1.5325</v>
      </c>
      <c r="F56" s="61"/>
      <c r="G56" s="61"/>
      <c r="H56" s="61"/>
      <c r="I56" s="61"/>
      <c r="J56" s="19">
        <v>52</v>
      </c>
      <c r="K56" s="121">
        <v>0.71111111111111214</v>
      </c>
      <c r="L56" s="61"/>
      <c r="M56" s="294">
        <v>52</v>
      </c>
      <c r="N56" s="121">
        <v>1.6838252759872614</v>
      </c>
      <c r="O56" s="61"/>
      <c r="CX56" s="61"/>
      <c r="CY56" s="64">
        <v>0.75</v>
      </c>
      <c r="CZ56" s="121">
        <v>0.85</v>
      </c>
      <c r="DK56" t="s">
        <v>685</v>
      </c>
      <c r="DM56" s="45">
        <v>0</v>
      </c>
      <c r="DN56" s="45">
        <v>0</v>
      </c>
      <c r="DW56" s="92">
        <v>1960</v>
      </c>
      <c r="DX56" s="16">
        <v>53400</v>
      </c>
      <c r="DY56" s="46">
        <v>55500</v>
      </c>
      <c r="DZ56" s="46">
        <v>57600</v>
      </c>
      <c r="EA56" s="46">
        <v>60504</v>
      </c>
      <c r="EB56" s="46">
        <v>61080</v>
      </c>
      <c r="EC56" s="46">
        <v>62448</v>
      </c>
      <c r="ED56" s="46">
        <v>64836</v>
      </c>
      <c r="EE56" s="46">
        <v>67404</v>
      </c>
      <c r="EF56" s="46">
        <v>70884</v>
      </c>
      <c r="EG56" s="46">
        <v>73764</v>
      </c>
      <c r="EH56" s="46">
        <v>77004</v>
      </c>
      <c r="EI56" s="46">
        <v>80352</v>
      </c>
      <c r="EJ56" s="46">
        <v>81852</v>
      </c>
      <c r="EK56" s="140">
        <v>82464</v>
      </c>
      <c r="EN56" s="42">
        <v>1960</v>
      </c>
      <c r="EO56" s="105">
        <v>32400</v>
      </c>
      <c r="EP56" s="126">
        <v>35700</v>
      </c>
      <c r="EQ56" s="148">
        <v>37800</v>
      </c>
      <c r="ER56" s="126">
        <v>39600</v>
      </c>
      <c r="ES56" s="126">
        <v>42000</v>
      </c>
      <c r="ET56" s="126">
        <v>43800</v>
      </c>
      <c r="EU56" s="126">
        <v>45000</v>
      </c>
      <c r="EV56" s="40">
        <v>48000</v>
      </c>
      <c r="EW56" s="126">
        <v>51300</v>
      </c>
      <c r="EX56" s="200">
        <v>53400</v>
      </c>
      <c r="EY56" s="46">
        <v>55500</v>
      </c>
      <c r="EZ56" s="46">
        <v>57600</v>
      </c>
      <c r="FA56" s="46">
        <v>60504</v>
      </c>
      <c r="FB56" s="46">
        <v>61080</v>
      </c>
      <c r="FC56" s="46">
        <v>62448</v>
      </c>
      <c r="FD56" s="46">
        <v>64836</v>
      </c>
      <c r="FE56" s="46">
        <v>67404</v>
      </c>
      <c r="FF56" s="46">
        <v>70884</v>
      </c>
      <c r="FG56" s="46">
        <v>73764</v>
      </c>
      <c r="FH56" s="46">
        <v>77004</v>
      </c>
      <c r="FI56" s="46">
        <v>80352</v>
      </c>
      <c r="FJ56" s="46">
        <v>81852</v>
      </c>
      <c r="FK56" s="140">
        <v>82464</v>
      </c>
    </row>
    <row r="57" spans="2:167" ht="16.5" thickBot="1" x14ac:dyDescent="0.3">
      <c r="B57" s="61"/>
      <c r="C57" s="61"/>
      <c r="D57" s="207">
        <v>52</v>
      </c>
      <c r="E57" s="125">
        <v>1.5467</v>
      </c>
      <c r="F57" s="61"/>
      <c r="G57" s="61"/>
      <c r="H57" s="61"/>
      <c r="I57" s="61"/>
      <c r="J57" s="19">
        <v>53</v>
      </c>
      <c r="K57" s="121">
        <v>0.7055555555555566</v>
      </c>
      <c r="L57" s="61"/>
      <c r="M57" s="294">
        <v>53</v>
      </c>
      <c r="N57" s="121">
        <v>1.7022716456522033</v>
      </c>
      <c r="O57" s="61"/>
      <c r="P57" s="103"/>
      <c r="Q57" s="231" t="s">
        <v>477</v>
      </c>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c r="BG57" s="103"/>
      <c r="BH57" s="103"/>
      <c r="BI57" s="103"/>
      <c r="BJ57" s="103"/>
      <c r="BK57" s="103"/>
      <c r="BL57" s="103"/>
      <c r="BM57" s="103"/>
      <c r="BN57" s="103"/>
      <c r="BO57" s="103"/>
      <c r="BP57" s="103"/>
      <c r="BQ57" s="103"/>
      <c r="BR57" s="103"/>
      <c r="BS57" s="103"/>
      <c r="BT57" s="103"/>
      <c r="BU57" s="103"/>
      <c r="BV57" s="103"/>
      <c r="BW57" s="103"/>
      <c r="BX57" s="103"/>
      <c r="BY57" s="103"/>
      <c r="BZ57" s="103"/>
      <c r="CA57" s="103"/>
      <c r="CB57" s="103"/>
      <c r="CC57" s="103"/>
      <c r="CD57" s="103"/>
      <c r="CE57" s="103"/>
      <c r="CF57" s="103"/>
      <c r="CG57" s="103"/>
      <c r="CH57" s="103"/>
      <c r="CI57" s="103"/>
      <c r="CJ57" s="103"/>
      <c r="CK57" s="103"/>
      <c r="CL57" s="103"/>
      <c r="CM57" s="103"/>
      <c r="CN57" s="103"/>
      <c r="CO57" s="103"/>
      <c r="CP57" s="103"/>
      <c r="CQ57" s="103"/>
      <c r="CR57" s="103"/>
      <c r="CS57" s="103"/>
      <c r="CT57" s="103"/>
      <c r="CU57" s="103"/>
      <c r="CV57" s="103"/>
      <c r="CW57" s="103"/>
      <c r="CX57" s="61"/>
      <c r="CY57" s="34">
        <v>1</v>
      </c>
      <c r="CZ57" s="77">
        <v>0.8</v>
      </c>
      <c r="DA57" s="182"/>
      <c r="DB57" s="144"/>
      <c r="DC57" s="182"/>
      <c r="DD57" s="182"/>
      <c r="DK57" t="s">
        <v>686</v>
      </c>
      <c r="DM57" s="120" t="e">
        <v>#DIV/0!</v>
      </c>
      <c r="DW57" s="92">
        <v>1961</v>
      </c>
      <c r="DX57" s="16">
        <v>53400</v>
      </c>
      <c r="DY57" s="46">
        <v>55500</v>
      </c>
      <c r="DZ57" s="46">
        <v>57600</v>
      </c>
      <c r="EA57" s="46">
        <v>60600</v>
      </c>
      <c r="EB57" s="46">
        <v>61176</v>
      </c>
      <c r="EC57" s="46">
        <v>62592</v>
      </c>
      <c r="ED57" s="46">
        <v>65064</v>
      </c>
      <c r="EE57" s="46">
        <v>67716</v>
      </c>
      <c r="EF57" s="46">
        <v>71316</v>
      </c>
      <c r="EG57" s="46">
        <v>74304</v>
      </c>
      <c r="EH57" s="46">
        <v>77664</v>
      </c>
      <c r="EI57" s="46">
        <v>81132</v>
      </c>
      <c r="EJ57" s="46">
        <v>82692</v>
      </c>
      <c r="EK57" s="140">
        <v>83340</v>
      </c>
      <c r="EN57" s="42">
        <v>1961</v>
      </c>
      <c r="EO57" s="105">
        <v>32400</v>
      </c>
      <c r="EP57" s="126">
        <v>35700</v>
      </c>
      <c r="EQ57" s="148">
        <v>37800</v>
      </c>
      <c r="ER57" s="126">
        <v>39600</v>
      </c>
      <c r="ES57" s="126">
        <v>42000</v>
      </c>
      <c r="ET57" s="126">
        <v>43800</v>
      </c>
      <c r="EU57" s="126">
        <v>45000</v>
      </c>
      <c r="EV57" s="40">
        <v>48000</v>
      </c>
      <c r="EW57" s="126">
        <v>51300</v>
      </c>
      <c r="EX57" s="200">
        <v>53400</v>
      </c>
      <c r="EY57" s="46">
        <v>55500</v>
      </c>
      <c r="EZ57" s="46">
        <v>57600</v>
      </c>
      <c r="FA57" s="46">
        <v>60600</v>
      </c>
      <c r="FB57" s="46">
        <v>61176</v>
      </c>
      <c r="FC57" s="46">
        <v>62592</v>
      </c>
      <c r="FD57" s="46">
        <v>65064</v>
      </c>
      <c r="FE57" s="46">
        <v>67716</v>
      </c>
      <c r="FF57" s="46">
        <v>71316</v>
      </c>
      <c r="FG57" s="46">
        <v>74304</v>
      </c>
      <c r="FH57" s="46">
        <v>77664</v>
      </c>
      <c r="FI57" s="46">
        <v>81132</v>
      </c>
      <c r="FJ57" s="46">
        <v>82692</v>
      </c>
      <c r="FK57" s="140">
        <v>83340</v>
      </c>
    </row>
    <row r="58" spans="2:167" ht="16.5" thickBot="1" x14ac:dyDescent="0.3">
      <c r="B58" s="61"/>
      <c r="C58" s="61"/>
      <c r="D58" s="207">
        <v>53</v>
      </c>
      <c r="E58" s="125">
        <v>1.5608</v>
      </c>
      <c r="F58" s="61"/>
      <c r="G58" s="61"/>
      <c r="H58" s="61"/>
      <c r="I58" s="61"/>
      <c r="J58" s="19">
        <v>54</v>
      </c>
      <c r="K58" s="121">
        <v>0.70000000000000107</v>
      </c>
      <c r="L58" s="61"/>
      <c r="M58" s="294">
        <v>54</v>
      </c>
      <c r="N58" s="121">
        <v>1.7207180153171449</v>
      </c>
      <c r="O58" s="61"/>
      <c r="P58" s="216" t="s">
        <v>443</v>
      </c>
      <c r="Q58" s="24">
        <v>1</v>
      </c>
      <c r="R58" s="79">
        <v>2</v>
      </c>
      <c r="S58" s="79">
        <v>3</v>
      </c>
      <c r="T58" s="79">
        <v>4</v>
      </c>
      <c r="U58" s="79">
        <v>5</v>
      </c>
      <c r="V58" s="79">
        <v>6</v>
      </c>
      <c r="W58" s="79">
        <v>7</v>
      </c>
      <c r="X58" s="79">
        <v>8</v>
      </c>
      <c r="Y58" s="79">
        <v>9</v>
      </c>
      <c r="Z58" s="79">
        <v>10</v>
      </c>
      <c r="AA58" s="79">
        <v>11</v>
      </c>
      <c r="AB58" s="79">
        <v>12</v>
      </c>
      <c r="AC58" s="79">
        <v>13</v>
      </c>
      <c r="AD58" s="79">
        <v>14</v>
      </c>
      <c r="AE58" s="79">
        <v>15</v>
      </c>
      <c r="AF58" s="79">
        <v>16</v>
      </c>
      <c r="AG58" s="79">
        <v>17</v>
      </c>
      <c r="AH58" s="79">
        <v>18</v>
      </c>
      <c r="AI58" s="79">
        <v>19</v>
      </c>
      <c r="AJ58" s="79">
        <v>20</v>
      </c>
      <c r="AK58" s="79">
        <v>21</v>
      </c>
      <c r="AL58" s="79">
        <v>22</v>
      </c>
      <c r="AM58" s="79">
        <v>23</v>
      </c>
      <c r="AN58" s="79">
        <v>24</v>
      </c>
      <c r="AO58" s="79">
        <v>25</v>
      </c>
      <c r="AP58" s="79">
        <v>26</v>
      </c>
      <c r="AQ58" s="79">
        <v>27</v>
      </c>
      <c r="AR58" s="79">
        <v>28</v>
      </c>
      <c r="AS58" s="79">
        <v>29</v>
      </c>
      <c r="AT58" s="79">
        <v>30</v>
      </c>
      <c r="AU58" s="79">
        <v>31</v>
      </c>
      <c r="AV58" s="79">
        <v>32</v>
      </c>
      <c r="AW58" s="79">
        <v>33</v>
      </c>
      <c r="AX58" s="79">
        <v>34</v>
      </c>
      <c r="AY58" s="79">
        <v>35</v>
      </c>
      <c r="AZ58" s="79">
        <v>36</v>
      </c>
      <c r="BA58" s="79">
        <v>37</v>
      </c>
      <c r="BB58" s="79">
        <v>38</v>
      </c>
      <c r="BC58" s="79">
        <v>39</v>
      </c>
      <c r="BD58" s="79">
        <v>40</v>
      </c>
      <c r="BE58" s="79">
        <v>41</v>
      </c>
      <c r="BF58" s="79">
        <v>42</v>
      </c>
      <c r="BG58" s="79">
        <v>43</v>
      </c>
      <c r="BH58" s="79">
        <v>44</v>
      </c>
      <c r="BI58" s="79">
        <v>45</v>
      </c>
      <c r="BJ58" s="79">
        <v>46</v>
      </c>
      <c r="BK58" s="79">
        <v>47</v>
      </c>
      <c r="BL58" s="79">
        <v>48</v>
      </c>
      <c r="BM58" s="79">
        <v>49</v>
      </c>
      <c r="BN58" s="79">
        <v>50</v>
      </c>
      <c r="BO58" s="79">
        <v>51</v>
      </c>
      <c r="BP58" s="79">
        <v>52</v>
      </c>
      <c r="BQ58" s="79">
        <v>53</v>
      </c>
      <c r="BR58" s="79">
        <v>54</v>
      </c>
      <c r="BS58" s="79">
        <v>55</v>
      </c>
      <c r="BT58" s="79">
        <v>56</v>
      </c>
      <c r="BU58" s="79">
        <v>57</v>
      </c>
      <c r="BV58" s="79">
        <v>58</v>
      </c>
      <c r="BW58" s="79">
        <v>59</v>
      </c>
      <c r="BX58" s="79">
        <v>60</v>
      </c>
      <c r="BY58" s="79">
        <v>61</v>
      </c>
      <c r="BZ58" s="79">
        <v>62</v>
      </c>
      <c r="CA58" s="79">
        <v>63</v>
      </c>
      <c r="CB58" s="79">
        <v>64</v>
      </c>
      <c r="CC58" s="79">
        <v>65</v>
      </c>
      <c r="CD58" s="79">
        <v>66</v>
      </c>
      <c r="CE58" s="79">
        <v>67</v>
      </c>
      <c r="CF58" s="79">
        <v>68</v>
      </c>
      <c r="CG58" s="79">
        <v>69</v>
      </c>
      <c r="CH58" s="79">
        <v>70</v>
      </c>
      <c r="CI58" s="79">
        <v>71</v>
      </c>
      <c r="CJ58" s="79">
        <v>72</v>
      </c>
      <c r="CK58" s="79">
        <v>73</v>
      </c>
      <c r="CL58" s="79">
        <v>74</v>
      </c>
      <c r="CM58" s="222">
        <v>75</v>
      </c>
      <c r="CN58" s="183"/>
      <c r="CO58" s="183"/>
      <c r="CP58" s="183"/>
      <c r="CQ58" s="183"/>
      <c r="CR58" s="183"/>
      <c r="CS58" s="183"/>
      <c r="CT58" s="183"/>
      <c r="CU58" s="183"/>
      <c r="CV58" s="183"/>
      <c r="CW58" s="183"/>
      <c r="CX58" s="61"/>
      <c r="CY58" s="331"/>
      <c r="CZ58" s="331"/>
      <c r="DA58" s="331"/>
      <c r="DB58" s="331"/>
      <c r="DC58" s="331"/>
      <c r="DD58" s="331"/>
      <c r="DE58" s="331"/>
      <c r="DF58" s="331"/>
      <c r="DG58" s="331"/>
      <c r="DH58" s="331"/>
      <c r="DI58" s="331"/>
      <c r="DJ58" s="331"/>
      <c r="DW58" s="92">
        <v>1962</v>
      </c>
      <c r="DX58" s="16">
        <v>53400</v>
      </c>
      <c r="DY58" s="46">
        <v>55500</v>
      </c>
      <c r="DZ58" s="46">
        <v>57600</v>
      </c>
      <c r="EA58" s="46">
        <v>60600</v>
      </c>
      <c r="EB58" s="46">
        <v>61200</v>
      </c>
      <c r="EC58" s="46">
        <v>62652</v>
      </c>
      <c r="ED58" s="46">
        <v>65196</v>
      </c>
      <c r="EE58" s="46">
        <v>67944</v>
      </c>
      <c r="EF58" s="46">
        <v>71664</v>
      </c>
      <c r="EG58" s="46">
        <v>74748</v>
      </c>
      <c r="EH58" s="46">
        <v>78228</v>
      </c>
      <c r="EI58" s="46">
        <v>81828</v>
      </c>
      <c r="EJ58" s="46">
        <v>83448</v>
      </c>
      <c r="EK58" s="140">
        <v>84120</v>
      </c>
      <c r="EN58" s="42">
        <v>1962</v>
      </c>
      <c r="EO58" s="105">
        <v>32400</v>
      </c>
      <c r="EP58" s="126">
        <v>35700</v>
      </c>
      <c r="EQ58" s="148">
        <v>37800</v>
      </c>
      <c r="ER58" s="126">
        <v>39600</v>
      </c>
      <c r="ES58" s="126">
        <v>42000</v>
      </c>
      <c r="ET58" s="126">
        <v>43800</v>
      </c>
      <c r="EU58" s="126">
        <v>45000</v>
      </c>
      <c r="EV58" s="40">
        <v>48000</v>
      </c>
      <c r="EW58" s="126">
        <v>51300</v>
      </c>
      <c r="EX58" s="200">
        <v>53400</v>
      </c>
      <c r="EY58" s="46">
        <v>55500</v>
      </c>
      <c r="EZ58" s="46">
        <v>57600</v>
      </c>
      <c r="FA58" s="46">
        <v>60600</v>
      </c>
      <c r="FB58" s="46">
        <v>61200</v>
      </c>
      <c r="FC58" s="46">
        <v>62652</v>
      </c>
      <c r="FD58" s="46">
        <v>65196</v>
      </c>
      <c r="FE58" s="46">
        <v>67944</v>
      </c>
      <c r="FF58" s="46">
        <v>71664</v>
      </c>
      <c r="FG58" s="46">
        <v>74748</v>
      </c>
      <c r="FH58" s="46">
        <v>78228</v>
      </c>
      <c r="FI58" s="46">
        <v>81828</v>
      </c>
      <c r="FJ58" s="46">
        <v>83448</v>
      </c>
      <c r="FK58" s="140">
        <v>84120</v>
      </c>
    </row>
    <row r="59" spans="2:167" ht="15.75" x14ac:dyDescent="0.25">
      <c r="B59" s="61"/>
      <c r="C59" s="61"/>
      <c r="D59" s="207">
        <v>54</v>
      </c>
      <c r="E59" s="125">
        <v>1.575</v>
      </c>
      <c r="F59" s="61"/>
      <c r="G59" s="61"/>
      <c r="H59" s="61"/>
      <c r="I59" s="61"/>
      <c r="J59" s="19">
        <v>55</v>
      </c>
      <c r="K59" s="121">
        <v>0.69444444444444553</v>
      </c>
      <c r="L59" s="61"/>
      <c r="M59" s="294">
        <v>55</v>
      </c>
      <c r="N59" s="121">
        <v>1.7391643849820868</v>
      </c>
      <c r="O59" s="61"/>
      <c r="P59" s="87">
        <v>55</v>
      </c>
      <c r="Q59" s="189">
        <v>0.81339765695614841</v>
      </c>
      <c r="R59" s="52">
        <v>0.81424126415066844</v>
      </c>
      <c r="S59" s="52">
        <v>0.81511804978989777</v>
      </c>
      <c r="T59" s="52">
        <v>0.81602911459403205</v>
      </c>
      <c r="U59" s="52">
        <v>0.81697558900929057</v>
      </c>
      <c r="V59" s="52">
        <v>0.81795863477587094</v>
      </c>
      <c r="W59" s="52">
        <v>0.81897944403768341</v>
      </c>
      <c r="X59" s="52">
        <v>0.82003923330841255</v>
      </c>
      <c r="Y59" s="52">
        <v>0.82113923658837462</v>
      </c>
      <c r="Z59" s="52">
        <v>0.82228069874618592</v>
      </c>
      <c r="AA59" s="52">
        <v>0.82346486671592856</v>
      </c>
      <c r="AB59" s="52">
        <v>0.82469297970659261</v>
      </c>
      <c r="AC59" s="52">
        <v>0.82596625846410665</v>
      </c>
      <c r="AD59" s="52">
        <v>0.82728589369128847</v>
      </c>
      <c r="AE59" s="52">
        <v>0.82865303685454317</v>
      </c>
      <c r="AF59" s="52">
        <v>0.83006878623218061</v>
      </c>
      <c r="AG59" s="52">
        <v>0.83154255244775066</v>
      </c>
      <c r="AH59" s="52">
        <v>0.83308629412202406</v>
      </c>
      <c r="AI59" s="52">
        <v>0.83470168012653811</v>
      </c>
      <c r="AJ59" s="52">
        <v>0.83639019075359278</v>
      </c>
      <c r="AK59" s="52">
        <v>0.83815309736142374</v>
      </c>
      <c r="AL59" s="52">
        <v>0.8399914435490472</v>
      </c>
      <c r="AM59" s="52">
        <v>0.84190603596915869</v>
      </c>
      <c r="AN59" s="52">
        <v>0.84389742051802463</v>
      </c>
      <c r="AO59" s="52">
        <v>0.8459660674750219</v>
      </c>
      <c r="AP59" s="52">
        <v>0.84811242279265942</v>
      </c>
      <c r="AQ59" s="52">
        <v>0.85033664227311889</v>
      </c>
      <c r="AR59" s="52">
        <v>0.85263856547223038</v>
      </c>
      <c r="AS59" s="52">
        <v>0.85501769419992102</v>
      </c>
      <c r="AT59" s="52">
        <v>0.8574734414786036</v>
      </c>
      <c r="AU59" s="52">
        <v>0.86000520829456584</v>
      </c>
      <c r="AV59" s="52">
        <v>0.86261205043124511</v>
      </c>
      <c r="AW59" s="52">
        <v>0.86529264521082949</v>
      </c>
      <c r="AX59" s="52">
        <v>0.86804526973536966</v>
      </c>
      <c r="AY59" s="52">
        <v>0.87086803648539768</v>
      </c>
      <c r="AZ59" s="52">
        <v>0.87375899023269143</v>
      </c>
      <c r="BA59" s="52">
        <v>0.87671583846724876</v>
      </c>
      <c r="BB59" s="52">
        <v>0.87973594781866848</v>
      </c>
      <c r="BC59" s="52">
        <v>0.88281635025674177</v>
      </c>
      <c r="BD59" s="52">
        <v>0.88595369437723326</v>
      </c>
      <c r="BE59" s="52">
        <v>0.88914422422434614</v>
      </c>
      <c r="BF59" s="52">
        <v>0.89238386821840687</v>
      </c>
      <c r="BG59" s="52">
        <v>0.89566826339507299</v>
      </c>
      <c r="BH59" s="52">
        <v>0.89899278817010642</v>
      </c>
      <c r="BI59" s="52">
        <v>0.90235251486991941</v>
      </c>
      <c r="BJ59" s="52">
        <v>0.90574220823422125</v>
      </c>
      <c r="BK59" s="52">
        <v>0.90915647971426683</v>
      </c>
      <c r="BL59" s="52">
        <v>0.91258985963377826</v>
      </c>
      <c r="BM59" s="52">
        <v>0.91603681547988702</v>
      </c>
      <c r="BN59" s="52">
        <v>0.91949159415869053</v>
      </c>
      <c r="BO59" s="52">
        <v>0.92294819756907309</v>
      </c>
      <c r="BP59" s="52">
        <v>0.92640064061666938</v>
      </c>
      <c r="BQ59" s="52">
        <v>0.9298431120978331</v>
      </c>
      <c r="BR59" s="52">
        <v>0.93326987062788358</v>
      </c>
      <c r="BS59" s="52">
        <v>0.93667508430674429</v>
      </c>
      <c r="BT59" s="52">
        <v>0.94005279923896023</v>
      </c>
      <c r="BU59" s="52">
        <v>0.94339705600580237</v>
      </c>
      <c r="BV59" s="52">
        <v>0.9467022217698271</v>
      </c>
      <c r="BW59" s="52">
        <v>0.94996306432500432</v>
      </c>
      <c r="BX59" s="52">
        <v>0.95317454912066835</v>
      </c>
      <c r="BY59" s="52">
        <v>0.95633175959185812</v>
      </c>
      <c r="BZ59" s="52">
        <v>0.95943025139239768</v>
      </c>
      <c r="CA59" s="52">
        <v>0.96246612570388246</v>
      </c>
      <c r="CB59" s="52">
        <v>0.96543611093842463</v>
      </c>
      <c r="CC59" s="52">
        <v>0.96833753905858799</v>
      </c>
      <c r="CD59" s="52">
        <v>0.97116838790736704</v>
      </c>
      <c r="CE59" s="52">
        <v>0.97392753593703119</v>
      </c>
      <c r="CF59" s="52">
        <v>0.97661441681952599</v>
      </c>
      <c r="CG59" s="52">
        <v>0.97922814791776103</v>
      </c>
      <c r="CH59" s="52">
        <v>0.9817671064734601</v>
      </c>
      <c r="CI59" s="52">
        <v>0.98422933484840758</v>
      </c>
      <c r="CJ59" s="52">
        <v>0.98661314028762315</v>
      </c>
      <c r="CK59" s="52">
        <v>0.98891706648366318</v>
      </c>
      <c r="CL59" s="52">
        <v>0.99114019184712909</v>
      </c>
      <c r="CM59" s="159">
        <v>0.99328236623987753</v>
      </c>
      <c r="CN59" s="61"/>
      <c r="CO59" s="61"/>
      <c r="CP59" s="61"/>
      <c r="CQ59" s="61"/>
      <c r="CR59" s="61"/>
      <c r="CS59" s="61"/>
      <c r="CT59" s="61"/>
      <c r="CU59" s="61"/>
      <c r="CV59" s="61"/>
      <c r="CW59" s="61"/>
      <c r="CX59" s="61"/>
      <c r="CY59" s="243"/>
      <c r="CZ59" s="243"/>
      <c r="DA59" s="243"/>
      <c r="DB59" s="243"/>
      <c r="DC59" s="243"/>
      <c r="DD59" s="243"/>
      <c r="DE59" s="243"/>
      <c r="DF59" s="243"/>
      <c r="DG59" s="243"/>
      <c r="DH59" s="243"/>
      <c r="DI59" s="243"/>
      <c r="DJ59" s="243"/>
      <c r="DK59" s="111" t="s">
        <v>687</v>
      </c>
      <c r="DL59" s="111"/>
      <c r="DM59" s="155">
        <v>0.17230000000000001</v>
      </c>
      <c r="DN59" s="89" t="s">
        <v>204</v>
      </c>
      <c r="DO59" s="111" t="s">
        <v>748</v>
      </c>
      <c r="DW59" s="92">
        <v>1963</v>
      </c>
      <c r="DX59" s="16">
        <v>53400</v>
      </c>
      <c r="DY59" s="46">
        <v>55500</v>
      </c>
      <c r="DZ59" s="46">
        <v>57600</v>
      </c>
      <c r="EA59" s="46">
        <v>60600</v>
      </c>
      <c r="EB59" s="46">
        <v>61200</v>
      </c>
      <c r="EC59" s="46">
        <v>62700</v>
      </c>
      <c r="ED59" s="46">
        <v>65316</v>
      </c>
      <c r="EE59" s="46">
        <v>68148</v>
      </c>
      <c r="EF59" s="46">
        <v>71988</v>
      </c>
      <c r="EG59" s="46">
        <v>75180</v>
      </c>
      <c r="EH59" s="46">
        <v>78780</v>
      </c>
      <c r="EI59" s="46">
        <v>82500</v>
      </c>
      <c r="EJ59" s="46">
        <v>84180</v>
      </c>
      <c r="EK59" s="140">
        <v>84876</v>
      </c>
      <c r="EN59" s="42">
        <v>1963</v>
      </c>
      <c r="EO59" s="105">
        <v>32400</v>
      </c>
      <c r="EP59" s="126">
        <v>35700</v>
      </c>
      <c r="EQ59" s="148">
        <v>37800</v>
      </c>
      <c r="ER59" s="126">
        <v>39600</v>
      </c>
      <c r="ES59" s="126">
        <v>42000</v>
      </c>
      <c r="ET59" s="126">
        <v>43800</v>
      </c>
      <c r="EU59" s="126">
        <v>45000</v>
      </c>
      <c r="EV59" s="40">
        <v>48000</v>
      </c>
      <c r="EW59" s="126">
        <v>51300</v>
      </c>
      <c r="EX59" s="200">
        <v>53400</v>
      </c>
      <c r="EY59" s="46">
        <v>55500</v>
      </c>
      <c r="EZ59" s="46">
        <v>57600</v>
      </c>
      <c r="FA59" s="46">
        <v>60600</v>
      </c>
      <c r="FB59" s="46">
        <v>61200</v>
      </c>
      <c r="FC59" s="46">
        <v>62700</v>
      </c>
      <c r="FD59" s="46">
        <v>65316</v>
      </c>
      <c r="FE59" s="46">
        <v>68148</v>
      </c>
      <c r="FF59" s="46">
        <v>71988</v>
      </c>
      <c r="FG59" s="46">
        <v>75180</v>
      </c>
      <c r="FH59" s="46">
        <v>78780</v>
      </c>
      <c r="FI59" s="46">
        <v>82500</v>
      </c>
      <c r="FJ59" s="46">
        <v>84180</v>
      </c>
      <c r="FK59" s="140">
        <v>84876</v>
      </c>
    </row>
    <row r="60" spans="2:167" ht="15.75" x14ac:dyDescent="0.25">
      <c r="B60" s="61"/>
      <c r="C60" s="61"/>
      <c r="D60" s="207">
        <v>55</v>
      </c>
      <c r="E60" s="125">
        <v>1.5891999999999999</v>
      </c>
      <c r="F60" s="61"/>
      <c r="G60" s="61"/>
      <c r="H60" s="61"/>
      <c r="I60" s="61"/>
      <c r="J60" s="19">
        <v>56</v>
      </c>
      <c r="K60" s="121">
        <v>0.68888888888888999</v>
      </c>
      <c r="L60" s="61"/>
      <c r="M60" s="294">
        <v>56</v>
      </c>
      <c r="N60" s="121">
        <v>1.7576107546470281</v>
      </c>
      <c r="O60" s="61"/>
      <c r="P60" s="87">
        <v>56</v>
      </c>
      <c r="Q60" s="47">
        <v>0.80604957899182583</v>
      </c>
      <c r="R60" s="187">
        <v>0.80689855870490312</v>
      </c>
      <c r="S60" s="187">
        <v>0.80778089247677221</v>
      </c>
      <c r="T60" s="187">
        <v>0.80869767653130908</v>
      </c>
      <c r="U60" s="187">
        <v>0.8096500353325865</v>
      </c>
      <c r="V60" s="187">
        <v>0.81063912260707982</v>
      </c>
      <c r="W60" s="187">
        <v>0.81166612292019547</v>
      </c>
      <c r="X60" s="187">
        <v>0.81273225058850029</v>
      </c>
      <c r="Y60" s="187">
        <v>0.81383874302000869</v>
      </c>
      <c r="Z60" s="187">
        <v>0.81498685312524344</v>
      </c>
      <c r="AA60" s="187">
        <v>0.81617784200248589</v>
      </c>
      <c r="AB60" s="187">
        <v>0.81741296924436313</v>
      </c>
      <c r="AC60" s="187">
        <v>0.81869348215699433</v>
      </c>
      <c r="AD60" s="187">
        <v>0.82002060393113763</v>
      </c>
      <c r="AE60" s="187">
        <v>0.82139552087439416</v>
      </c>
      <c r="AF60" s="187">
        <v>0.82281937219511025</v>
      </c>
      <c r="AG60" s="187">
        <v>0.82430214359925968</v>
      </c>
      <c r="AH60" s="187">
        <v>0.82585657898478948</v>
      </c>
      <c r="AI60" s="187">
        <v>0.82748450483152713</v>
      </c>
      <c r="AJ60" s="187">
        <v>0.8291875615962031</v>
      </c>
      <c r="AK60" s="187">
        <v>0.83096718286097371</v>
      </c>
      <c r="AL60" s="187">
        <v>0.83282457604939208</v>
      </c>
      <c r="AM60" s="187">
        <v>0.83476071310111499</v>
      </c>
      <c r="AN60" s="187">
        <v>0.83677630565825956</v>
      </c>
      <c r="AO60" s="187">
        <v>0.83887200290613617</v>
      </c>
      <c r="AP60" s="187">
        <v>0.84104844772647369</v>
      </c>
      <c r="AQ60" s="187">
        <v>0.84330599377738669</v>
      </c>
      <c r="AR60" s="187">
        <v>0.84564467763945605</v>
      </c>
      <c r="AS60" s="187">
        <v>0.84806419601933758</v>
      </c>
      <c r="AT60" s="187">
        <v>0.85056417181354138</v>
      </c>
      <c r="AU60" s="187">
        <v>0.85314423729505195</v>
      </c>
      <c r="AV60" s="187">
        <v>0.85580367778242405</v>
      </c>
      <c r="AW60" s="187">
        <v>0.85854139528499962</v>
      </c>
      <c r="AX60" s="187">
        <v>0.86135588417737707</v>
      </c>
      <c r="AY60" s="187">
        <v>0.86424548254457845</v>
      </c>
      <c r="AZ60" s="187">
        <v>0.86720847567139314</v>
      </c>
      <c r="BA60" s="187">
        <v>0.87024280531705833</v>
      </c>
      <c r="BB60" s="187">
        <v>0.87334606336843523</v>
      </c>
      <c r="BC60" s="187">
        <v>0.87651549576002308</v>
      </c>
      <c r="BD60" s="187">
        <v>0.87974794645134868</v>
      </c>
      <c r="BE60" s="187">
        <v>0.88303983004719167</v>
      </c>
      <c r="BF60" s="187">
        <v>0.88638722296243733</v>
      </c>
      <c r="BG60" s="187">
        <v>0.88978588547693815</v>
      </c>
      <c r="BH60" s="187">
        <v>0.89323129278595959</v>
      </c>
      <c r="BI60" s="187">
        <v>0.89671857895071339</v>
      </c>
      <c r="BJ60" s="187">
        <v>0.90024252934905358</v>
      </c>
      <c r="BK60" s="187">
        <v>0.90379774188941853</v>
      </c>
      <c r="BL60" s="187">
        <v>0.90737870063788884</v>
      </c>
      <c r="BM60" s="187">
        <v>0.9109797915085075</v>
      </c>
      <c r="BN60" s="187">
        <v>0.91459512669370546</v>
      </c>
      <c r="BO60" s="187">
        <v>0.91821851247420405</v>
      </c>
      <c r="BP60" s="187">
        <v>0.92184372428991013</v>
      </c>
      <c r="BQ60" s="187">
        <v>0.92546467794163734</v>
      </c>
      <c r="BR60" s="187">
        <v>0.92907531439004165</v>
      </c>
      <c r="BS60" s="187">
        <v>0.93266942252453511</v>
      </c>
      <c r="BT60" s="187">
        <v>0.93624060265358455</v>
      </c>
      <c r="BU60" s="187">
        <v>0.93978239265690855</v>
      </c>
      <c r="BV60" s="187">
        <v>0.94328863372737837</v>
      </c>
      <c r="BW60" s="187">
        <v>0.94675355542280859</v>
      </c>
      <c r="BX60" s="187">
        <v>0.95017155850937218</v>
      </c>
      <c r="BY60" s="187">
        <v>0.95353713082090708</v>
      </c>
      <c r="BZ60" s="187">
        <v>0.95684523794939413</v>
      </c>
      <c r="CA60" s="187">
        <v>0.96009140812326232</v>
      </c>
      <c r="CB60" s="187">
        <v>0.96327182663736122</v>
      </c>
      <c r="CC60" s="187">
        <v>0.96638331489128149</v>
      </c>
      <c r="CD60" s="187">
        <v>0.96942338148629992</v>
      </c>
      <c r="CE60" s="187">
        <v>0.97239050721973408</v>
      </c>
      <c r="CF60" s="187">
        <v>0.97528377399169663</v>
      </c>
      <c r="CG60" s="187">
        <v>0.97810191400632218</v>
      </c>
      <c r="CH60" s="187">
        <v>0.98084284531970778</v>
      </c>
      <c r="CI60" s="187">
        <v>0.98350411581213315</v>
      </c>
      <c r="CJ60" s="187">
        <v>0.9860835635448103</v>
      </c>
      <c r="CK60" s="187">
        <v>0.98857929051102067</v>
      </c>
      <c r="CL60" s="187">
        <v>0.99098999339535232</v>
      </c>
      <c r="CM60" s="121">
        <v>0.99331522606721012</v>
      </c>
      <c r="CN60" s="61"/>
      <c r="CO60" s="61"/>
      <c r="CP60" s="61"/>
      <c r="CQ60" s="61"/>
      <c r="CR60" s="61"/>
      <c r="CS60" s="61"/>
      <c r="CT60" s="61"/>
      <c r="CU60" s="61"/>
      <c r="CV60" s="61"/>
      <c r="CW60" s="61"/>
      <c r="CX60" s="61"/>
      <c r="CY60" s="66"/>
      <c r="CZ60" s="66"/>
      <c r="DA60" s="66"/>
      <c r="DB60" s="66"/>
      <c r="DC60" s="66"/>
      <c r="DD60" s="66"/>
      <c r="DE60" s="66"/>
      <c r="DF60" s="66"/>
      <c r="DG60" s="66"/>
      <c r="DH60" s="66"/>
      <c r="DI60" s="66"/>
      <c r="DJ60" s="66"/>
      <c r="DW60" s="92">
        <v>1964</v>
      </c>
      <c r="DX60" s="16">
        <v>53400</v>
      </c>
      <c r="DY60" s="46">
        <v>55500</v>
      </c>
      <c r="DZ60" s="46">
        <v>57600</v>
      </c>
      <c r="EA60" s="46">
        <v>60600</v>
      </c>
      <c r="EB60" s="46">
        <v>61200</v>
      </c>
      <c r="EC60" s="46">
        <v>62700</v>
      </c>
      <c r="ED60" s="46">
        <v>65400</v>
      </c>
      <c r="EE60" s="46">
        <v>68304</v>
      </c>
      <c r="EF60" s="46">
        <v>72264</v>
      </c>
      <c r="EG60" s="46">
        <v>75564</v>
      </c>
      <c r="EH60" s="46">
        <v>79284</v>
      </c>
      <c r="EI60" s="46">
        <v>83136</v>
      </c>
      <c r="EJ60" s="46">
        <v>84876</v>
      </c>
      <c r="EK60" s="140">
        <v>85596</v>
      </c>
      <c r="EN60" s="42">
        <v>1964</v>
      </c>
      <c r="EO60" s="105">
        <v>32400</v>
      </c>
      <c r="EP60" s="126">
        <v>35700</v>
      </c>
      <c r="EQ60" s="148">
        <v>37800</v>
      </c>
      <c r="ER60" s="126">
        <v>39600</v>
      </c>
      <c r="ES60" s="126">
        <v>42000</v>
      </c>
      <c r="ET60" s="126">
        <v>43800</v>
      </c>
      <c r="EU60" s="126">
        <v>45000</v>
      </c>
      <c r="EV60" s="40">
        <v>48000</v>
      </c>
      <c r="EW60" s="126">
        <v>51300</v>
      </c>
      <c r="EX60" s="200">
        <v>53400</v>
      </c>
      <c r="EY60" s="46">
        <v>55500</v>
      </c>
      <c r="EZ60" s="46">
        <v>57600</v>
      </c>
      <c r="FA60" s="46">
        <v>60600</v>
      </c>
      <c r="FB60" s="46">
        <v>61200</v>
      </c>
      <c r="FC60" s="46">
        <v>62700</v>
      </c>
      <c r="FD60" s="46">
        <v>65400</v>
      </c>
      <c r="FE60" s="46">
        <v>68304</v>
      </c>
      <c r="FF60" s="46">
        <v>72264</v>
      </c>
      <c r="FG60" s="46">
        <v>75564</v>
      </c>
      <c r="FH60" s="46">
        <v>79284</v>
      </c>
      <c r="FI60" s="46">
        <v>83136</v>
      </c>
      <c r="FJ60" s="46">
        <v>84876</v>
      </c>
      <c r="FK60" s="140">
        <v>85596</v>
      </c>
    </row>
    <row r="61" spans="2:167" ht="15.75" x14ac:dyDescent="0.25">
      <c r="B61" s="61"/>
      <c r="C61" s="61"/>
      <c r="D61" s="207">
        <v>56</v>
      </c>
      <c r="E61" s="125">
        <v>1.6032999999999999</v>
      </c>
      <c r="F61" s="61"/>
      <c r="G61" s="61"/>
      <c r="H61" s="61"/>
      <c r="I61" s="61"/>
      <c r="J61" s="19">
        <v>57</v>
      </c>
      <c r="K61" s="121">
        <v>0.68333333333333446</v>
      </c>
      <c r="L61" s="61"/>
      <c r="M61" s="294">
        <v>57</v>
      </c>
      <c r="N61" s="121">
        <v>1.7760571243119698</v>
      </c>
      <c r="O61" s="61"/>
      <c r="P61" s="87">
        <v>57</v>
      </c>
      <c r="Q61" s="47">
        <v>0.79861157199098187</v>
      </c>
      <c r="R61" s="187">
        <v>0.79946598356828869</v>
      </c>
      <c r="S61" s="187">
        <v>0.80035391869388606</v>
      </c>
      <c r="T61" s="187">
        <v>0.80127646302737132</v>
      </c>
      <c r="U61" s="187">
        <v>0.80223473310642734</v>
      </c>
      <c r="V61" s="187">
        <v>0.80322987286169223</v>
      </c>
      <c r="W61" s="187">
        <v>0.80426305458062364</v>
      </c>
      <c r="X61" s="187">
        <v>0.80533548046479264</v>
      </c>
      <c r="Y61" s="187">
        <v>0.80644838129166208</v>
      </c>
      <c r="Z61" s="187">
        <v>0.8076030090263222</v>
      </c>
      <c r="AA61" s="187">
        <v>0.8088006284108793</v>
      </c>
      <c r="AB61" s="187">
        <v>0.8100425088332347</v>
      </c>
      <c r="AC61" s="187">
        <v>0.81132991359592188</v>
      </c>
      <c r="AD61" s="187">
        <v>0.81266408797962231</v>
      </c>
      <c r="AE61" s="187">
        <v>0.81404624613855869</v>
      </c>
      <c r="AF61" s="187">
        <v>0.81547755693922652</v>
      </c>
      <c r="AG61" s="187">
        <v>0.81696860369477131</v>
      </c>
      <c r="AH61" s="187">
        <v>0.81853295609827303</v>
      </c>
      <c r="AI61" s="187">
        <v>0.82017259832780809</v>
      </c>
      <c r="AJ61" s="187">
        <v>0.82188933092432059</v>
      </c>
      <c r="AK61" s="187">
        <v>0.82368474930097701</v>
      </c>
      <c r="AL61" s="187">
        <v>0.82556022399231188</v>
      </c>
      <c r="AM61" s="187">
        <v>0.82751689151033581</v>
      </c>
      <c r="AN61" s="187">
        <v>0.82955562834279983</v>
      </c>
      <c r="AO61" s="187">
        <v>0.83167726247340201</v>
      </c>
      <c r="AP61" s="187">
        <v>0.83388263491805248</v>
      </c>
      <c r="AQ61" s="187">
        <v>0.83617229874429921</v>
      </c>
      <c r="AR61" s="187">
        <v>0.83854648953058208</v>
      </c>
      <c r="AS61" s="187">
        <v>0.84100510094393588</v>
      </c>
      <c r="AT61" s="187">
        <v>0.84354796934518772</v>
      </c>
      <c r="AU61" s="187">
        <v>0.84617496435815198</v>
      </c>
      <c r="AV61" s="187">
        <v>0.84888560811430558</v>
      </c>
      <c r="AW61" s="187">
        <v>0.8516790356142272</v>
      </c>
      <c r="AX61" s="187">
        <v>0.85455396778904957</v>
      </c>
      <c r="AY61" s="187">
        <v>0.85750897989593022</v>
      </c>
      <c r="AZ61" s="187">
        <v>0.86054261291585921</v>
      </c>
      <c r="BA61" s="187">
        <v>0.86365306062590508</v>
      </c>
      <c r="BB61" s="187">
        <v>0.8668381605552492</v>
      </c>
      <c r="BC61" s="187">
        <v>0.87009539557420856</v>
      </c>
      <c r="BD61" s="187">
        <v>0.87342183082877467</v>
      </c>
      <c r="BE61" s="187">
        <v>0.87681408005399941</v>
      </c>
      <c r="BF61" s="187">
        <v>0.88026839903219467</v>
      </c>
      <c r="BG61" s="187">
        <v>0.88378070482303872</v>
      </c>
      <c r="BH61" s="187">
        <v>0.88734660504670038</v>
      </c>
      <c r="BI61" s="187">
        <v>0.89096133301224456</v>
      </c>
      <c r="BJ61" s="187">
        <v>0.89461973395694772</v>
      </c>
      <c r="BK61" s="187">
        <v>0.89831643327264166</v>
      </c>
      <c r="BL61" s="187">
        <v>0.90204591080861674</v>
      </c>
      <c r="BM61" s="187">
        <v>0.90580251344827667</v>
      </c>
      <c r="BN61" s="187">
        <v>0.90958026037002448</v>
      </c>
      <c r="BO61" s="187">
        <v>0.91337280199480952</v>
      </c>
      <c r="BP61" s="187">
        <v>0.91717371250251567</v>
      </c>
      <c r="BQ61" s="187">
        <v>0.92097667161882235</v>
      </c>
      <c r="BR61" s="187">
        <v>0.92477533626185549</v>
      </c>
      <c r="BS61" s="187">
        <v>0.92856314439512622</v>
      </c>
      <c r="BT61" s="187">
        <v>0.93233327146276035</v>
      </c>
      <c r="BU61" s="187">
        <v>0.9360787646318518</v>
      </c>
      <c r="BV61" s="187">
        <v>0.93979294149012027</v>
      </c>
      <c r="BW61" s="187">
        <v>0.94346948815267784</v>
      </c>
      <c r="BX61" s="187">
        <v>0.94710222724940762</v>
      </c>
      <c r="BY61" s="187">
        <v>0.95068502897524287</v>
      </c>
      <c r="BZ61" s="187">
        <v>0.95421224107265423</v>
      </c>
      <c r="CA61" s="187">
        <v>0.95767878684388508</v>
      </c>
      <c r="CB61" s="187">
        <v>0.96108027365230575</v>
      </c>
      <c r="CC61" s="187">
        <v>0.96441297567273154</v>
      </c>
      <c r="CD61" s="187">
        <v>0.96767389459030406</v>
      </c>
      <c r="CE61" s="187">
        <v>0.97086107706804026</v>
      </c>
      <c r="CF61" s="187">
        <v>0.9739732156903439</v>
      </c>
      <c r="CG61" s="187">
        <v>0.9770086126960893</v>
      </c>
      <c r="CH61" s="187">
        <v>0.97996467219648131</v>
      </c>
      <c r="CI61" s="187">
        <v>0.98283838598424744</v>
      </c>
      <c r="CJ61" s="187">
        <v>0.98562705978216425</v>
      </c>
      <c r="CK61" s="187">
        <v>0.98832828862378252</v>
      </c>
      <c r="CL61" s="187">
        <v>0.99094032525423714</v>
      </c>
      <c r="CM61" s="121">
        <v>0.99346237355543754</v>
      </c>
      <c r="CN61" s="61"/>
      <c r="CO61" s="61"/>
      <c r="CP61" s="61"/>
      <c r="CQ61" s="61"/>
      <c r="CR61" s="61"/>
      <c r="CS61" s="61"/>
      <c r="CT61" s="61"/>
      <c r="CU61" s="61"/>
      <c r="CV61" s="61"/>
      <c r="CW61" s="61"/>
      <c r="CX61" s="61"/>
      <c r="CY61" s="66"/>
      <c r="CZ61" s="66"/>
      <c r="DA61" s="66"/>
      <c r="DB61" s="66"/>
      <c r="DC61" s="66"/>
      <c r="DD61" s="66"/>
      <c r="DE61" s="66"/>
      <c r="DF61" s="66"/>
      <c r="DG61" s="66"/>
      <c r="DH61" s="66"/>
      <c r="DI61" s="66"/>
      <c r="DJ61" s="66"/>
      <c r="DW61" s="92">
        <v>1965</v>
      </c>
      <c r="DX61" s="16">
        <v>53400</v>
      </c>
      <c r="DY61" s="46">
        <v>55500</v>
      </c>
      <c r="DZ61" s="46">
        <v>57600</v>
      </c>
      <c r="EA61" s="46">
        <v>60600</v>
      </c>
      <c r="EB61" s="46">
        <v>61200</v>
      </c>
      <c r="EC61" s="46">
        <v>62700</v>
      </c>
      <c r="ED61" s="46">
        <v>65400</v>
      </c>
      <c r="EE61" s="46">
        <v>68400</v>
      </c>
      <c r="EF61" s="46">
        <v>72480</v>
      </c>
      <c r="EG61" s="46">
        <v>75864</v>
      </c>
      <c r="EH61" s="46">
        <v>79704</v>
      </c>
      <c r="EI61" s="46">
        <v>83700</v>
      </c>
      <c r="EJ61" s="46">
        <v>85500</v>
      </c>
      <c r="EK61" s="140">
        <v>86244</v>
      </c>
      <c r="EN61" s="42">
        <v>1965</v>
      </c>
      <c r="EO61" s="105">
        <v>32400</v>
      </c>
      <c r="EP61" s="126">
        <v>35700</v>
      </c>
      <c r="EQ61" s="148">
        <v>37800</v>
      </c>
      <c r="ER61" s="126">
        <v>39600</v>
      </c>
      <c r="ES61" s="126">
        <v>42000</v>
      </c>
      <c r="ET61" s="126">
        <v>43800</v>
      </c>
      <c r="EU61" s="126">
        <v>45000</v>
      </c>
      <c r="EV61" s="40">
        <v>48000</v>
      </c>
      <c r="EW61" s="126">
        <v>51300</v>
      </c>
      <c r="EX61" s="200">
        <v>53400</v>
      </c>
      <c r="EY61" s="46">
        <v>55500</v>
      </c>
      <c r="EZ61" s="46">
        <v>57600</v>
      </c>
      <c r="FA61" s="46">
        <v>60600</v>
      </c>
      <c r="FB61" s="46">
        <v>61200</v>
      </c>
      <c r="FC61" s="46">
        <v>62700</v>
      </c>
      <c r="FD61" s="46">
        <v>65400</v>
      </c>
      <c r="FE61" s="46">
        <v>68400</v>
      </c>
      <c r="FF61" s="46">
        <v>72480</v>
      </c>
      <c r="FG61" s="46">
        <v>75864</v>
      </c>
      <c r="FH61" s="46">
        <v>79704</v>
      </c>
      <c r="FI61" s="46">
        <v>83700</v>
      </c>
      <c r="FJ61" s="46">
        <v>85500</v>
      </c>
      <c r="FK61" s="140">
        <v>86244</v>
      </c>
    </row>
    <row r="62" spans="2:167" ht="15.75" x14ac:dyDescent="0.25">
      <c r="B62" s="61"/>
      <c r="C62" s="61"/>
      <c r="D62" s="207">
        <v>57</v>
      </c>
      <c r="E62" s="125">
        <v>1.6174999999999999</v>
      </c>
      <c r="F62" s="61"/>
      <c r="G62" s="61"/>
      <c r="H62" s="61"/>
      <c r="I62" s="61"/>
      <c r="J62" s="19">
        <v>58</v>
      </c>
      <c r="K62" s="121">
        <v>0.67777777777777892</v>
      </c>
      <c r="L62" s="61"/>
      <c r="M62" s="294">
        <v>58</v>
      </c>
      <c r="N62" s="121">
        <v>1.7945034939769118</v>
      </c>
      <c r="O62" s="61"/>
      <c r="P62" s="87">
        <v>58</v>
      </c>
      <c r="Q62" s="47">
        <v>0.79110893055001974</v>
      </c>
      <c r="R62" s="187">
        <v>0.79196886131908073</v>
      </c>
      <c r="S62" s="187">
        <v>0.79286248401114956</v>
      </c>
      <c r="T62" s="187">
        <v>0.7937908672960623</v>
      </c>
      <c r="U62" s="187">
        <v>0.79475511297951784</v>
      </c>
      <c r="V62" s="187">
        <v>0.79575635284097235</v>
      </c>
      <c r="W62" s="187">
        <v>0.79679574468123671</v>
      </c>
      <c r="X62" s="187">
        <v>0.79787447318884297</v>
      </c>
      <c r="Y62" s="187">
        <v>0.7989937514399057</v>
      </c>
      <c r="Z62" s="187">
        <v>0.80015481924172127</v>
      </c>
      <c r="AA62" s="187">
        <v>0.80135893489022303</v>
      </c>
      <c r="AB62" s="187">
        <v>0.80260736579575331</v>
      </c>
      <c r="AC62" s="187">
        <v>0.80390137938717876</v>
      </c>
      <c r="AD62" s="187">
        <v>0.80524223116197446</v>
      </c>
      <c r="AE62" s="187">
        <v>0.80663115139031139</v>
      </c>
      <c r="AF62" s="187">
        <v>0.80806933050594243</v>
      </c>
      <c r="AG62" s="187">
        <v>0.80956797265357272</v>
      </c>
      <c r="AH62" s="187">
        <v>0.81114151633529463</v>
      </c>
      <c r="AI62" s="187">
        <v>0.81279210360831466</v>
      </c>
      <c r="AJ62" s="187">
        <v>0.81452169505040384</v>
      </c>
      <c r="AK62" s="187">
        <v>0.81633204759571087</v>
      </c>
      <c r="AL62" s="187">
        <v>0.81822469415671206</v>
      </c>
      <c r="AM62" s="187">
        <v>0.82020093469698574</v>
      </c>
      <c r="AN62" s="187">
        <v>0.82226180931256565</v>
      </c>
      <c r="AO62" s="187">
        <v>0.82440832419081778</v>
      </c>
      <c r="AP62" s="187">
        <v>0.82664151918640905</v>
      </c>
      <c r="AQ62" s="187">
        <v>0.82896214767914445</v>
      </c>
      <c r="AR62" s="187">
        <v>0.83137064538542982</v>
      </c>
      <c r="AS62" s="187">
        <v>0.83386710439119749</v>
      </c>
      <c r="AT62" s="187">
        <v>0.83645157727049713</v>
      </c>
      <c r="AU62" s="187">
        <v>0.83912417604783163</v>
      </c>
      <c r="AV62" s="187">
        <v>0.84188466576040433</v>
      </c>
      <c r="AW62" s="187">
        <v>0.84473242159785011</v>
      </c>
      <c r="AX62" s="187">
        <v>0.84766639917638797</v>
      </c>
      <c r="AY62" s="187">
        <v>0.85068542129205083</v>
      </c>
      <c r="AZ62" s="187">
        <v>0.85378829821176583</v>
      </c>
      <c r="BA62" s="187">
        <v>0.85697349179753979</v>
      </c>
      <c r="BB62" s="187">
        <v>0.86023910400042403</v>
      </c>
      <c r="BC62" s="187">
        <v>0.86358287622892504</v>
      </c>
      <c r="BD62" s="187">
        <v>0.86700211885308442</v>
      </c>
      <c r="BE62" s="187">
        <v>0.87049367154615598</v>
      </c>
      <c r="BF62" s="187">
        <v>0.87405399960482366</v>
      </c>
      <c r="BG62" s="187">
        <v>0.87767921004258098</v>
      </c>
      <c r="BH62" s="187">
        <v>0.88136507844914047</v>
      </c>
      <c r="BI62" s="187">
        <v>0.88510697472720923</v>
      </c>
      <c r="BJ62" s="187">
        <v>0.88889984300524794</v>
      </c>
      <c r="BK62" s="187">
        <v>0.89273837781327336</v>
      </c>
      <c r="BL62" s="187">
        <v>0.89661709869337147</v>
      </c>
      <c r="BM62" s="187">
        <v>0.90053035847499985</v>
      </c>
      <c r="BN62" s="187">
        <v>0.90447212748151662</v>
      </c>
      <c r="BO62" s="187">
        <v>0.9084359428368054</v>
      </c>
      <c r="BP62" s="187">
        <v>0.91241521942982673</v>
      </c>
      <c r="BQ62" s="187">
        <v>0.91640344222306291</v>
      </c>
      <c r="BR62" s="187">
        <v>0.92039402311126961</v>
      </c>
      <c r="BS62" s="187">
        <v>0.92438008290152829</v>
      </c>
      <c r="BT62" s="187">
        <v>0.92835439943461762</v>
      </c>
      <c r="BU62" s="187">
        <v>0.93230954877779848</v>
      </c>
      <c r="BV62" s="187">
        <v>0.93623833733471995</v>
      </c>
      <c r="BW62" s="187">
        <v>0.94013391031106153</v>
      </c>
      <c r="BX62" s="187">
        <v>0.943989504786516</v>
      </c>
      <c r="BY62" s="187">
        <v>0.94779835588420658</v>
      </c>
      <c r="BZ62" s="187">
        <v>0.95155416989552677</v>
      </c>
      <c r="CA62" s="187">
        <v>0.95525123625321284</v>
      </c>
      <c r="CB62" s="187">
        <v>0.9588845520256194</v>
      </c>
      <c r="CC62" s="187">
        <v>0.96244980897493548</v>
      </c>
      <c r="CD62" s="187">
        <v>0.96594346550545296</v>
      </c>
      <c r="CE62" s="187">
        <v>0.96936309984921787</v>
      </c>
      <c r="CF62" s="187">
        <v>0.97270697972866438</v>
      </c>
      <c r="CG62" s="187">
        <v>0.97597293201767787</v>
      </c>
      <c r="CH62" s="187">
        <v>0.97915778849493729</v>
      </c>
      <c r="CI62" s="187">
        <v>0.98225791888555358</v>
      </c>
      <c r="CJ62" s="187">
        <v>0.98527002930145213</v>
      </c>
      <c r="CK62" s="187">
        <v>0.98819113872662645</v>
      </c>
      <c r="CL62" s="187">
        <v>0.99101898784420406</v>
      </c>
      <c r="CM62" s="121">
        <v>0.99375236905316566</v>
      </c>
      <c r="CN62" s="61"/>
      <c r="CO62" s="61"/>
      <c r="CP62" s="61"/>
      <c r="CQ62" s="61"/>
      <c r="CR62" s="61"/>
      <c r="CS62" s="61"/>
      <c r="CT62" s="61"/>
      <c r="CU62" s="61"/>
      <c r="CV62" s="61"/>
      <c r="CW62" s="61"/>
      <c r="CX62" s="61"/>
      <c r="CY62" s="66"/>
      <c r="CZ62" s="66"/>
      <c r="DA62" s="66"/>
      <c r="DB62" s="66"/>
      <c r="DC62" s="66"/>
      <c r="DD62" s="66"/>
      <c r="DE62" s="66"/>
      <c r="DF62" s="66"/>
      <c r="DG62" s="66"/>
      <c r="DH62" s="66"/>
      <c r="DI62" s="66"/>
      <c r="DJ62" s="66"/>
      <c r="DP62" s="272"/>
      <c r="DW62" s="92">
        <v>1966</v>
      </c>
      <c r="DX62" s="16">
        <v>53400</v>
      </c>
      <c r="DY62" s="46">
        <v>55500</v>
      </c>
      <c r="DZ62" s="46">
        <v>57600</v>
      </c>
      <c r="EA62" s="46">
        <v>60600</v>
      </c>
      <c r="EB62" s="46">
        <v>61200</v>
      </c>
      <c r="EC62" s="46">
        <v>62700</v>
      </c>
      <c r="ED62" s="46">
        <v>65400</v>
      </c>
      <c r="EE62" s="46">
        <v>68400</v>
      </c>
      <c r="EF62" s="46">
        <v>72600</v>
      </c>
      <c r="EG62" s="46">
        <v>76092</v>
      </c>
      <c r="EH62" s="46">
        <v>80052</v>
      </c>
      <c r="EI62" s="46">
        <v>84168</v>
      </c>
      <c r="EJ62" s="46">
        <v>86028</v>
      </c>
      <c r="EK62" s="140">
        <v>86796</v>
      </c>
      <c r="EN62" s="42">
        <v>1966</v>
      </c>
      <c r="EO62" s="105">
        <v>32400</v>
      </c>
      <c r="EP62" s="126">
        <v>35700</v>
      </c>
      <c r="EQ62" s="148">
        <v>37800</v>
      </c>
      <c r="ER62" s="126">
        <v>39600</v>
      </c>
      <c r="ES62" s="126">
        <v>42000</v>
      </c>
      <c r="ET62" s="126">
        <v>43800</v>
      </c>
      <c r="EU62" s="126">
        <v>45000</v>
      </c>
      <c r="EV62" s="40">
        <v>48000</v>
      </c>
      <c r="EW62" s="126">
        <v>51300</v>
      </c>
      <c r="EX62" s="200">
        <v>53400</v>
      </c>
      <c r="EY62" s="46">
        <v>55500</v>
      </c>
      <c r="EZ62" s="46">
        <v>57600</v>
      </c>
      <c r="FA62" s="46">
        <v>60600</v>
      </c>
      <c r="FB62" s="46">
        <v>61200</v>
      </c>
      <c r="FC62" s="46">
        <v>62700</v>
      </c>
      <c r="FD62" s="46">
        <v>65400</v>
      </c>
      <c r="FE62" s="46">
        <v>68400</v>
      </c>
      <c r="FF62" s="46">
        <v>72600</v>
      </c>
      <c r="FG62" s="46">
        <v>76092</v>
      </c>
      <c r="FH62" s="46">
        <v>80052</v>
      </c>
      <c r="FI62" s="46">
        <v>84168</v>
      </c>
      <c r="FJ62" s="46">
        <v>86028</v>
      </c>
      <c r="FK62" s="140">
        <v>86796</v>
      </c>
    </row>
    <row r="63" spans="2:167" ht="15.75" x14ac:dyDescent="0.25">
      <c r="B63" s="61"/>
      <c r="C63" s="61"/>
      <c r="D63" s="207">
        <v>58</v>
      </c>
      <c r="E63" s="125">
        <v>1.6316999999999999</v>
      </c>
      <c r="F63" s="61"/>
      <c r="G63" s="61"/>
      <c r="H63" s="61"/>
      <c r="I63" s="61"/>
      <c r="J63" s="19">
        <v>59</v>
      </c>
      <c r="K63" s="121">
        <v>0.67222222222222339</v>
      </c>
      <c r="L63" s="61"/>
      <c r="M63" s="294">
        <v>59</v>
      </c>
      <c r="N63" s="121">
        <v>1.8129498636418533</v>
      </c>
      <c r="O63" s="61"/>
      <c r="P63" s="87">
        <v>59</v>
      </c>
      <c r="Q63" s="47">
        <v>0.78356444442591455</v>
      </c>
      <c r="R63" s="187">
        <v>0.78443000301545074</v>
      </c>
      <c r="S63" s="187">
        <v>0.78532942611905387</v>
      </c>
      <c r="T63" s="187">
        <v>0.78626375877498589</v>
      </c>
      <c r="U63" s="187">
        <v>0.78723408079933166</v>
      </c>
      <c r="V63" s="187">
        <v>0.78824150413810146</v>
      </c>
      <c r="W63" s="187">
        <v>0.78928716923175701</v>
      </c>
      <c r="X63" s="187">
        <v>0.79037224050539967</v>
      </c>
      <c r="Y63" s="187">
        <v>0.79149790708559464</v>
      </c>
      <c r="Z63" s="187">
        <v>0.79266538419094146</v>
      </c>
      <c r="AA63" s="187">
        <v>0.79387591107064315</v>
      </c>
      <c r="AB63" s="187">
        <v>0.79513074175306286</v>
      </c>
      <c r="AC63" s="187">
        <v>0.79643113453298608</v>
      </c>
      <c r="AD63" s="187">
        <v>0.79777834172708051</v>
      </c>
      <c r="AE63" s="187">
        <v>0.79917359628129936</v>
      </c>
      <c r="AF63" s="187">
        <v>0.80061809686264751</v>
      </c>
      <c r="AG63" s="187">
        <v>0.80212369707401432</v>
      </c>
      <c r="AH63" s="187">
        <v>0.80370574983814447</v>
      </c>
      <c r="AI63" s="187">
        <v>0.80536655524113265</v>
      </c>
      <c r="AJ63" s="187">
        <v>0.80710823394727482</v>
      </c>
      <c r="AK63" s="187">
        <v>0.80893270413136575</v>
      </c>
      <c r="AL63" s="187">
        <v>0.81084166042886741</v>
      </c>
      <c r="AM63" s="187">
        <v>0.81283656509826752</v>
      </c>
      <c r="AN63" s="187">
        <v>0.8149186201437727</v>
      </c>
      <c r="AO63" s="187">
        <v>0.81708900902228809</v>
      </c>
      <c r="AP63" s="187">
        <v>0.8193489706773569</v>
      </c>
      <c r="AQ63" s="187">
        <v>0.82169945916183773</v>
      </c>
      <c r="AR63" s="187">
        <v>0.82414111075974072</v>
      </c>
      <c r="AS63" s="187">
        <v>0.82667421652089268</v>
      </c>
      <c r="AT63" s="187">
        <v>0.82929904738683369</v>
      </c>
      <c r="AU63" s="187">
        <v>0.83201596205166528</v>
      </c>
      <c r="AV63" s="187">
        <v>0.83482497348732809</v>
      </c>
      <c r="AW63" s="187">
        <v>0.83772570301595262</v>
      </c>
      <c r="AX63" s="187">
        <v>0.84071734789482211</v>
      </c>
      <c r="AY63" s="187">
        <v>0.84379898767355088</v>
      </c>
      <c r="AZ63" s="187">
        <v>0.84696971437402424</v>
      </c>
      <c r="BA63" s="187">
        <v>0.85022827238401111</v>
      </c>
      <c r="BB63" s="187">
        <v>0.85357304514432575</v>
      </c>
      <c r="BC63" s="187">
        <v>0.85700205258689854</v>
      </c>
      <c r="BD63" s="187">
        <v>0.86051287297678358</v>
      </c>
      <c r="BE63" s="187">
        <v>0.86410259689747082</v>
      </c>
      <c r="BF63" s="187">
        <v>0.86776792753053256</v>
      </c>
      <c r="BG63" s="187">
        <v>0.87150519383441727</v>
      </c>
      <c r="BH63" s="187">
        <v>0.87531037468031891</v>
      </c>
      <c r="BI63" s="187">
        <v>0.87917901393608389</v>
      </c>
      <c r="BJ63" s="187">
        <v>0.88310619357095999</v>
      </c>
      <c r="BK63" s="187">
        <v>0.88708671884689072</v>
      </c>
      <c r="BL63" s="187">
        <v>0.89111519375545922</v>
      </c>
      <c r="BM63" s="187">
        <v>0.89518602424491345</v>
      </c>
      <c r="BN63" s="187">
        <v>0.89929317865205094</v>
      </c>
      <c r="BO63" s="187">
        <v>0.90343012601198258</v>
      </c>
      <c r="BP63" s="187">
        <v>0.90759016698320805</v>
      </c>
      <c r="BQ63" s="187">
        <v>0.91176663726481821</v>
      </c>
      <c r="BR63" s="187">
        <v>0.91595274754308686</v>
      </c>
      <c r="BS63" s="187">
        <v>0.92014134098220224</v>
      </c>
      <c r="BT63" s="187">
        <v>0.92432483080823613</v>
      </c>
      <c r="BU63" s="187">
        <v>0.92849534820710777</v>
      </c>
      <c r="BV63" s="187">
        <v>0.93264520900084869</v>
      </c>
      <c r="BW63" s="187">
        <v>0.93676703091284708</v>
      </c>
      <c r="BX63" s="187">
        <v>0.94085346625469279</v>
      </c>
      <c r="BY63" s="187">
        <v>0.94489710382053949</v>
      </c>
      <c r="BZ63" s="187">
        <v>0.94889098966462027</v>
      </c>
      <c r="CA63" s="187">
        <v>0.95282875483761376</v>
      </c>
      <c r="CB63" s="187">
        <v>0.95670475700051449</v>
      </c>
      <c r="CC63" s="187">
        <v>0.96051407298422864</v>
      </c>
      <c r="CD63" s="187">
        <v>0.96425258321534413</v>
      </c>
      <c r="CE63" s="187">
        <v>0.96791736499520842</v>
      </c>
      <c r="CF63" s="187">
        <v>0.97150622833356004</v>
      </c>
      <c r="CG63" s="187">
        <v>0.97501648119474749</v>
      </c>
      <c r="CH63" s="187">
        <v>0.97844432316286822</v>
      </c>
      <c r="CI63" s="187">
        <v>0.98178543122893103</v>
      </c>
      <c r="CJ63" s="187">
        <v>0.98503583965808594</v>
      </c>
      <c r="CK63" s="187">
        <v>0.98819191768460268</v>
      </c>
      <c r="CL63" s="187">
        <v>0.99125082185528579</v>
      </c>
      <c r="CM63" s="121">
        <v>0.99421086562962269</v>
      </c>
      <c r="CN63" s="61"/>
      <c r="CO63" s="61"/>
      <c r="CP63" s="61"/>
      <c r="CQ63" s="61"/>
      <c r="CR63" s="61"/>
      <c r="CS63" s="61"/>
      <c r="CT63" s="61"/>
      <c r="CU63" s="61"/>
      <c r="CV63" s="61"/>
      <c r="CW63" s="61"/>
      <c r="CX63" s="61"/>
      <c r="CY63" s="66"/>
      <c r="CZ63" s="66"/>
      <c r="DA63" s="66"/>
      <c r="DB63" s="66"/>
      <c r="DC63" s="66"/>
      <c r="DD63" s="66"/>
      <c r="DE63" s="66"/>
      <c r="DF63" s="66"/>
      <c r="DG63" s="66"/>
      <c r="DH63" s="66"/>
      <c r="DI63" s="66"/>
      <c r="DJ63" s="66"/>
      <c r="DP63" s="274"/>
      <c r="DW63" s="92">
        <v>1967</v>
      </c>
      <c r="DX63" s="16">
        <v>53400</v>
      </c>
      <c r="DY63" s="46">
        <v>55500</v>
      </c>
      <c r="DZ63" s="46">
        <v>57600</v>
      </c>
      <c r="EA63" s="46">
        <v>60600</v>
      </c>
      <c r="EB63" s="46">
        <v>61200</v>
      </c>
      <c r="EC63" s="46">
        <v>62700</v>
      </c>
      <c r="ED63" s="46">
        <v>65400</v>
      </c>
      <c r="EE63" s="46">
        <v>68400</v>
      </c>
      <c r="EF63" s="46">
        <v>72600</v>
      </c>
      <c r="EG63" s="46">
        <v>76200</v>
      </c>
      <c r="EH63" s="46">
        <v>80280</v>
      </c>
      <c r="EI63" s="46">
        <v>84516</v>
      </c>
      <c r="EJ63" s="46">
        <v>86436</v>
      </c>
      <c r="EK63" s="140">
        <v>87240</v>
      </c>
      <c r="EN63" s="42">
        <v>1967</v>
      </c>
      <c r="EO63" s="105">
        <v>32400</v>
      </c>
      <c r="EP63" s="126">
        <v>35700</v>
      </c>
      <c r="EQ63" s="148">
        <v>37800</v>
      </c>
      <c r="ER63" s="126">
        <v>39600</v>
      </c>
      <c r="ES63" s="126">
        <v>42000</v>
      </c>
      <c r="ET63" s="126">
        <v>43800</v>
      </c>
      <c r="EU63" s="126">
        <v>45000</v>
      </c>
      <c r="EV63" s="40">
        <v>48000</v>
      </c>
      <c r="EW63" s="126">
        <v>51300</v>
      </c>
      <c r="EX63" s="200">
        <v>53400</v>
      </c>
      <c r="EY63" s="46">
        <v>55500</v>
      </c>
      <c r="EZ63" s="46">
        <v>57600</v>
      </c>
      <c r="FA63" s="46">
        <v>60600</v>
      </c>
      <c r="FB63" s="46">
        <v>61200</v>
      </c>
      <c r="FC63" s="46">
        <v>62700</v>
      </c>
      <c r="FD63" s="46">
        <v>65400</v>
      </c>
      <c r="FE63" s="46">
        <v>68400</v>
      </c>
      <c r="FF63" s="46">
        <v>72600</v>
      </c>
      <c r="FG63" s="46">
        <v>76200</v>
      </c>
      <c r="FH63" s="46">
        <v>80280</v>
      </c>
      <c r="FI63" s="46">
        <v>84516</v>
      </c>
      <c r="FJ63" s="46">
        <v>86436</v>
      </c>
      <c r="FK63" s="140">
        <v>87240</v>
      </c>
    </row>
    <row r="64" spans="2:167" ht="15.75" x14ac:dyDescent="0.25">
      <c r="B64" s="61"/>
      <c r="C64" s="61"/>
      <c r="D64" s="207">
        <v>59</v>
      </c>
      <c r="E64" s="125">
        <v>1.6457999999999999</v>
      </c>
      <c r="F64" s="61"/>
      <c r="G64" s="61"/>
      <c r="H64" s="61"/>
      <c r="I64" s="61"/>
      <c r="J64" s="19">
        <v>60</v>
      </c>
      <c r="K64" s="121">
        <v>0.66666666666666785</v>
      </c>
      <c r="L64" s="61"/>
      <c r="M64" s="294">
        <v>60</v>
      </c>
      <c r="N64" s="121">
        <v>1.831396233306795</v>
      </c>
      <c r="O64" s="61"/>
      <c r="P64" s="87">
        <v>60</v>
      </c>
      <c r="Q64" s="47">
        <v>0.77599854509471833</v>
      </c>
      <c r="R64" s="187">
        <v>0.77686987939119334</v>
      </c>
      <c r="S64" s="187">
        <v>0.7777752644176531</v>
      </c>
      <c r="T64" s="187">
        <v>0.7787157121815077</v>
      </c>
      <c r="U64" s="187">
        <v>0.77969227298079169</v>
      </c>
      <c r="V64" s="187">
        <v>0.780706030716115</v>
      </c>
      <c r="W64" s="187">
        <v>0.78175809977874</v>
      </c>
      <c r="X64" s="187">
        <v>0.78284962084481546</v>
      </c>
      <c r="Y64" s="187">
        <v>0.78398175569646522</v>
      </c>
      <c r="Z64" s="187">
        <v>0.78515568772024025</v>
      </c>
      <c r="AA64" s="187">
        <v>0.78637262311849609</v>
      </c>
      <c r="AB64" s="187">
        <v>0.78763378833125808</v>
      </c>
      <c r="AC64" s="187">
        <v>0.78894041958422034</v>
      </c>
      <c r="AD64" s="187">
        <v>0.79029375102032584</v>
      </c>
      <c r="AE64" s="187">
        <v>0.79169500307631568</v>
      </c>
      <c r="AF64" s="187">
        <v>0.79314536736806029</v>
      </c>
      <c r="AG64" s="187">
        <v>0.79465737464755781</v>
      </c>
      <c r="AH64" s="187">
        <v>0.79624734392795438</v>
      </c>
      <c r="AI64" s="187">
        <v>0.7979177337405865</v>
      </c>
      <c r="AJ64" s="187">
        <v>0.79967082494112274</v>
      </c>
      <c r="AK64" s="187">
        <v>0.80150869684674009</v>
      </c>
      <c r="AL64" s="187">
        <v>0.8034332052588965</v>
      </c>
      <c r="AM64" s="187">
        <v>0.80544597371347393</v>
      </c>
      <c r="AN64" s="187">
        <v>0.80754836441966493</v>
      </c>
      <c r="AO64" s="187">
        <v>0.80974173681249983</v>
      </c>
      <c r="AP64" s="187">
        <v>0.81202752894621766</v>
      </c>
      <c r="AQ64" s="187">
        <v>0.81440689547144318</v>
      </c>
      <c r="AR64" s="187">
        <v>0.8168806731198428</v>
      </c>
      <c r="AS64" s="187">
        <v>0.81944935169883837</v>
      </c>
      <c r="AT64" s="187">
        <v>0.82211342185586012</v>
      </c>
      <c r="AU64" s="187">
        <v>0.82487349275613697</v>
      </c>
      <c r="AV64" s="187">
        <v>0.82772982955580854</v>
      </c>
      <c r="AW64" s="187">
        <v>0.83068230454259429</v>
      </c>
      <c r="AX64" s="187">
        <v>0.83373036223147634</v>
      </c>
      <c r="AY64" s="187">
        <v>0.83687334704610628</v>
      </c>
      <c r="AZ64" s="187">
        <v>0.84011064417503978</v>
      </c>
      <c r="BA64" s="187">
        <v>0.84344129386091515</v>
      </c>
      <c r="BB64" s="187">
        <v>0.84686397643360556</v>
      </c>
      <c r="BC64" s="187">
        <v>0.85037700857415799</v>
      </c>
      <c r="BD64" s="187">
        <v>0.85397825740869937</v>
      </c>
      <c r="BE64" s="187">
        <v>0.85766508795538354</v>
      </c>
      <c r="BF64" s="187">
        <v>0.86143446770959098</v>
      </c>
      <c r="BG64" s="187">
        <v>0.86528297768213547</v>
      </c>
      <c r="BH64" s="187">
        <v>0.86920683410267607</v>
      </c>
      <c r="BI64" s="187">
        <v>0.8732017918978715</v>
      </c>
      <c r="BJ64" s="187">
        <v>0.87726310980720412</v>
      </c>
      <c r="BK64" s="187">
        <v>0.88138574531364899</v>
      </c>
      <c r="BL64" s="187">
        <v>0.88556443154363673</v>
      </c>
      <c r="BM64" s="187">
        <v>0.88979367562210809</v>
      </c>
      <c r="BN64" s="187">
        <v>0.8940674929362028</v>
      </c>
      <c r="BO64" s="187">
        <v>0.89837933229461975</v>
      </c>
      <c r="BP64" s="187">
        <v>0.90272242784897128</v>
      </c>
      <c r="BQ64" s="187">
        <v>0.90709001473542017</v>
      </c>
      <c r="BR64" s="187">
        <v>0.91147515046062644</v>
      </c>
      <c r="BS64" s="187">
        <v>0.91587044474510426</v>
      </c>
      <c r="BT64" s="187">
        <v>0.92026798470603688</v>
      </c>
      <c r="BU64" s="187">
        <v>0.92465948838257128</v>
      </c>
      <c r="BV64" s="187">
        <v>0.92903680824038315</v>
      </c>
      <c r="BW64" s="187">
        <v>0.93339205633891276</v>
      </c>
      <c r="BX64" s="187">
        <v>0.93771731208287956</v>
      </c>
      <c r="BY64" s="187">
        <v>0.94200451473208868</v>
      </c>
      <c r="BZ64" s="187">
        <v>0.94624603736590429</v>
      </c>
      <c r="CA64" s="187">
        <v>0.95043483277959551</v>
      </c>
      <c r="CB64" s="187">
        <v>0.95456459448685271</v>
      </c>
      <c r="CC64" s="187">
        <v>0.95862975495230063</v>
      </c>
      <c r="CD64" s="187">
        <v>0.96262558460342784</v>
      </c>
      <c r="CE64" s="187">
        <v>0.96654862930165786</v>
      </c>
      <c r="CF64" s="187">
        <v>0.97039621020718181</v>
      </c>
      <c r="CG64" s="187">
        <v>0.97416507458295798</v>
      </c>
      <c r="CH64" s="187">
        <v>0.97785073019784152</v>
      </c>
      <c r="CI64" s="187">
        <v>0.98144808769485703</v>
      </c>
      <c r="CJ64" s="187">
        <v>0.98495243120283871</v>
      </c>
      <c r="CK64" s="187">
        <v>0.9883594001807352</v>
      </c>
      <c r="CL64" s="187">
        <v>0.99166548978547531</v>
      </c>
      <c r="CM64" s="121">
        <v>0.99486846291814734</v>
      </c>
      <c r="CN64" s="61"/>
      <c r="CO64" s="61"/>
      <c r="CP64" s="61"/>
      <c r="CQ64" s="61"/>
      <c r="CR64" s="61"/>
      <c r="CS64" s="61"/>
      <c r="CT64" s="61"/>
      <c r="CU64" s="61"/>
      <c r="CV64" s="61"/>
      <c r="CW64" s="61"/>
      <c r="CX64" s="61"/>
      <c r="CY64" s="66"/>
      <c r="CZ64" s="66"/>
      <c r="DA64" s="66"/>
      <c r="DB64" s="66"/>
      <c r="DC64" s="66"/>
      <c r="DD64" s="66"/>
      <c r="DE64" s="66"/>
      <c r="DF64" s="66"/>
      <c r="DG64" s="66"/>
      <c r="DH64" s="66"/>
      <c r="DI64" s="66"/>
      <c r="DJ64" s="66"/>
      <c r="DP64" s="272"/>
      <c r="DW64" s="92">
        <v>1968</v>
      </c>
      <c r="DX64" s="16">
        <v>53400</v>
      </c>
      <c r="DY64" s="46">
        <v>55500</v>
      </c>
      <c r="DZ64" s="46">
        <v>57600</v>
      </c>
      <c r="EA64" s="46">
        <v>60600</v>
      </c>
      <c r="EB64" s="46">
        <v>61200</v>
      </c>
      <c r="EC64" s="46">
        <v>62700</v>
      </c>
      <c r="ED64" s="46">
        <v>65400</v>
      </c>
      <c r="EE64" s="46">
        <v>68400</v>
      </c>
      <c r="EF64" s="46">
        <v>72600</v>
      </c>
      <c r="EG64" s="46">
        <v>76200</v>
      </c>
      <c r="EH64" s="46">
        <v>80400</v>
      </c>
      <c r="EI64" s="46">
        <v>84768</v>
      </c>
      <c r="EJ64" s="46">
        <v>86748</v>
      </c>
      <c r="EK64" s="140">
        <v>87564</v>
      </c>
      <c r="EN64" s="42">
        <v>1968</v>
      </c>
      <c r="EO64" s="105">
        <v>32400</v>
      </c>
      <c r="EP64" s="126">
        <v>35700</v>
      </c>
      <c r="EQ64" s="148">
        <v>37800</v>
      </c>
      <c r="ER64" s="126">
        <v>39600</v>
      </c>
      <c r="ES64" s="126">
        <v>42000</v>
      </c>
      <c r="ET64" s="126">
        <v>43800</v>
      </c>
      <c r="EU64" s="126">
        <v>45000</v>
      </c>
      <c r="EV64" s="40">
        <v>48000</v>
      </c>
      <c r="EW64" s="126">
        <v>51300</v>
      </c>
      <c r="EX64" s="200">
        <v>53400</v>
      </c>
      <c r="EY64" s="46">
        <v>55500</v>
      </c>
      <c r="EZ64" s="46">
        <v>57600</v>
      </c>
      <c r="FA64" s="46">
        <v>60600</v>
      </c>
      <c r="FB64" s="46">
        <v>61200</v>
      </c>
      <c r="FC64" s="46">
        <v>62700</v>
      </c>
      <c r="FD64" s="46">
        <v>65400</v>
      </c>
      <c r="FE64" s="46">
        <v>68400</v>
      </c>
      <c r="FF64" s="46">
        <v>72600</v>
      </c>
      <c r="FG64" s="46">
        <v>76200</v>
      </c>
      <c r="FH64" s="46">
        <v>80400</v>
      </c>
      <c r="FI64" s="46">
        <v>84768</v>
      </c>
      <c r="FJ64" s="46">
        <v>86748</v>
      </c>
      <c r="FK64" s="140">
        <v>87564</v>
      </c>
    </row>
    <row r="65" spans="2:167" ht="15.75" x14ac:dyDescent="0.25">
      <c r="B65" s="61"/>
      <c r="C65" s="61"/>
      <c r="D65" s="207">
        <v>60</v>
      </c>
      <c r="E65" s="125">
        <v>1.66</v>
      </c>
      <c r="F65" s="61"/>
      <c r="G65" s="61"/>
      <c r="H65" s="61"/>
      <c r="I65" s="61"/>
      <c r="J65" s="19">
        <v>61</v>
      </c>
      <c r="K65" s="121">
        <v>0.66111111111111232</v>
      </c>
      <c r="L65" s="61"/>
      <c r="M65" s="294">
        <v>61</v>
      </c>
      <c r="N65" s="121">
        <v>1.853138954511222</v>
      </c>
      <c r="O65" s="61"/>
      <c r="P65" s="87">
        <v>61</v>
      </c>
      <c r="Q65" s="47">
        <v>0.76843077892609568</v>
      </c>
      <c r="R65" s="187">
        <v>0.76930804780090278</v>
      </c>
      <c r="S65" s="187">
        <v>0.77021957390221196</v>
      </c>
      <c r="T65" s="187">
        <v>0.7711663291615195</v>
      </c>
      <c r="U65" s="187">
        <v>0.77214932369304989</v>
      </c>
      <c r="V65" s="187">
        <v>0.77316960471160034</v>
      </c>
      <c r="W65" s="187">
        <v>0.77422825115290961</v>
      </c>
      <c r="X65" s="187">
        <v>0.77532636999531013</v>
      </c>
      <c r="Y65" s="187">
        <v>0.77646509136293385</v>
      </c>
      <c r="Z65" s="187">
        <v>0.77764556253868811</v>
      </c>
      <c r="AA65" s="187">
        <v>0.77886894815325713</v>
      </c>
      <c r="AB65" s="187">
        <v>0.78013643112335351</v>
      </c>
      <c r="AC65" s="187">
        <v>0.781449209412727</v>
      </c>
      <c r="AD65" s="187">
        <v>0.78280848414071058</v>
      </c>
      <c r="AE65" s="187">
        <v>0.78421544608683025</v>
      </c>
      <c r="AF65" s="187">
        <v>0.78567126239860441</v>
      </c>
      <c r="AG65" s="187">
        <v>0.78718916921487314</v>
      </c>
      <c r="AH65" s="187">
        <v>0.7887865068350185</v>
      </c>
      <c r="AI65" s="187">
        <v>0.79046589285440227</v>
      </c>
      <c r="AJ65" s="187">
        <v>0.79222976860801408</v>
      </c>
      <c r="AK65" s="187">
        <v>0.79408037440505874</v>
      </c>
      <c r="AL65" s="187">
        <v>0.7960197267329302</v>
      </c>
      <c r="AM65" s="187">
        <v>0.79804960937221203</v>
      </c>
      <c r="AN65" s="187">
        <v>0.8001715430527917</v>
      </c>
      <c r="AO65" s="187">
        <v>0.80238706182659558</v>
      </c>
      <c r="AP65" s="187">
        <v>0.80469780254551115</v>
      </c>
      <c r="AQ65" s="187">
        <v>0.80710512002395807</v>
      </c>
      <c r="AR65" s="187">
        <v>0.80961005072828141</v>
      </c>
      <c r="AS65" s="187">
        <v>0.81221328229341661</v>
      </c>
      <c r="AT65" s="187">
        <v>0.81491552557081071</v>
      </c>
      <c r="AU65" s="187">
        <v>0.81771764326350038</v>
      </c>
      <c r="AV65" s="187">
        <v>0.82062015639359831</v>
      </c>
      <c r="AW65" s="187">
        <v>0.82362319212975488</v>
      </c>
      <c r="AX65" s="187">
        <v>0.82672644657862437</v>
      </c>
      <c r="AY65" s="187">
        <v>0.82992953573632067</v>
      </c>
      <c r="AZ65" s="187">
        <v>0.83323214840993498</v>
      </c>
      <c r="BA65" s="187">
        <v>0.8366336329262416</v>
      </c>
      <c r="BB65" s="187">
        <v>0.84013298076315512</v>
      </c>
      <c r="BC65" s="187">
        <v>0.84372882184853282</v>
      </c>
      <c r="BD65" s="187">
        <v>0.84741933131120029</v>
      </c>
      <c r="BE65" s="187">
        <v>0.85120217033250656</v>
      </c>
      <c r="BF65" s="187">
        <v>0.85507459571599631</v>
      </c>
      <c r="BG65" s="187">
        <v>0.85903346868518304</v>
      </c>
      <c r="BH65" s="187">
        <v>0.86307527504978432</v>
      </c>
      <c r="BI65" s="187">
        <v>0.8671960167360997</v>
      </c>
      <c r="BJ65" s="187">
        <v>0.87139116801851502</v>
      </c>
      <c r="BK65" s="187">
        <v>0.87565588032503305</v>
      </c>
      <c r="BL65" s="187">
        <v>0.87998506078519478</v>
      </c>
      <c r="BM65" s="187">
        <v>0.88437336599491378</v>
      </c>
      <c r="BN65" s="187">
        <v>0.88881490857295398</v>
      </c>
      <c r="BO65" s="187">
        <v>0.89330316735588577</v>
      </c>
      <c r="BP65" s="187">
        <v>0.89783136080148485</v>
      </c>
      <c r="BQ65" s="187">
        <v>0.90239267538817836</v>
      </c>
      <c r="BR65" s="187">
        <v>0.90698006717526491</v>
      </c>
      <c r="BS65" s="187">
        <v>0.91158596114230628</v>
      </c>
      <c r="BT65" s="187">
        <v>0.91620216170077395</v>
      </c>
      <c r="BU65" s="187">
        <v>0.92082001115560852</v>
      </c>
      <c r="BV65" s="187">
        <v>0.92543093182101965</v>
      </c>
      <c r="BW65" s="187">
        <v>0.93002655912380272</v>
      </c>
      <c r="BX65" s="187">
        <v>0.9345984203929919</v>
      </c>
      <c r="BY65" s="187">
        <v>0.93913781372112282</v>
      </c>
      <c r="BZ65" s="187">
        <v>0.94363643509230943</v>
      </c>
      <c r="CA65" s="187">
        <v>0.94808654562046724</v>
      </c>
      <c r="CB65" s="187">
        <v>0.95248115491427987</v>
      </c>
      <c r="CC65" s="187">
        <v>0.95681402637516988</v>
      </c>
      <c r="CD65" s="187">
        <v>0.96107979170862656</v>
      </c>
      <c r="CE65" s="187">
        <v>0.96527443816539549</v>
      </c>
      <c r="CF65" s="187">
        <v>0.96939476933110547</v>
      </c>
      <c r="CG65" s="187">
        <v>0.97343693067041004</v>
      </c>
      <c r="CH65" s="187">
        <v>0.97739567827548246</v>
      </c>
      <c r="CI65" s="187">
        <v>0.98126508105811416</v>
      </c>
      <c r="CJ65" s="187">
        <v>0.9850395904742304</v>
      </c>
      <c r="CK65" s="187">
        <v>0.9887140283056739</v>
      </c>
      <c r="CL65" s="187">
        <v>0.99228414320633807</v>
      </c>
      <c r="CM65" s="121">
        <v>0.99574707023370312</v>
      </c>
      <c r="CN65" s="61"/>
      <c r="CO65" s="61"/>
      <c r="CP65" s="61"/>
      <c r="CQ65" s="61"/>
      <c r="CR65" s="61"/>
      <c r="CS65" s="61"/>
      <c r="CT65" s="61"/>
      <c r="CU65" s="61"/>
      <c r="CV65" s="61"/>
      <c r="CW65" s="61"/>
      <c r="CX65" s="61"/>
      <c r="CY65" s="66"/>
      <c r="CZ65" s="66"/>
      <c r="DA65" s="66"/>
      <c r="DB65" s="66"/>
      <c r="DC65" s="66"/>
      <c r="DD65" s="66"/>
      <c r="DE65" s="66"/>
      <c r="DF65" s="66"/>
      <c r="DG65" s="66"/>
      <c r="DH65" s="66"/>
      <c r="DI65" s="66"/>
      <c r="DJ65" s="66"/>
      <c r="DP65" s="272"/>
      <c r="DW65" s="227">
        <v>1969</v>
      </c>
      <c r="DX65" s="16">
        <v>53400</v>
      </c>
      <c r="DY65" s="46">
        <v>55500</v>
      </c>
      <c r="DZ65" s="46">
        <v>57600</v>
      </c>
      <c r="EA65" s="46">
        <v>60600</v>
      </c>
      <c r="EB65" s="46">
        <v>61200</v>
      </c>
      <c r="EC65" s="46">
        <v>62700</v>
      </c>
      <c r="ED65" s="46">
        <v>65400</v>
      </c>
      <c r="EE65" s="46">
        <v>68400</v>
      </c>
      <c r="EF65" s="46">
        <v>72600</v>
      </c>
      <c r="EG65" s="46">
        <v>76200</v>
      </c>
      <c r="EH65" s="46">
        <v>80400</v>
      </c>
      <c r="EI65" s="46">
        <v>84900</v>
      </c>
      <c r="EJ65" s="46">
        <v>86940</v>
      </c>
      <c r="EK65" s="140">
        <v>87780</v>
      </c>
      <c r="EN65" s="12">
        <v>1969</v>
      </c>
      <c r="EO65" s="105">
        <v>32400</v>
      </c>
      <c r="EP65" s="126">
        <v>35700</v>
      </c>
      <c r="EQ65" s="148">
        <v>37800</v>
      </c>
      <c r="ER65" s="126">
        <v>39600</v>
      </c>
      <c r="ES65" s="126">
        <v>42000</v>
      </c>
      <c r="ET65" s="126">
        <v>43800</v>
      </c>
      <c r="EU65" s="126">
        <v>45000</v>
      </c>
      <c r="EV65" s="40">
        <v>48000</v>
      </c>
      <c r="EW65" s="126">
        <v>51300</v>
      </c>
      <c r="EX65" s="200">
        <v>53400</v>
      </c>
      <c r="EY65" s="46">
        <v>55500</v>
      </c>
      <c r="EZ65" s="46">
        <v>57600</v>
      </c>
      <c r="FA65" s="46">
        <v>60600</v>
      </c>
      <c r="FB65" s="46">
        <v>61200</v>
      </c>
      <c r="FC65" s="46">
        <v>62700</v>
      </c>
      <c r="FD65" s="46">
        <v>65400</v>
      </c>
      <c r="FE65" s="46">
        <v>68400</v>
      </c>
      <c r="FF65" s="46">
        <v>72600</v>
      </c>
      <c r="FG65" s="46">
        <v>76200</v>
      </c>
      <c r="FH65" s="46">
        <v>80400</v>
      </c>
      <c r="FI65" s="46">
        <v>84900</v>
      </c>
      <c r="FJ65" s="46">
        <v>86940</v>
      </c>
      <c r="FK65" s="140">
        <v>87780</v>
      </c>
    </row>
    <row r="66" spans="2:167" ht="15.75" x14ac:dyDescent="0.25">
      <c r="B66" s="61"/>
      <c r="C66" s="61"/>
      <c r="D66" s="207">
        <v>61</v>
      </c>
      <c r="E66" s="125">
        <v>1.6830000000000001</v>
      </c>
      <c r="F66" s="61"/>
      <c r="G66" s="61"/>
      <c r="H66" s="61"/>
      <c r="I66" s="61"/>
      <c r="J66" s="19">
        <v>62</v>
      </c>
      <c r="K66" s="121">
        <v>0.65555555555555678</v>
      </c>
      <c r="L66" s="61"/>
      <c r="M66" s="294">
        <v>62</v>
      </c>
      <c r="N66" s="121">
        <v>1.8748816757156495</v>
      </c>
      <c r="O66" s="61"/>
      <c r="P66" s="87">
        <v>62</v>
      </c>
      <c r="Q66" s="47">
        <v>0.76088193992267728</v>
      </c>
      <c r="R66" s="187">
        <v>0.76176530791661312</v>
      </c>
      <c r="S66" s="187">
        <v>0.76268316712927176</v>
      </c>
      <c r="T66" s="187">
        <v>0.76363644235060146</v>
      </c>
      <c r="U66" s="187">
        <v>0.76462609531241299</v>
      </c>
      <c r="V66" s="187">
        <v>0.76565312436992494</v>
      </c>
      <c r="W66" s="187">
        <v>0.76671856302343266</v>
      </c>
      <c r="X66" s="187">
        <v>0.76782347370913195</v>
      </c>
      <c r="Y66" s="187">
        <v>0.76896894342591826</v>
      </c>
      <c r="Z66" s="187">
        <v>0.77015607799648511</v>
      </c>
      <c r="AA66" s="187">
        <v>0.77138599509822303</v>
      </c>
      <c r="AB66" s="187">
        <v>0.77265982402244138</v>
      </c>
      <c r="AC66" s="187">
        <v>0.77397870621362275</v>
      </c>
      <c r="AD66" s="187">
        <v>0.77534379118292596</v>
      </c>
      <c r="AE66" s="187">
        <v>0.77675622287762125</v>
      </c>
      <c r="AF66" s="187">
        <v>0.77821712421762901</v>
      </c>
      <c r="AG66" s="187">
        <v>0.77974046533628982</v>
      </c>
      <c r="AH66" s="187">
        <v>0.78134466634503463</v>
      </c>
      <c r="AI66" s="187">
        <v>0.78303250460457374</v>
      </c>
      <c r="AJ66" s="187">
        <v>0.78480658243995349</v>
      </c>
      <c r="AK66" s="187">
        <v>0.78666930119483658</v>
      </c>
      <c r="AL66" s="187">
        <v>0.78862283748730033</v>
      </c>
      <c r="AM66" s="187">
        <v>0.79066913436941044</v>
      </c>
      <c r="AN66" s="187">
        <v>0.79280986935163689</v>
      </c>
      <c r="AO66" s="187">
        <v>0.79504674978467615</v>
      </c>
      <c r="AP66" s="187">
        <v>0.79738161101610217</v>
      </c>
      <c r="AQ66" s="187">
        <v>0.79981600720432966</v>
      </c>
      <c r="AR66" s="187">
        <v>0.80235117341258044</v>
      </c>
      <c r="AS66" s="187">
        <v>0.80498799347845928</v>
      </c>
      <c r="AT66" s="187">
        <v>0.80772739821271256</v>
      </c>
      <c r="AU66" s="187">
        <v>0.81057050615323933</v>
      </c>
      <c r="AV66" s="187">
        <v>0.81351809707987177</v>
      </c>
      <c r="AW66" s="187">
        <v>0.81657055633648201</v>
      </c>
      <c r="AX66" s="187">
        <v>0.81972783493795531</v>
      </c>
      <c r="AY66" s="187">
        <v>0.82298982583388192</v>
      </c>
      <c r="AZ66" s="187">
        <v>0.82635653054826264</v>
      </c>
      <c r="BA66" s="187">
        <v>0.82982761676341898</v>
      </c>
      <c r="BB66" s="187">
        <v>0.83340240026255952</v>
      </c>
      <c r="BC66" s="187">
        <v>0.83707983958453103</v>
      </c>
      <c r="BD66" s="187">
        <v>0.84085843521329784</v>
      </c>
      <c r="BE66" s="187">
        <v>0.84473616430687715</v>
      </c>
      <c r="BF66" s="187">
        <v>0.84871059613753386</v>
      </c>
      <c r="BG66" s="187">
        <v>0.85277889888185476</v>
      </c>
      <c r="BH66" s="187">
        <v>0.85693785818696333</v>
      </c>
      <c r="BI66" s="187">
        <v>0.86118375703522443</v>
      </c>
      <c r="BJ66" s="187">
        <v>0.86551232285384738</v>
      </c>
      <c r="BK66" s="187">
        <v>0.86991894275717774</v>
      </c>
      <c r="BL66" s="187">
        <v>0.874398743234307</v>
      </c>
      <c r="BM66" s="187">
        <v>0.87894657908200224</v>
      </c>
      <c r="BN66" s="187">
        <v>0.88355671069797515</v>
      </c>
      <c r="BO66" s="187">
        <v>0.88822269845635871</v>
      </c>
      <c r="BP66" s="187">
        <v>0.89293779867545975</v>
      </c>
      <c r="BQ66" s="187">
        <v>0.89769520466742725</v>
      </c>
      <c r="BR66" s="187">
        <v>0.90248782638720071</v>
      </c>
      <c r="BS66" s="187">
        <v>0.90730795670494679</v>
      </c>
      <c r="BT66" s="187">
        <v>0.91214716539971907</v>
      </c>
      <c r="BU66" s="187">
        <v>0.91699646147153935</v>
      </c>
      <c r="BV66" s="187">
        <v>0.92184687636243456</v>
      </c>
      <c r="BW66" s="187">
        <v>0.92668960431236302</v>
      </c>
      <c r="BX66" s="187">
        <v>0.9315156489797668</v>
      </c>
      <c r="BY66" s="187">
        <v>0.93631568495402095</v>
      </c>
      <c r="BZ66" s="187">
        <v>0.94108073950347293</v>
      </c>
      <c r="CA66" s="187">
        <v>0.94580237789406951</v>
      </c>
      <c r="CB66" s="187">
        <v>0.95047291301510584</v>
      </c>
      <c r="CC66" s="187">
        <v>0.95508541986063611</v>
      </c>
      <c r="CD66" s="187">
        <v>0.95963386787399019</v>
      </c>
      <c r="CE66" s="187">
        <v>0.96411366251512154</v>
      </c>
      <c r="CF66" s="187">
        <v>0.96852106495143853</v>
      </c>
      <c r="CG66" s="187">
        <v>0.97285157957455703</v>
      </c>
      <c r="CH66" s="187">
        <v>0.97709915010977744</v>
      </c>
      <c r="CI66" s="187">
        <v>0.98125692672261877</v>
      </c>
      <c r="CJ66" s="187">
        <v>0.98531844307966876</v>
      </c>
      <c r="CK66" s="187">
        <v>0.98927760998311287</v>
      </c>
      <c r="CL66" s="187">
        <v>0.99312933528079839</v>
      </c>
      <c r="CM66" s="121">
        <v>0.99687004026277737</v>
      </c>
      <c r="CN66" s="61"/>
      <c r="CO66" s="61"/>
      <c r="CP66" s="61"/>
      <c r="CQ66" s="61"/>
      <c r="CR66" s="61"/>
      <c r="CS66" s="61"/>
      <c r="CT66" s="61"/>
      <c r="CU66" s="61"/>
      <c r="CV66" s="61"/>
      <c r="CW66" s="61"/>
      <c r="CX66" s="61"/>
      <c r="CY66" s="66"/>
      <c r="CZ66" s="66"/>
      <c r="DA66" s="66"/>
      <c r="DB66" s="66"/>
      <c r="DC66" s="66"/>
      <c r="DD66" s="66"/>
      <c r="DE66" s="66"/>
      <c r="DF66" s="66"/>
      <c r="DG66" s="66"/>
      <c r="DH66" s="66"/>
      <c r="DI66" s="66"/>
      <c r="DJ66" s="66"/>
      <c r="DP66" s="274"/>
      <c r="DW66" s="42">
        <v>1970</v>
      </c>
      <c r="DX66" s="16">
        <v>53400</v>
      </c>
      <c r="DY66" s="46">
        <v>55500</v>
      </c>
      <c r="DZ66" s="46">
        <v>57600</v>
      </c>
      <c r="EA66" s="46">
        <v>60600</v>
      </c>
      <c r="EB66" s="46">
        <v>61200</v>
      </c>
      <c r="EC66" s="46">
        <v>62700</v>
      </c>
      <c r="ED66" s="46">
        <v>65400</v>
      </c>
      <c r="EE66" s="46">
        <v>68400</v>
      </c>
      <c r="EF66" s="46">
        <v>72600</v>
      </c>
      <c r="EG66" s="46">
        <v>76200</v>
      </c>
      <c r="EH66" s="46">
        <v>80400</v>
      </c>
      <c r="EI66" s="46">
        <v>84900</v>
      </c>
      <c r="EJ66" s="46">
        <v>87000</v>
      </c>
      <c r="EK66" s="140">
        <v>87864</v>
      </c>
      <c r="EN66" s="42">
        <v>1970</v>
      </c>
      <c r="EO66" s="105">
        <v>32400</v>
      </c>
      <c r="EP66" s="126">
        <v>35700</v>
      </c>
      <c r="EQ66" s="148">
        <v>37800</v>
      </c>
      <c r="ER66" s="126">
        <v>39600</v>
      </c>
      <c r="ES66" s="126">
        <v>42000</v>
      </c>
      <c r="ET66" s="126">
        <v>43800</v>
      </c>
      <c r="EU66" s="126">
        <v>45000</v>
      </c>
      <c r="EV66" s="40">
        <v>48000</v>
      </c>
      <c r="EW66" s="126">
        <v>51300</v>
      </c>
      <c r="EX66" s="200">
        <v>53400</v>
      </c>
      <c r="EY66" s="46">
        <v>55500</v>
      </c>
      <c r="EZ66" s="46">
        <v>57600</v>
      </c>
      <c r="FA66" s="46">
        <v>60600</v>
      </c>
      <c r="FB66" s="46">
        <v>61200</v>
      </c>
      <c r="FC66" s="46">
        <v>62700</v>
      </c>
      <c r="FD66" s="46">
        <v>65400</v>
      </c>
      <c r="FE66" s="46">
        <v>68400</v>
      </c>
      <c r="FF66" s="46">
        <v>72600</v>
      </c>
      <c r="FG66" s="46">
        <v>76200</v>
      </c>
      <c r="FH66" s="46">
        <v>80400</v>
      </c>
      <c r="FI66" s="46">
        <v>84900</v>
      </c>
      <c r="FJ66" s="46">
        <v>87000</v>
      </c>
      <c r="FK66" s="140">
        <v>87864</v>
      </c>
    </row>
    <row r="67" spans="2:167" ht="15.75" x14ac:dyDescent="0.25">
      <c r="B67" s="61"/>
      <c r="C67" s="61"/>
      <c r="D67" s="207">
        <v>62</v>
      </c>
      <c r="E67" s="125">
        <v>1.706</v>
      </c>
      <c r="F67" s="61"/>
      <c r="G67" s="61"/>
      <c r="H67" s="61"/>
      <c r="I67" s="61"/>
      <c r="J67" s="19">
        <v>63</v>
      </c>
      <c r="K67" s="121">
        <v>0.65000000000000124</v>
      </c>
      <c r="L67" s="61"/>
      <c r="M67" s="294">
        <v>63</v>
      </c>
      <c r="N67" s="121">
        <v>1.8966243969200764</v>
      </c>
      <c r="O67" s="61"/>
      <c r="P67" s="87">
        <v>63</v>
      </c>
      <c r="Q67" s="47">
        <v>0.75337381845589446</v>
      </c>
      <c r="R67" s="187">
        <v>0.75426344940133927</v>
      </c>
      <c r="S67" s="187">
        <v>0.7551878407750684</v>
      </c>
      <c r="T67" s="187">
        <v>0.75614786331932016</v>
      </c>
      <c r="U67" s="187">
        <v>0.75714442205935184</v>
      </c>
      <c r="V67" s="187">
        <v>0.75817845689241925</v>
      </c>
      <c r="W67" s="187">
        <v>0.7592509419051936</v>
      </c>
      <c r="X67" s="187">
        <v>0.76036288339087699</v>
      </c>
      <c r="Y67" s="187">
        <v>0.76151531263923777</v>
      </c>
      <c r="Z67" s="187">
        <v>0.76270928070679711</v>
      </c>
      <c r="AA67" s="187">
        <v>0.7639458516458455</v>
      </c>
      <c r="AB67" s="187">
        <v>0.76522609433446576</v>
      </c>
      <c r="AC67" s="187">
        <v>0.76655108164698627</v>
      </c>
      <c r="AD67" s="187">
        <v>0.76792189042590342</v>
      </c>
      <c r="AE67" s="187">
        <v>0.76933959630537763</v>
      </c>
      <c r="AF67" s="187">
        <v>0.77080525796327126</v>
      </c>
      <c r="AG67" s="187">
        <v>0.77233360816320562</v>
      </c>
      <c r="AH67" s="187">
        <v>0.77394420871474112</v>
      </c>
      <c r="AI67" s="187">
        <v>0.77563999732350331</v>
      </c>
      <c r="AJ67" s="187">
        <v>0.77742373791020913</v>
      </c>
      <c r="AK67" s="187">
        <v>0.77929799313519055</v>
      </c>
      <c r="AL67" s="187">
        <v>0.78126509938618882</v>
      </c>
      <c r="AM67" s="187">
        <v>0.78332715790658325</v>
      </c>
      <c r="AN67" s="187">
        <v>0.78548600127270984</v>
      </c>
      <c r="AO67" s="187">
        <v>0.78774350877347188</v>
      </c>
      <c r="AP67" s="187">
        <v>0.79010171408634833</v>
      </c>
      <c r="AQ67" s="187">
        <v>0.79256236988550521</v>
      </c>
      <c r="AR67" s="187">
        <v>0.79512690823442289</v>
      </c>
      <c r="AS67" s="187">
        <v>0.79779640703162358</v>
      </c>
      <c r="AT67" s="187">
        <v>0.80057201608005113</v>
      </c>
      <c r="AU67" s="187">
        <v>0.80345511138248538</v>
      </c>
      <c r="AV67" s="187">
        <v>0.80644673353537422</v>
      </c>
      <c r="AW67" s="187">
        <v>0.80954752848324407</v>
      </c>
      <c r="AX67" s="187">
        <v>0.81275770476852371</v>
      </c>
      <c r="AY67" s="187">
        <v>0.81607743663768606</v>
      </c>
      <c r="AZ67" s="187">
        <v>0.81950704618679993</v>
      </c>
      <c r="BA67" s="187">
        <v>0.8230465303329676</v>
      </c>
      <c r="BB67" s="187">
        <v>0.82669554137693246</v>
      </c>
      <c r="BC67" s="187">
        <v>0.83045338074317843</v>
      </c>
      <c r="BD67" s="187">
        <v>0.83431889048900476</v>
      </c>
      <c r="BE67" s="187">
        <v>0.83829038168479708</v>
      </c>
      <c r="BF67" s="187">
        <v>0.84236575726874141</v>
      </c>
      <c r="BG67" s="187">
        <v>0.84654251725869123</v>
      </c>
      <c r="BH67" s="187">
        <v>0.85081777602297282</v>
      </c>
      <c r="BI67" s="187">
        <v>0.85518812966594915</v>
      </c>
      <c r="BJ67" s="187">
        <v>0.85964959445090106</v>
      </c>
      <c r="BK67" s="187">
        <v>0.86419783388557803</v>
      </c>
      <c r="BL67" s="187">
        <v>0.86882823946615118</v>
      </c>
      <c r="BM67" s="187">
        <v>0.87353591374387729</v>
      </c>
      <c r="BN67" s="187">
        <v>0.87831531608502489</v>
      </c>
      <c r="BO67" s="187">
        <v>0.88316014036241453</v>
      </c>
      <c r="BP67" s="187">
        <v>0.88806373586161436</v>
      </c>
      <c r="BQ67" s="187">
        <v>0.8930193615037213</v>
      </c>
      <c r="BR67" s="187">
        <v>0.89801994060985102</v>
      </c>
      <c r="BS67" s="187">
        <v>0.90305769048875217</v>
      </c>
      <c r="BT67" s="187">
        <v>0.90812399848445802</v>
      </c>
      <c r="BU67" s="187">
        <v>0.91320958757052784</v>
      </c>
      <c r="BV67" s="187">
        <v>0.91830514302445576</v>
      </c>
      <c r="BW67" s="187">
        <v>0.92340145995927636</v>
      </c>
      <c r="BX67" s="187">
        <v>0.92848905354627642</v>
      </c>
      <c r="BY67" s="187">
        <v>0.93355800035090541</v>
      </c>
      <c r="BZ67" s="187">
        <v>0.93859867733880331</v>
      </c>
      <c r="CA67" s="187">
        <v>0.94360196346584935</v>
      </c>
      <c r="CB67" s="187">
        <v>0.94855947226214499</v>
      </c>
      <c r="CC67" s="187">
        <v>0.95346357859478637</v>
      </c>
      <c r="CD67" s="187">
        <v>0.95830757203386729</v>
      </c>
      <c r="CE67" s="187">
        <v>0.96308625926056046</v>
      </c>
      <c r="CF67" s="187">
        <v>0.96779533888709535</v>
      </c>
      <c r="CG67" s="187">
        <v>0.97242963852689224</v>
      </c>
      <c r="CH67" s="187">
        <v>0.97698222935366041</v>
      </c>
      <c r="CI67" s="187">
        <v>0.98144526348283057</v>
      </c>
      <c r="CJ67" s="187">
        <v>0.98581126929175156</v>
      </c>
      <c r="CK67" s="187">
        <v>0.99007314988095307</v>
      </c>
      <c r="CL67" s="187">
        <v>0.99422487174701757</v>
      </c>
      <c r="CM67" s="121">
        <v>0.99826204641800798</v>
      </c>
      <c r="CN67" s="61"/>
      <c r="CO67" s="61"/>
      <c r="CP67" s="61"/>
      <c r="CQ67" s="61"/>
      <c r="CR67" s="61"/>
      <c r="CS67" s="61"/>
      <c r="CT67" s="61"/>
      <c r="CU67" s="61"/>
      <c r="CV67" s="61"/>
      <c r="CW67" s="61"/>
      <c r="CX67" s="61"/>
      <c r="CY67" s="66"/>
      <c r="CZ67" s="66"/>
      <c r="DA67" s="66"/>
      <c r="DB67" s="66"/>
      <c r="DC67" s="66"/>
      <c r="DD67" s="66"/>
      <c r="DE67" s="66"/>
      <c r="DF67" s="66"/>
      <c r="DG67" s="66"/>
      <c r="DH67" s="66"/>
      <c r="DI67" s="66"/>
      <c r="DJ67" s="66"/>
      <c r="DP67" s="274"/>
      <c r="DW67" s="42">
        <v>1971</v>
      </c>
      <c r="DX67" s="16">
        <v>53400</v>
      </c>
      <c r="DY67" s="46">
        <v>55500</v>
      </c>
      <c r="DZ67" s="46">
        <v>57600</v>
      </c>
      <c r="EA67" s="46">
        <v>60600</v>
      </c>
      <c r="EB67" s="46">
        <v>61200</v>
      </c>
      <c r="EC67" s="46">
        <v>62700</v>
      </c>
      <c r="ED67" s="46">
        <v>65400</v>
      </c>
      <c r="EE67" s="46">
        <v>68400</v>
      </c>
      <c r="EF67" s="46">
        <v>72600</v>
      </c>
      <c r="EG67" s="46">
        <v>76200</v>
      </c>
      <c r="EH67" s="46">
        <v>80400</v>
      </c>
      <c r="EI67" s="46">
        <v>84900</v>
      </c>
      <c r="EJ67" s="46">
        <v>87000</v>
      </c>
      <c r="EK67" s="140">
        <v>87900</v>
      </c>
      <c r="EN67" s="42">
        <v>1971</v>
      </c>
      <c r="EO67" s="105">
        <v>32400</v>
      </c>
      <c r="EP67" s="126">
        <v>35700</v>
      </c>
      <c r="EQ67" s="148">
        <v>37800</v>
      </c>
      <c r="ER67" s="126">
        <v>39600</v>
      </c>
      <c r="ES67" s="126">
        <v>42000</v>
      </c>
      <c r="ET67" s="126">
        <v>43800</v>
      </c>
      <c r="EU67" s="126">
        <v>45000</v>
      </c>
      <c r="EV67" s="40">
        <v>48000</v>
      </c>
      <c r="EW67" s="126">
        <v>51300</v>
      </c>
      <c r="EX67" s="200">
        <v>53400</v>
      </c>
      <c r="EY67" s="46">
        <v>55500</v>
      </c>
      <c r="EZ67" s="46">
        <v>57600</v>
      </c>
      <c r="FA67" s="46">
        <v>60600</v>
      </c>
      <c r="FB67" s="46">
        <v>61200</v>
      </c>
      <c r="FC67" s="46">
        <v>62700</v>
      </c>
      <c r="FD67" s="46">
        <v>65400</v>
      </c>
      <c r="FE67" s="46">
        <v>68400</v>
      </c>
      <c r="FF67" s="46">
        <v>72600</v>
      </c>
      <c r="FG67" s="46">
        <v>76200</v>
      </c>
      <c r="FH67" s="46">
        <v>80400</v>
      </c>
      <c r="FI67" s="46">
        <v>84900</v>
      </c>
      <c r="FJ67" s="46">
        <v>87000</v>
      </c>
      <c r="FK67" s="140">
        <v>87900</v>
      </c>
    </row>
    <row r="68" spans="2:167" ht="15.75" x14ac:dyDescent="0.25">
      <c r="B68" s="61"/>
      <c r="C68" s="61"/>
      <c r="D68" s="207">
        <v>63</v>
      </c>
      <c r="E68" s="125">
        <v>1.7290000000000001</v>
      </c>
      <c r="F68" s="61"/>
      <c r="G68" s="61"/>
      <c r="H68" s="61"/>
      <c r="I68" s="61"/>
      <c r="J68" s="19">
        <v>64</v>
      </c>
      <c r="K68" s="121">
        <v>0.64444444444444571</v>
      </c>
      <c r="L68" s="61"/>
      <c r="M68" s="294">
        <v>64</v>
      </c>
      <c r="N68" s="121">
        <v>1.9183671181245034</v>
      </c>
      <c r="O68" s="61"/>
      <c r="P68" s="87">
        <v>64</v>
      </c>
      <c r="Q68" s="47">
        <v>0.74593053137483245</v>
      </c>
      <c r="R68" s="187">
        <v>0.74682658208583608</v>
      </c>
      <c r="S68" s="187">
        <v>0.74775770588136981</v>
      </c>
      <c r="T68" s="187">
        <v>0.74872471290417053</v>
      </c>
      <c r="U68" s="187">
        <v>0.74972844321308196</v>
      </c>
      <c r="V68" s="187">
        <v>0.75076976838716103</v>
      </c>
      <c r="W68" s="187">
        <v>0.75184959179754862</v>
      </c>
      <c r="X68" s="187">
        <v>0.75296884744846282</v>
      </c>
      <c r="Y68" s="187">
        <v>0.7541284973512532</v>
      </c>
      <c r="Z68" s="187">
        <v>0.75532952310004975</v>
      </c>
      <c r="AA68" s="187">
        <v>0.75657291958066386</v>
      </c>
      <c r="AB68" s="187">
        <v>0.75785968692747108</v>
      </c>
      <c r="AC68" s="187">
        <v>0.75919082087592615</v>
      </c>
      <c r="AD68" s="187">
        <v>0.76056731113406029</v>
      </c>
      <c r="AE68" s="187">
        <v>0.7619901405621079</v>
      </c>
      <c r="AF68" s="187">
        <v>0.76346027858973164</v>
      </c>
      <c r="AG68" s="187">
        <v>0.76499325132351381</v>
      </c>
      <c r="AH68" s="187">
        <v>0.76660982745210005</v>
      </c>
      <c r="AI68" s="187">
        <v>0.76831310561374566</v>
      </c>
      <c r="AJ68" s="187">
        <v>0.77010601180716021</v>
      </c>
      <c r="AK68" s="187">
        <v>0.77199127039858984</v>
      </c>
      <c r="AL68" s="187">
        <v>0.77397137743727518</v>
      </c>
      <c r="AM68" s="187">
        <v>0.77604859147081495</v>
      </c>
      <c r="AN68" s="187">
        <v>0.77822489827179531</v>
      </c>
      <c r="AO68" s="187">
        <v>0.7805023477492492</v>
      </c>
      <c r="AP68" s="187">
        <v>0.78288317178984357</v>
      </c>
      <c r="AQ68" s="187">
        <v>0.78536932088799971</v>
      </c>
      <c r="AR68" s="187">
        <v>0.78796242246623105</v>
      </c>
      <c r="AS68" s="187">
        <v>0.79066374578379006</v>
      </c>
      <c r="AT68" s="187">
        <v>0.79347465812739593</v>
      </c>
      <c r="AU68" s="187">
        <v>0.79639679394459284</v>
      </c>
      <c r="AV68" s="187">
        <v>0.7994314559833624</v>
      </c>
      <c r="AW68" s="187">
        <v>0.8025795522933219</v>
      </c>
      <c r="AX68" s="187">
        <v>0.80584155058898166</v>
      </c>
      <c r="AY68" s="187">
        <v>0.80921791005749066</v>
      </c>
      <c r="AZ68" s="187">
        <v>0.81270928027947675</v>
      </c>
      <c r="BA68" s="187">
        <v>0.81631599600893723</v>
      </c>
      <c r="BB68" s="187">
        <v>0.82003805684972297</v>
      </c>
      <c r="BC68" s="187">
        <v>0.82387512046881395</v>
      </c>
      <c r="BD68" s="187">
        <v>0.8278263856311544</v>
      </c>
      <c r="BE68" s="187">
        <v>0.83189051409670933</v>
      </c>
      <c r="BF68" s="187">
        <v>0.83606576173944003</v>
      </c>
      <c r="BG68" s="187">
        <v>0.84034998330961441</v>
      </c>
      <c r="BH68" s="187">
        <v>0.84474064893354339</v>
      </c>
      <c r="BI68" s="187">
        <v>0.84923469857586187</v>
      </c>
      <c r="BJ68" s="187">
        <v>0.85382847097489634</v>
      </c>
      <c r="BK68" s="187">
        <v>0.85851794484914878</v>
      </c>
      <c r="BL68" s="187">
        <v>0.86329882150722792</v>
      </c>
      <c r="BM68" s="187">
        <v>0.86816650146028507</v>
      </c>
      <c r="BN68" s="187">
        <v>0.87311569536337019</v>
      </c>
      <c r="BO68" s="187">
        <v>0.87814028336085204</v>
      </c>
      <c r="BP68" s="187">
        <v>0.88323376353039629</v>
      </c>
      <c r="BQ68" s="187">
        <v>0.88838952121454207</v>
      </c>
      <c r="BR68" s="187">
        <v>0.89360055646102521</v>
      </c>
      <c r="BS68" s="187">
        <v>0.89885907215817018</v>
      </c>
      <c r="BT68" s="187">
        <v>0.90415632962795689</v>
      </c>
      <c r="BU68" s="187">
        <v>0.90948281742997716</v>
      </c>
      <c r="BV68" s="187">
        <v>0.91482892472499611</v>
      </c>
      <c r="BW68" s="187">
        <v>0.92018509555491468</v>
      </c>
      <c r="BX68" s="187">
        <v>0.92554139891195597</v>
      </c>
      <c r="BY68" s="187">
        <v>0.93088734584265143</v>
      </c>
      <c r="BZ68" s="187">
        <v>0.93621268989663242</v>
      </c>
      <c r="CA68" s="187">
        <v>0.94150764429618616</v>
      </c>
      <c r="CB68" s="187">
        <v>0.9467631358783416</v>
      </c>
      <c r="CC68" s="187">
        <v>0.95197083904783486</v>
      </c>
      <c r="CD68" s="187">
        <v>0.95712335448512542</v>
      </c>
      <c r="CE68" s="187">
        <v>0.96221488023986634</v>
      </c>
      <c r="CF68" s="187">
        <v>0.96724053958997569</v>
      </c>
      <c r="CG68" s="187">
        <v>0.9721944523381657</v>
      </c>
      <c r="CH68" s="187">
        <v>0.9770687595842753</v>
      </c>
      <c r="CI68" s="187">
        <v>0.98185453544975843</v>
      </c>
      <c r="CJ68" s="187">
        <v>0.98654321250800769</v>
      </c>
      <c r="CK68" s="187">
        <v>0.99112658639500273</v>
      </c>
      <c r="CL68" s="187">
        <v>0.99559757792997716</v>
      </c>
      <c r="CM68" s="121">
        <v>0.99995088649225083</v>
      </c>
      <c r="CN68" s="61"/>
      <c r="CO68" s="61"/>
      <c r="CP68" s="61"/>
      <c r="CQ68" s="61"/>
      <c r="CR68" s="61"/>
      <c r="CS68" s="61"/>
      <c r="CT68" s="61"/>
      <c r="CU68" s="61"/>
      <c r="CV68" s="61"/>
      <c r="CW68" s="61"/>
      <c r="CX68" s="61"/>
      <c r="CY68" s="66"/>
      <c r="CZ68" s="66"/>
      <c r="DA68" s="66"/>
      <c r="DB68" s="66"/>
      <c r="DC68" s="66"/>
      <c r="DD68" s="66"/>
      <c r="DE68" s="66"/>
      <c r="DF68" s="66"/>
      <c r="DG68" s="66"/>
      <c r="DH68" s="66"/>
      <c r="DI68" s="66"/>
      <c r="DJ68" s="66"/>
      <c r="DP68" s="45"/>
      <c r="DW68" s="42">
        <v>1972</v>
      </c>
      <c r="DX68" s="16">
        <v>53400</v>
      </c>
      <c r="DY68" s="46">
        <v>55500</v>
      </c>
      <c r="DZ68" s="46">
        <v>57600</v>
      </c>
      <c r="EA68" s="46">
        <v>60600</v>
      </c>
      <c r="EB68" s="46">
        <v>61200</v>
      </c>
      <c r="EC68" s="46">
        <v>62700</v>
      </c>
      <c r="ED68" s="46">
        <v>65400</v>
      </c>
      <c r="EE68" s="46">
        <v>68400</v>
      </c>
      <c r="EF68" s="46">
        <v>72600</v>
      </c>
      <c r="EG68" s="46">
        <v>76200</v>
      </c>
      <c r="EH68" s="46">
        <v>80400</v>
      </c>
      <c r="EI68" s="46">
        <v>84900</v>
      </c>
      <c r="EJ68" s="46">
        <v>87000</v>
      </c>
      <c r="EK68" s="140">
        <v>87900</v>
      </c>
      <c r="EN68" s="42">
        <v>1972</v>
      </c>
      <c r="EO68" s="105">
        <v>32400</v>
      </c>
      <c r="EP68" s="126">
        <v>35700</v>
      </c>
      <c r="EQ68" s="148">
        <v>37800</v>
      </c>
      <c r="ER68" s="126">
        <v>39600</v>
      </c>
      <c r="ES68" s="126">
        <v>42000</v>
      </c>
      <c r="ET68" s="126">
        <v>43800</v>
      </c>
      <c r="EU68" s="126">
        <v>45000</v>
      </c>
      <c r="EV68" s="40">
        <v>48000</v>
      </c>
      <c r="EW68" s="126">
        <v>51300</v>
      </c>
      <c r="EX68" s="200">
        <v>53400</v>
      </c>
      <c r="EY68" s="46">
        <v>55500</v>
      </c>
      <c r="EZ68" s="46">
        <v>57600</v>
      </c>
      <c r="FA68" s="46">
        <v>60600</v>
      </c>
      <c r="FB68" s="46">
        <v>61200</v>
      </c>
      <c r="FC68" s="46">
        <v>62700</v>
      </c>
      <c r="FD68" s="46">
        <v>65400</v>
      </c>
      <c r="FE68" s="46">
        <v>68400</v>
      </c>
      <c r="FF68" s="46">
        <v>72600</v>
      </c>
      <c r="FG68" s="46">
        <v>76200</v>
      </c>
      <c r="FH68" s="46">
        <v>80400</v>
      </c>
      <c r="FI68" s="46">
        <v>84900</v>
      </c>
      <c r="FJ68" s="46">
        <v>87000</v>
      </c>
      <c r="FK68" s="140">
        <v>87900</v>
      </c>
    </row>
    <row r="69" spans="2:167" ht="15.75" x14ac:dyDescent="0.25">
      <c r="B69" s="61"/>
      <c r="C69" s="61"/>
      <c r="D69" s="207">
        <v>64</v>
      </c>
      <c r="E69" s="125">
        <v>1.752</v>
      </c>
      <c r="F69" s="61"/>
      <c r="G69" s="61"/>
      <c r="H69" s="61"/>
      <c r="I69" s="61"/>
      <c r="J69" s="19">
        <v>65</v>
      </c>
      <c r="K69" s="121">
        <v>0.63888888888889017</v>
      </c>
      <c r="L69" s="61"/>
      <c r="M69" s="294">
        <v>65</v>
      </c>
      <c r="N69" s="121">
        <v>1.9401098393289309</v>
      </c>
      <c r="O69" s="61"/>
      <c r="P69" s="87">
        <v>65</v>
      </c>
      <c r="Q69" s="47">
        <v>0.7385810812441217</v>
      </c>
      <c r="R69" s="187">
        <v>0.739483719151522</v>
      </c>
      <c r="S69" s="187">
        <v>0.74042178603262898</v>
      </c>
      <c r="T69" s="187">
        <v>0.74139603499717399</v>
      </c>
      <c r="U69" s="187">
        <v>0.74240723316352197</v>
      </c>
      <c r="V69" s="187">
        <v>0.74345617388189533</v>
      </c>
      <c r="W69" s="187">
        <v>0.74454367808111865</v>
      </c>
      <c r="X69" s="187">
        <v>0.74567059410877601</v>
      </c>
      <c r="Y69" s="187">
        <v>0.74683779595084077</v>
      </c>
      <c r="Z69" s="187">
        <v>0.74804617978508248</v>
      </c>
      <c r="AA69" s="187">
        <v>0.74929665407430213</v>
      </c>
      <c r="AB69" s="187">
        <v>0.75059013195365831</v>
      </c>
      <c r="AC69" s="187">
        <v>0.75192752161034193</v>
      </c>
      <c r="AD69" s="187">
        <v>0.75330971480673048</v>
      </c>
      <c r="AE69" s="187">
        <v>0.75473758417463344</v>
      </c>
      <c r="AF69" s="187">
        <v>0.7562119813017617</v>
      </c>
      <c r="AG69" s="187">
        <v>0.75774925446170061</v>
      </c>
      <c r="AH69" s="187">
        <v>0.7593714493518996</v>
      </c>
      <c r="AI69" s="187">
        <v>0.76108182640631739</v>
      </c>
      <c r="AJ69" s="187">
        <v>0.76288347427175218</v>
      </c>
      <c r="AK69" s="187">
        <v>0.76477927934134893</v>
      </c>
      <c r="AL69" s="187">
        <v>0.76677189738876583</v>
      </c>
      <c r="AM69" s="187">
        <v>0.76886374369627675</v>
      </c>
      <c r="AN69" s="187">
        <v>0.77105695559061704</v>
      </c>
      <c r="AO69" s="187">
        <v>0.77335375220558866</v>
      </c>
      <c r="AP69" s="187">
        <v>0.77575656371284496</v>
      </c>
      <c r="AQ69" s="187">
        <v>0.77826753782335523</v>
      </c>
      <c r="AR69" s="187">
        <v>0.78088849584065945</v>
      </c>
      <c r="AS69" s="187">
        <v>0.78362089562393844</v>
      </c>
      <c r="AT69" s="187">
        <v>0.78646631992435567</v>
      </c>
      <c r="AU69" s="187">
        <v>0.78942666221145741</v>
      </c>
      <c r="AV69" s="187">
        <v>0.79250348806309867</v>
      </c>
      <c r="AW69" s="187">
        <v>0.79569796837755979</v>
      </c>
      <c r="AX69" s="187">
        <v>0.7990108306842385</v>
      </c>
      <c r="AY69" s="187">
        <v>0.80244282181687754</v>
      </c>
      <c r="AZ69" s="187">
        <v>0.8059949252256482</v>
      </c>
      <c r="BA69" s="187">
        <v>0.80966782120143266</v>
      </c>
      <c r="BB69" s="187">
        <v>0.81346186617365768</v>
      </c>
      <c r="BC69" s="187">
        <v>0.81737708599508951</v>
      </c>
      <c r="BD69" s="187">
        <v>0.82141305039959522</v>
      </c>
      <c r="BE69" s="187">
        <v>0.82556878753106933</v>
      </c>
      <c r="BF69" s="187">
        <v>0.82984292434609097</v>
      </c>
      <c r="BG69" s="187">
        <v>0.83423369125987912</v>
      </c>
      <c r="BH69" s="187">
        <v>0.83873893918301079</v>
      </c>
      <c r="BI69" s="187">
        <v>0.84335598080277174</v>
      </c>
      <c r="BJ69" s="187">
        <v>0.84808150964235518</v>
      </c>
      <c r="BK69" s="187">
        <v>0.85291185640930633</v>
      </c>
      <c r="BL69" s="187">
        <v>0.85784307521809777</v>
      </c>
      <c r="BM69" s="187">
        <v>0.86287091411872463</v>
      </c>
      <c r="BN69" s="187">
        <v>0.8679903882644564</v>
      </c>
      <c r="BO69" s="187">
        <v>0.8731956181515228</v>
      </c>
      <c r="BP69" s="187">
        <v>0.8784803075435651</v>
      </c>
      <c r="BQ69" s="187">
        <v>0.88383803008127027</v>
      </c>
      <c r="BR69" s="187">
        <v>0.8892619283212676</v>
      </c>
      <c r="BS69" s="187">
        <v>0.89474425611786945</v>
      </c>
      <c r="BT69" s="187">
        <v>0.9002762100124958</v>
      </c>
      <c r="BU69" s="187">
        <v>0.90584810007241923</v>
      </c>
      <c r="BV69" s="187">
        <v>0.91145007401067535</v>
      </c>
      <c r="BW69" s="187">
        <v>0.91707227861330343</v>
      </c>
      <c r="BX69" s="187">
        <v>0.92270438520876019</v>
      </c>
      <c r="BY69" s="187">
        <v>0.9283353790622243</v>
      </c>
      <c r="BZ69" s="187">
        <v>0.93395442458386568</v>
      </c>
      <c r="CA69" s="187">
        <v>0.93955109893702249</v>
      </c>
      <c r="CB69" s="187">
        <v>0.94511566707322958</v>
      </c>
      <c r="CC69" s="187">
        <v>0.95063911964927494</v>
      </c>
      <c r="CD69" s="187">
        <v>0.95611337220573112</v>
      </c>
      <c r="CE69" s="187">
        <v>0.9615320144368078</v>
      </c>
      <c r="CF69" s="187">
        <v>0.96688958977688788</v>
      </c>
      <c r="CG69" s="187">
        <v>0.9721794866040937</v>
      </c>
      <c r="CH69" s="187">
        <v>0.97739286196591091</v>
      </c>
      <c r="CI69" s="187">
        <v>0.98251963362561745</v>
      </c>
      <c r="CJ69" s="187">
        <v>0.98755004643904332</v>
      </c>
      <c r="CK69" s="187">
        <v>0.99247468476714207</v>
      </c>
      <c r="CL69" s="187">
        <v>0.99728531602662407</v>
      </c>
      <c r="CM69" s="121">
        <v>1.0019756214808375</v>
      </c>
      <c r="CN69" s="61"/>
      <c r="CO69" s="61"/>
      <c r="CP69" s="61"/>
      <c r="CQ69" s="61"/>
      <c r="CR69" s="61"/>
      <c r="CS69" s="61"/>
      <c r="CT69" s="61"/>
      <c r="CU69" s="61"/>
      <c r="CV69" s="61"/>
      <c r="CW69" s="61"/>
      <c r="CX69" s="61"/>
      <c r="CY69" s="66"/>
      <c r="CZ69" s="66"/>
      <c r="DA69" s="66"/>
      <c r="DB69" s="66"/>
      <c r="DC69" s="66"/>
      <c r="DD69" s="66"/>
      <c r="DE69" s="66"/>
      <c r="DF69" s="66"/>
      <c r="DG69" s="66"/>
      <c r="DH69" s="66"/>
      <c r="DI69" s="66"/>
      <c r="DJ69" s="66"/>
      <c r="DW69" s="42">
        <v>1973</v>
      </c>
      <c r="DX69" s="16">
        <v>53400</v>
      </c>
      <c r="DY69" s="46">
        <v>55500</v>
      </c>
      <c r="DZ69" s="46">
        <v>57600</v>
      </c>
      <c r="EA69" s="46">
        <v>60600</v>
      </c>
      <c r="EB69" s="46">
        <v>61200</v>
      </c>
      <c r="EC69" s="46">
        <v>62700</v>
      </c>
      <c r="ED69" s="46">
        <v>65400</v>
      </c>
      <c r="EE69" s="46">
        <v>68400</v>
      </c>
      <c r="EF69" s="46">
        <v>72600</v>
      </c>
      <c r="EG69" s="46">
        <v>76200</v>
      </c>
      <c r="EH69" s="46">
        <v>80400</v>
      </c>
      <c r="EI69" s="46">
        <v>84900</v>
      </c>
      <c r="EJ69" s="46">
        <v>87000</v>
      </c>
      <c r="EK69" s="140">
        <v>87900</v>
      </c>
      <c r="EN69" s="42">
        <v>1973</v>
      </c>
      <c r="EO69" s="105">
        <v>32400</v>
      </c>
      <c r="EP69" s="126">
        <v>35700</v>
      </c>
      <c r="EQ69" s="148">
        <v>37800</v>
      </c>
      <c r="ER69" s="126">
        <v>39600</v>
      </c>
      <c r="ES69" s="126">
        <v>42000</v>
      </c>
      <c r="ET69" s="126">
        <v>43800</v>
      </c>
      <c r="EU69" s="126">
        <v>45000</v>
      </c>
      <c r="EV69" s="40">
        <v>48000</v>
      </c>
      <c r="EW69" s="126">
        <v>51300</v>
      </c>
      <c r="EX69" s="200">
        <v>53400</v>
      </c>
      <c r="EY69" s="46">
        <v>55500</v>
      </c>
      <c r="EZ69" s="46">
        <v>57600</v>
      </c>
      <c r="FA69" s="46">
        <v>60600</v>
      </c>
      <c r="FB69" s="46">
        <v>61200</v>
      </c>
      <c r="FC69" s="46">
        <v>62700</v>
      </c>
      <c r="FD69" s="46">
        <v>65400</v>
      </c>
      <c r="FE69" s="46">
        <v>68400</v>
      </c>
      <c r="FF69" s="46">
        <v>72600</v>
      </c>
      <c r="FG69" s="46">
        <v>76200</v>
      </c>
      <c r="FH69" s="46">
        <v>80400</v>
      </c>
      <c r="FI69" s="46">
        <v>84900</v>
      </c>
      <c r="FJ69" s="46">
        <v>87000</v>
      </c>
      <c r="FK69" s="140">
        <v>87900</v>
      </c>
    </row>
    <row r="70" spans="2:167" ht="15.75" x14ac:dyDescent="0.25">
      <c r="B70" s="61"/>
      <c r="C70" s="61"/>
      <c r="D70" s="207">
        <v>65</v>
      </c>
      <c r="E70" s="125">
        <v>1.7749999999999999</v>
      </c>
      <c r="F70" s="61"/>
      <c r="G70" s="61"/>
      <c r="H70" s="61"/>
      <c r="I70" s="61"/>
      <c r="J70" s="19">
        <v>66</v>
      </c>
      <c r="K70" s="121">
        <v>0.63333333333333464</v>
      </c>
      <c r="L70" s="61"/>
      <c r="M70" s="294">
        <v>66</v>
      </c>
      <c r="N70" s="121">
        <v>1.9618525605333579</v>
      </c>
      <c r="O70" s="61"/>
      <c r="P70" s="87">
        <v>66</v>
      </c>
      <c r="Q70" s="47">
        <v>0.73135507160280078</v>
      </c>
      <c r="R70" s="187">
        <v>0.73226445699991638</v>
      </c>
      <c r="S70" s="187">
        <v>0.73320967791041913</v>
      </c>
      <c r="T70" s="187">
        <v>0.73419142604603049</v>
      </c>
      <c r="U70" s="187">
        <v>0.73521039866907845</v>
      </c>
      <c r="V70" s="187">
        <v>0.73626730113517858</v>
      </c>
      <c r="W70" s="187">
        <v>0.73736285995545903</v>
      </c>
      <c r="X70" s="187">
        <v>0.73849782377044082</v>
      </c>
      <c r="Y70" s="187">
        <v>0.73967296260879845</v>
      </c>
      <c r="Z70" s="187">
        <v>0.74088906529811827</v>
      </c>
      <c r="AA70" s="187">
        <v>0.74214693496912243</v>
      </c>
      <c r="AB70" s="187">
        <v>0.74344737732846811</v>
      </c>
      <c r="AC70" s="187">
        <v>0.74479119139187488</v>
      </c>
      <c r="AD70" s="187">
        <v>0.74617915789692746</v>
      </c>
      <c r="AE70" s="187">
        <v>0.7476120255469344</v>
      </c>
      <c r="AF70" s="187">
        <v>0.74909050685857059</v>
      </c>
      <c r="AG70" s="187">
        <v>0.75063179904908761</v>
      </c>
      <c r="AH70" s="187">
        <v>0.75225929790451296</v>
      </c>
      <c r="AI70" s="187">
        <v>0.7539764267996909</v>
      </c>
      <c r="AJ70" s="187">
        <v>0.75578643785587141</v>
      </c>
      <c r="AK70" s="187">
        <v>0.75769237985525628</v>
      </c>
      <c r="AL70" s="187">
        <v>0.75969706821411498</v>
      </c>
      <c r="AM70" s="187">
        <v>0.76180307449302087</v>
      </c>
      <c r="AN70" s="187">
        <v>0.76401268618604845</v>
      </c>
      <c r="AO70" s="187">
        <v>0.76632829045206008</v>
      </c>
      <c r="AP70" s="187">
        <v>0.7687525158070514</v>
      </c>
      <c r="AQ70" s="187">
        <v>0.77128770671579516</v>
      </c>
      <c r="AR70" s="187">
        <v>0.77393587689021415</v>
      </c>
      <c r="AS70" s="187">
        <v>0.776698670089774</v>
      </c>
      <c r="AT70" s="187">
        <v>0.77957788238970827</v>
      </c>
      <c r="AU70" s="187">
        <v>0.78257566642057963</v>
      </c>
      <c r="AV70" s="187">
        <v>0.78569385076673459</v>
      </c>
      <c r="AW70" s="187">
        <v>0.788933869119535</v>
      </c>
      <c r="AX70" s="187">
        <v>0.79229670853661249</v>
      </c>
      <c r="AY70" s="187">
        <v>0.7957834050864151</v>
      </c>
      <c r="AZ70" s="187">
        <v>0.79939528162914752</v>
      </c>
      <c r="BA70" s="187">
        <v>0.80313337115262851</v>
      </c>
      <c r="BB70" s="187">
        <v>0.80699839549670882</v>
      </c>
      <c r="BC70" s="187">
        <v>0.81099075932729148</v>
      </c>
      <c r="BD70" s="187">
        <v>0.81511041613601409</v>
      </c>
      <c r="BE70" s="187">
        <v>0.81935677523859696</v>
      </c>
      <c r="BF70" s="187">
        <v>0.82372885175259136</v>
      </c>
      <c r="BG70" s="187">
        <v>0.82822527161049408</v>
      </c>
      <c r="BH70" s="187">
        <v>0.83284428956145706</v>
      </c>
      <c r="BI70" s="187">
        <v>0.83758361786477731</v>
      </c>
      <c r="BJ70" s="187">
        <v>0.84244033523011153</v>
      </c>
      <c r="BK70" s="187">
        <v>0.84741115996336336</v>
      </c>
      <c r="BL70" s="187">
        <v>0.85249254009290965</v>
      </c>
      <c r="BM70" s="187">
        <v>0.85768061922098049</v>
      </c>
      <c r="BN70" s="187">
        <v>0.86297076988233734</v>
      </c>
      <c r="BO70" s="187">
        <v>0.86835740822904295</v>
      </c>
      <c r="BP70" s="187">
        <v>0.87383450246055328</v>
      </c>
      <c r="BQ70" s="187">
        <v>0.87939587812039488</v>
      </c>
      <c r="BR70" s="187">
        <v>0.88503488775527062</v>
      </c>
      <c r="BS70" s="187">
        <v>0.89074390452169316</v>
      </c>
      <c r="BT70" s="187">
        <v>0.89651412630746496</v>
      </c>
      <c r="BU70" s="187">
        <v>0.90233574598461175</v>
      </c>
      <c r="BV70" s="187">
        <v>0.90819872955917313</v>
      </c>
      <c r="BW70" s="187">
        <v>0.91409298582335563</v>
      </c>
      <c r="BX70" s="187">
        <v>0.92000784352283493</v>
      </c>
      <c r="BY70" s="187">
        <v>0.92593180853606805</v>
      </c>
      <c r="BZ70" s="187">
        <v>0.93185349860154509</v>
      </c>
      <c r="CA70" s="187">
        <v>0.93776189293609613</v>
      </c>
      <c r="CB70" s="187">
        <v>0.94364662991459003</v>
      </c>
      <c r="CC70" s="187">
        <v>0.94949804721926667</v>
      </c>
      <c r="CD70" s="187">
        <v>0.95530739871464887</v>
      </c>
      <c r="CE70" s="187">
        <v>0.961067681385816</v>
      </c>
      <c r="CF70" s="187">
        <v>0.96677286668833595</v>
      </c>
      <c r="CG70" s="187">
        <v>0.97241559700933289</v>
      </c>
      <c r="CH70" s="187">
        <v>0.97798599854484958</v>
      </c>
      <c r="CI70" s="187">
        <v>0.98347275717681981</v>
      </c>
      <c r="CJ70" s="187">
        <v>0.98886483986005858</v>
      </c>
      <c r="CK70" s="187">
        <v>0.99415151426042014</v>
      </c>
      <c r="CL70" s="187">
        <v>0.999323282418629</v>
      </c>
      <c r="CM70" s="121">
        <v>1.0043726990740003</v>
      </c>
      <c r="CN70" s="61"/>
      <c r="CO70" s="61"/>
      <c r="CP70" s="61"/>
      <c r="CQ70" s="61"/>
      <c r="CR70" s="61"/>
      <c r="CS70" s="61"/>
      <c r="CT70" s="61"/>
      <c r="CU70" s="61"/>
      <c r="CV70" s="61"/>
      <c r="CW70" s="61"/>
      <c r="CX70" s="61"/>
      <c r="CY70" s="66"/>
      <c r="CZ70" s="66"/>
      <c r="DA70" s="66"/>
      <c r="DB70" s="66"/>
      <c r="DC70" s="66"/>
      <c r="DD70" s="66"/>
      <c r="DE70" s="66"/>
      <c r="DF70" s="66"/>
      <c r="DG70" s="66"/>
      <c r="DH70" s="66"/>
      <c r="DI70" s="66"/>
      <c r="DJ70" s="66"/>
      <c r="DW70" s="42">
        <v>1974</v>
      </c>
      <c r="DX70" s="16">
        <v>53400</v>
      </c>
      <c r="DY70" s="46">
        <v>55500</v>
      </c>
      <c r="DZ70" s="46">
        <v>57600</v>
      </c>
      <c r="EA70" s="46">
        <v>60600</v>
      </c>
      <c r="EB70" s="46">
        <v>61200</v>
      </c>
      <c r="EC70" s="46">
        <v>62700</v>
      </c>
      <c r="ED70" s="46">
        <v>65400</v>
      </c>
      <c r="EE70" s="46">
        <v>68400</v>
      </c>
      <c r="EF70" s="46">
        <v>72600</v>
      </c>
      <c r="EG70" s="46">
        <v>76200</v>
      </c>
      <c r="EH70" s="46">
        <v>80400</v>
      </c>
      <c r="EI70" s="46">
        <v>84900</v>
      </c>
      <c r="EJ70" s="46">
        <v>87000</v>
      </c>
      <c r="EK70" s="140">
        <v>87900</v>
      </c>
      <c r="EN70" s="42">
        <v>1974</v>
      </c>
      <c r="EO70" s="105">
        <v>32400</v>
      </c>
      <c r="EP70" s="126">
        <v>35700</v>
      </c>
      <c r="EQ70" s="148">
        <v>37800</v>
      </c>
      <c r="ER70" s="126">
        <v>39600</v>
      </c>
      <c r="ES70" s="126">
        <v>42000</v>
      </c>
      <c r="ET70" s="126">
        <v>43800</v>
      </c>
      <c r="EU70" s="126">
        <v>45000</v>
      </c>
      <c r="EV70" s="40">
        <v>48000</v>
      </c>
      <c r="EW70" s="126">
        <v>51300</v>
      </c>
      <c r="EX70" s="200">
        <v>53400</v>
      </c>
      <c r="EY70" s="46">
        <v>55500</v>
      </c>
      <c r="EZ70" s="46">
        <v>57600</v>
      </c>
      <c r="FA70" s="46">
        <v>60600</v>
      </c>
      <c r="FB70" s="46">
        <v>61200</v>
      </c>
      <c r="FC70" s="46">
        <v>62700</v>
      </c>
      <c r="FD70" s="46">
        <v>65400</v>
      </c>
      <c r="FE70" s="46">
        <v>68400</v>
      </c>
      <c r="FF70" s="46">
        <v>72600</v>
      </c>
      <c r="FG70" s="46">
        <v>76200</v>
      </c>
      <c r="FH70" s="46">
        <v>80400</v>
      </c>
      <c r="FI70" s="46">
        <v>84900</v>
      </c>
      <c r="FJ70" s="46">
        <v>87000</v>
      </c>
      <c r="FK70" s="140">
        <v>87900</v>
      </c>
    </row>
    <row r="71" spans="2:167" ht="15.75" x14ac:dyDescent="0.25">
      <c r="B71" s="61"/>
      <c r="C71" s="61"/>
      <c r="D71" s="207">
        <v>66</v>
      </c>
      <c r="E71" s="125">
        <v>1.798</v>
      </c>
      <c r="F71" s="61"/>
      <c r="G71" s="61"/>
      <c r="H71" s="61"/>
      <c r="I71" s="61"/>
      <c r="J71" s="19">
        <v>67</v>
      </c>
      <c r="K71" s="121">
        <v>0.6277777777777791</v>
      </c>
      <c r="L71" s="61"/>
      <c r="M71" s="294">
        <v>67</v>
      </c>
      <c r="N71" s="121">
        <v>1.9835952817377851</v>
      </c>
      <c r="O71" s="61"/>
      <c r="P71" s="87">
        <v>67</v>
      </c>
      <c r="Q71" s="47">
        <v>0.72428259422542429</v>
      </c>
      <c r="R71" s="187">
        <v>0.72519887097064439</v>
      </c>
      <c r="S71" s="187">
        <v>0.72615144771642126</v>
      </c>
      <c r="T71" s="187">
        <v>0.72714095159459002</v>
      </c>
      <c r="U71" s="187">
        <v>0.72816800425233719</v>
      </c>
      <c r="V71" s="187">
        <v>0.72923322541770541</v>
      </c>
      <c r="W71" s="187">
        <v>0.73033723518611438</v>
      </c>
      <c r="X71" s="187">
        <v>0.73148066795675948</v>
      </c>
      <c r="Y71" s="187">
        <v>0.73266417288073715</v>
      </c>
      <c r="Z71" s="187">
        <v>0.73388841234275426</v>
      </c>
      <c r="AA71" s="187">
        <v>0.7351540583197741</v>
      </c>
      <c r="AB71" s="187">
        <v>0.7364617865409816</v>
      </c>
      <c r="AC71" s="187">
        <v>0.73781226251161369</v>
      </c>
      <c r="AD71" s="187">
        <v>0.73920613016483483</v>
      </c>
      <c r="AE71" s="187">
        <v>0.74064399780738333</v>
      </c>
      <c r="AF71" s="187">
        <v>0.74212642150562502</v>
      </c>
      <c r="AG71" s="187">
        <v>0.74367148348662337</v>
      </c>
      <c r="AH71" s="187">
        <v>0.74530400450530165</v>
      </c>
      <c r="AI71" s="187">
        <v>0.74702757222799765</v>
      </c>
      <c r="AJ71" s="187">
        <v>0.74884560340765161</v>
      </c>
      <c r="AK71" s="187">
        <v>0.75076130987141576</v>
      </c>
      <c r="AL71" s="187">
        <v>0.75277766663765044</v>
      </c>
      <c r="AM71" s="187">
        <v>0.75489740091602897</v>
      </c>
      <c r="AN71" s="187">
        <v>0.75712294907700894</v>
      </c>
      <c r="AO71" s="187">
        <v>0.75945686537682233</v>
      </c>
      <c r="AP71" s="187">
        <v>0.76190197703686136</v>
      </c>
      <c r="AQ71" s="187">
        <v>0.76446082478564414</v>
      </c>
      <c r="AR71" s="187">
        <v>0.7671356133990197</v>
      </c>
      <c r="AS71" s="187">
        <v>0.76992816979069945</v>
      </c>
      <c r="AT71" s="187">
        <v>0.77284050126868009</v>
      </c>
      <c r="AU71" s="187">
        <v>0.77587501975040118</v>
      </c>
      <c r="AV71" s="187">
        <v>0.77903381652178383</v>
      </c>
      <c r="AW71" s="187">
        <v>0.7823185874441525</v>
      </c>
      <c r="AX71" s="187">
        <v>0.78573057790218304</v>
      </c>
      <c r="AY71" s="187">
        <v>0.78927111377392234</v>
      </c>
      <c r="AZ71" s="187">
        <v>0.79294186180871495</v>
      </c>
      <c r="BA71" s="187">
        <v>0.79674421400761142</v>
      </c>
      <c r="BB71" s="187">
        <v>0.80067926571672021</v>
      </c>
      <c r="BC71" s="187">
        <v>0.80474781012829399</v>
      </c>
      <c r="BD71" s="187">
        <v>0.80895019595806084</v>
      </c>
      <c r="BE71" s="187">
        <v>0.81328622696305175</v>
      </c>
      <c r="BF71" s="187">
        <v>0.8177553226646922</v>
      </c>
      <c r="BG71" s="187">
        <v>0.82235652337717757</v>
      </c>
      <c r="BH71" s="187">
        <v>0.82708850977223114</v>
      </c>
      <c r="BI71" s="187">
        <v>0.83194941858557658</v>
      </c>
      <c r="BJ71" s="187">
        <v>0.83693674209606406</v>
      </c>
      <c r="BK71" s="187">
        <v>0.84204762001718247</v>
      </c>
      <c r="BL71" s="187">
        <v>0.84727893449391944</v>
      </c>
      <c r="BM71" s="187">
        <v>0.85262727105516289</v>
      </c>
      <c r="BN71" s="187">
        <v>0.85808841118373913</v>
      </c>
      <c r="BO71" s="187">
        <v>0.86365712196536815</v>
      </c>
      <c r="BP71" s="187">
        <v>0.86932769661574538</v>
      </c>
      <c r="BQ71" s="187">
        <v>0.87509427883882485</v>
      </c>
      <c r="BR71" s="187">
        <v>0.88095050116685913</v>
      </c>
      <c r="BS71" s="187">
        <v>0.88688892668665653</v>
      </c>
      <c r="BT71" s="187">
        <v>0.89290082437309259</v>
      </c>
      <c r="BU71" s="187">
        <v>0.8989763368504049</v>
      </c>
      <c r="BV71" s="187">
        <v>0.90510531454949339</v>
      </c>
      <c r="BW71" s="187">
        <v>0.91127749360254218</v>
      </c>
      <c r="BX71" s="187">
        <v>0.91748192164433473</v>
      </c>
      <c r="BY71" s="187">
        <v>0.92370667890397173</v>
      </c>
      <c r="BZ71" s="187">
        <v>0.92993988662539973</v>
      </c>
      <c r="CA71" s="187">
        <v>0.93616997371766997</v>
      </c>
      <c r="CB71" s="187">
        <v>0.9423859972186075</v>
      </c>
      <c r="CC71" s="187">
        <v>0.94857768501620165</v>
      </c>
      <c r="CD71" s="187">
        <v>0.95473566933575749</v>
      </c>
      <c r="CE71" s="187">
        <v>0.96085239365024377</v>
      </c>
      <c r="CF71" s="187">
        <v>0.96692128400765087</v>
      </c>
      <c r="CG71" s="187">
        <v>0.97293423675231749</v>
      </c>
      <c r="CH71" s="187">
        <v>0.97888031052134794</v>
      </c>
      <c r="CI71" s="187">
        <v>0.98474689185451858</v>
      </c>
      <c r="CJ71" s="187">
        <v>0.99052158355519382</v>
      </c>
      <c r="CK71" s="187">
        <v>0.99619223408076207</v>
      </c>
      <c r="CL71" s="187">
        <v>1.0017479676074419</v>
      </c>
      <c r="CM71" s="121">
        <v>1.0071801012602521</v>
      </c>
      <c r="CN71" s="61"/>
      <c r="CO71" s="61"/>
      <c r="CP71" s="61"/>
      <c r="CQ71" s="61"/>
      <c r="CR71" s="61"/>
      <c r="CS71" s="61"/>
      <c r="CT71" s="61"/>
      <c r="CU71" s="61"/>
      <c r="CV71" s="61"/>
      <c r="CW71" s="61"/>
      <c r="CX71" s="61"/>
      <c r="CY71" s="66"/>
      <c r="CZ71" s="66"/>
      <c r="DA71" s="66"/>
      <c r="DB71" s="66"/>
      <c r="DC71" s="66"/>
      <c r="DD71" s="66"/>
      <c r="DE71" s="66"/>
      <c r="DF71" s="66"/>
      <c r="DG71" s="66"/>
      <c r="DH71" s="66"/>
      <c r="DI71" s="66"/>
      <c r="DJ71" s="66"/>
      <c r="DW71" s="42">
        <v>1975</v>
      </c>
      <c r="DX71" s="16">
        <v>53400</v>
      </c>
      <c r="DY71" s="46">
        <v>55500</v>
      </c>
      <c r="DZ71" s="46">
        <v>57600</v>
      </c>
      <c r="EA71" s="46">
        <v>60600</v>
      </c>
      <c r="EB71" s="46">
        <v>61200</v>
      </c>
      <c r="EC71" s="46">
        <v>62700</v>
      </c>
      <c r="ED71" s="46">
        <v>65400</v>
      </c>
      <c r="EE71" s="46">
        <v>68400</v>
      </c>
      <c r="EF71" s="46">
        <v>72600</v>
      </c>
      <c r="EG71" s="46">
        <v>76200</v>
      </c>
      <c r="EH71" s="46">
        <v>80400</v>
      </c>
      <c r="EI71" s="46">
        <v>84900</v>
      </c>
      <c r="EJ71" s="46">
        <v>87000</v>
      </c>
      <c r="EK71" s="140">
        <v>87900</v>
      </c>
      <c r="EN71" s="42">
        <v>1975</v>
      </c>
      <c r="EO71" s="105">
        <v>32400</v>
      </c>
      <c r="EP71" s="126">
        <v>35700</v>
      </c>
      <c r="EQ71" s="148">
        <v>37800</v>
      </c>
      <c r="ER71" s="126">
        <v>39600</v>
      </c>
      <c r="ES71" s="126">
        <v>42000</v>
      </c>
      <c r="ET71" s="126">
        <v>43800</v>
      </c>
      <c r="EU71" s="126">
        <v>45000</v>
      </c>
      <c r="EV71" s="40">
        <v>48000</v>
      </c>
      <c r="EW71" s="126">
        <v>51300</v>
      </c>
      <c r="EX71" s="200">
        <v>53400</v>
      </c>
      <c r="EY71" s="46">
        <v>55500</v>
      </c>
      <c r="EZ71" s="46">
        <v>57600</v>
      </c>
      <c r="FA71" s="46">
        <v>60600</v>
      </c>
      <c r="FB71" s="46">
        <v>61200</v>
      </c>
      <c r="FC71" s="46">
        <v>62700</v>
      </c>
      <c r="FD71" s="46">
        <v>65400</v>
      </c>
      <c r="FE71" s="46">
        <v>68400</v>
      </c>
      <c r="FF71" s="46">
        <v>72600</v>
      </c>
      <c r="FG71" s="46">
        <v>76200</v>
      </c>
      <c r="FH71" s="46">
        <v>80400</v>
      </c>
      <c r="FI71" s="46">
        <v>84900</v>
      </c>
      <c r="FJ71" s="46">
        <v>87000</v>
      </c>
      <c r="FK71" s="140">
        <v>87900</v>
      </c>
    </row>
    <row r="72" spans="2:167" ht="15.75" x14ac:dyDescent="0.25">
      <c r="B72" s="61"/>
      <c r="C72" s="61"/>
      <c r="D72" s="207">
        <v>67</v>
      </c>
      <c r="E72" s="125">
        <v>1.821</v>
      </c>
      <c r="F72" s="61"/>
      <c r="G72" s="61"/>
      <c r="H72" s="61"/>
      <c r="I72" s="61"/>
      <c r="J72" s="19">
        <v>68</v>
      </c>
      <c r="K72" s="121">
        <v>0.62222222222222356</v>
      </c>
      <c r="L72" s="61"/>
      <c r="M72" s="294">
        <v>68</v>
      </c>
      <c r="N72" s="121">
        <v>2.0053380029422119</v>
      </c>
      <c r="O72" s="61"/>
      <c r="P72" s="87">
        <v>68</v>
      </c>
      <c r="Q72" s="47">
        <v>0.71740571126086994</v>
      </c>
      <c r="R72" s="187">
        <v>0.71832906369407346</v>
      </c>
      <c r="S72" s="187">
        <v>0.719289248424971</v>
      </c>
      <c r="T72" s="187">
        <v>0.72028682625607698</v>
      </c>
      <c r="U72" s="187">
        <v>0.72132233870635065</v>
      </c>
      <c r="V72" s="187">
        <v>0.72239631237760726</v>
      </c>
      <c r="W72" s="187">
        <v>0.72350926232946799</v>
      </c>
      <c r="X72" s="187">
        <v>0.72466169397303726</v>
      </c>
      <c r="Y72" s="187">
        <v>0.72585411790576404</v>
      </c>
      <c r="Z72" s="187">
        <v>0.72708704963144444</v>
      </c>
      <c r="AA72" s="187">
        <v>0.72836100700835549</v>
      </c>
      <c r="AB72" s="187">
        <v>0.72967650523884831</v>
      </c>
      <c r="AC72" s="187">
        <v>0.73103404930185412</v>
      </c>
      <c r="AD72" s="187">
        <v>0.73243411718001972</v>
      </c>
      <c r="AE72" s="187">
        <v>0.73387714587795183</v>
      </c>
      <c r="AF72" s="187">
        <v>0.73536351425327262</v>
      </c>
      <c r="AG72" s="187">
        <v>0.73691223790645288</v>
      </c>
      <c r="AH72" s="187">
        <v>0.73854964801380862</v>
      </c>
      <c r="AI72" s="187">
        <v>0.7402794982058426</v>
      </c>
      <c r="AJ72" s="187">
        <v>0.74210537159452883</v>
      </c>
      <c r="AK72" s="187">
        <v>0.74403064439211997</v>
      </c>
      <c r="AL72" s="187">
        <v>0.74605845179786812</v>
      </c>
      <c r="AM72" s="187">
        <v>0.74819167635103523</v>
      </c>
      <c r="AN72" s="187">
        <v>0.75043290204058788</v>
      </c>
      <c r="AO72" s="187">
        <v>0.75278484980131311</v>
      </c>
      <c r="AP72" s="187">
        <v>0.7552505466007815</v>
      </c>
      <c r="AQ72" s="187">
        <v>0.75783272956504766</v>
      </c>
      <c r="AR72" s="187">
        <v>0.76053379340190996</v>
      </c>
      <c r="AS72" s="187">
        <v>0.76335574576820697</v>
      </c>
      <c r="AT72" s="187">
        <v>0.76630080349897278</v>
      </c>
      <c r="AU72" s="187">
        <v>0.76937163839937162</v>
      </c>
      <c r="AV72" s="187">
        <v>0.7725706044476246</v>
      </c>
      <c r="AW72" s="187">
        <v>0.77589965877797007</v>
      </c>
      <c r="AX72" s="187">
        <v>0.77936030347935159</v>
      </c>
      <c r="AY72" s="187">
        <v>0.78295415425699622</v>
      </c>
      <c r="AZ72" s="187">
        <v>0.78668322557732073</v>
      </c>
      <c r="BA72" s="187">
        <v>0.7905492740034048</v>
      </c>
      <c r="BB72" s="187">
        <v>0.79455377596101551</v>
      </c>
      <c r="BC72" s="187">
        <v>0.79869792276699858</v>
      </c>
      <c r="BD72" s="187">
        <v>0.80298246916218474</v>
      </c>
      <c r="BE72" s="187">
        <v>0.80740762548184009</v>
      </c>
      <c r="BF72" s="187">
        <v>0.81197323056949899</v>
      </c>
      <c r="BG72" s="187">
        <v>0.81667875742633134</v>
      </c>
      <c r="BH72" s="187">
        <v>0.821523334019998</v>
      </c>
      <c r="BI72" s="187">
        <v>0.82650554566250045</v>
      </c>
      <c r="BJ72" s="187">
        <v>0.83162332468958444</v>
      </c>
      <c r="BK72" s="187">
        <v>0.83687426412430732</v>
      </c>
      <c r="BL72" s="187">
        <v>0.84225571884134631</v>
      </c>
      <c r="BM72" s="187">
        <v>0.84776476208203566</v>
      </c>
      <c r="BN72" s="187">
        <v>0.85339763417542247</v>
      </c>
      <c r="BO72" s="187">
        <v>0.85914950704208737</v>
      </c>
      <c r="BP72" s="187">
        <v>0.86501505969296066</v>
      </c>
      <c r="BQ72" s="187">
        <v>0.87098882265154443</v>
      </c>
      <c r="BR72" s="187">
        <v>0.87706478148951206</v>
      </c>
      <c r="BS72" s="187">
        <v>0.88323576248289959</v>
      </c>
      <c r="BT72" s="187">
        <v>0.88949317740265144</v>
      </c>
      <c r="BU72" s="187">
        <v>0.89582718900940617</v>
      </c>
      <c r="BV72" s="187">
        <v>0.90222760411906611</v>
      </c>
      <c r="BW72" s="187">
        <v>0.90868405820220433</v>
      </c>
      <c r="BX72" s="187">
        <v>0.91518538495191259</v>
      </c>
      <c r="BY72" s="187">
        <v>0.92171929863987889</v>
      </c>
      <c r="BZ72" s="187">
        <v>0.92827348141502442</v>
      </c>
      <c r="CA72" s="187">
        <v>0.93483586725032641</v>
      </c>
      <c r="CB72" s="187">
        <v>0.94139498710564429</v>
      </c>
      <c r="CC72" s="187">
        <v>0.9479400127621096</v>
      </c>
      <c r="CD72" s="187">
        <v>0.95446100863441696</v>
      </c>
      <c r="CE72" s="187">
        <v>0.96094992324450179</v>
      </c>
      <c r="CF72" s="187">
        <v>0.96739969068364473</v>
      </c>
      <c r="CG72" s="187">
        <v>0.97380148105393438</v>
      </c>
      <c r="CH72" s="187">
        <v>0.98014326269502317</v>
      </c>
      <c r="CI72" s="187">
        <v>0.98641106492637287</v>
      </c>
      <c r="CJ72" s="187">
        <v>0.99259104809203091</v>
      </c>
      <c r="CK72" s="187">
        <v>0.99866954232562888</v>
      </c>
      <c r="CL72" s="187">
        <v>1.0046341851597613</v>
      </c>
      <c r="CM72" s="121">
        <v>1.0104749453783168</v>
      </c>
      <c r="CN72" s="61"/>
      <c r="CO72" s="61"/>
      <c r="CP72" s="61"/>
      <c r="CQ72" s="61"/>
      <c r="CR72" s="61"/>
      <c r="CS72" s="61"/>
      <c r="CT72" s="61"/>
      <c r="CU72" s="61"/>
      <c r="CV72" s="61"/>
      <c r="CW72" s="61"/>
      <c r="CX72" s="61"/>
      <c r="CY72" s="66"/>
      <c r="CZ72" s="66"/>
      <c r="DA72" s="66"/>
      <c r="DB72" s="66"/>
      <c r="DC72" s="66"/>
      <c r="DD72" s="66"/>
      <c r="DE72" s="66"/>
      <c r="DF72" s="66"/>
      <c r="DG72" s="66"/>
      <c r="DH72" s="66"/>
      <c r="DI72" s="66"/>
      <c r="DJ72" s="66"/>
      <c r="DW72" s="42">
        <v>1976</v>
      </c>
      <c r="DX72" s="16">
        <v>53400</v>
      </c>
      <c r="DY72" s="46">
        <v>55500</v>
      </c>
      <c r="DZ72" s="46">
        <v>57600</v>
      </c>
      <c r="EA72" s="46">
        <v>60600</v>
      </c>
      <c r="EB72" s="46">
        <v>61200</v>
      </c>
      <c r="EC72" s="46">
        <v>62700</v>
      </c>
      <c r="ED72" s="46">
        <v>65400</v>
      </c>
      <c r="EE72" s="46">
        <v>68400</v>
      </c>
      <c r="EF72" s="46">
        <v>72600</v>
      </c>
      <c r="EG72" s="46">
        <v>76200</v>
      </c>
      <c r="EH72" s="46">
        <v>80400</v>
      </c>
      <c r="EI72" s="46">
        <v>84900</v>
      </c>
      <c r="EJ72" s="46">
        <v>87000</v>
      </c>
      <c r="EK72" s="140">
        <v>87900</v>
      </c>
      <c r="EN72" s="42">
        <v>1976</v>
      </c>
      <c r="EO72" s="105">
        <v>32400</v>
      </c>
      <c r="EP72" s="126">
        <v>35700</v>
      </c>
      <c r="EQ72" s="148">
        <v>37800</v>
      </c>
      <c r="ER72" s="126">
        <v>39600</v>
      </c>
      <c r="ES72" s="126">
        <v>42000</v>
      </c>
      <c r="ET72" s="126">
        <v>43800</v>
      </c>
      <c r="EU72" s="126">
        <v>45000</v>
      </c>
      <c r="EV72" s="40">
        <v>48000</v>
      </c>
      <c r="EW72" s="126">
        <v>51300</v>
      </c>
      <c r="EX72" s="200">
        <v>53400</v>
      </c>
      <c r="EY72" s="46">
        <v>55500</v>
      </c>
      <c r="EZ72" s="46">
        <v>57600</v>
      </c>
      <c r="FA72" s="46">
        <v>60600</v>
      </c>
      <c r="FB72" s="46">
        <v>61200</v>
      </c>
      <c r="FC72" s="46">
        <v>62700</v>
      </c>
      <c r="FD72" s="46">
        <v>65400</v>
      </c>
      <c r="FE72" s="46">
        <v>68400</v>
      </c>
      <c r="FF72" s="46">
        <v>72600</v>
      </c>
      <c r="FG72" s="46">
        <v>76200</v>
      </c>
      <c r="FH72" s="46">
        <v>80400</v>
      </c>
      <c r="FI72" s="46">
        <v>84900</v>
      </c>
      <c r="FJ72" s="46">
        <v>87000</v>
      </c>
      <c r="FK72" s="140">
        <v>87900</v>
      </c>
    </row>
    <row r="73" spans="2:167" ht="15.75" x14ac:dyDescent="0.25">
      <c r="B73" s="61"/>
      <c r="C73" s="61"/>
      <c r="D73" s="207">
        <v>68</v>
      </c>
      <c r="E73" s="125">
        <v>1.8440000000000001</v>
      </c>
      <c r="F73" s="61"/>
      <c r="G73" s="61"/>
      <c r="H73" s="61"/>
      <c r="I73" s="61"/>
      <c r="J73" s="19">
        <v>69</v>
      </c>
      <c r="K73" s="121">
        <v>0.61666666666666803</v>
      </c>
      <c r="L73" s="61"/>
      <c r="M73" s="294">
        <v>69</v>
      </c>
      <c r="N73" s="121">
        <v>2.0270807241466393</v>
      </c>
      <c r="O73" s="61"/>
      <c r="P73" s="87">
        <v>69</v>
      </c>
      <c r="Q73" s="47">
        <v>0.71077709139804401</v>
      </c>
      <c r="R73" s="187">
        <v>0.71170778987386529</v>
      </c>
      <c r="S73" s="187">
        <v>0.71267592649288192</v>
      </c>
      <c r="T73" s="187">
        <v>0.71368200146786775</v>
      </c>
      <c r="U73" s="187">
        <v>0.71472647311974558</v>
      </c>
      <c r="V73" s="187">
        <v>0.71580976861056833</v>
      </c>
      <c r="W73" s="187">
        <v>0.71693228816216337</v>
      </c>
      <c r="X73" s="187">
        <v>0.71809440810250158</v>
      </c>
      <c r="Y73" s="187">
        <v>0.71929648218284159</v>
      </c>
      <c r="Z73" s="187">
        <v>0.72053885731816547</v>
      </c>
      <c r="AA73" s="187">
        <v>0.72182187231002959</v>
      </c>
      <c r="AB73" s="187">
        <v>0.72314585392283703</v>
      </c>
      <c r="AC73" s="187">
        <v>0.72451111008840308</v>
      </c>
      <c r="AD73" s="187">
        <v>0.72591792010940226</v>
      </c>
      <c r="AE73" s="187">
        <v>0.72736651438292377</v>
      </c>
      <c r="AF73" s="187">
        <v>0.72885705706398696</v>
      </c>
      <c r="AG73" s="187">
        <v>0.73040955571923771</v>
      </c>
      <c r="AH73" s="187">
        <v>0.73205195583393889</v>
      </c>
      <c r="AI73" s="187">
        <v>0.73378817953282927</v>
      </c>
      <c r="AJ73" s="187">
        <v>0.73562197856216716</v>
      </c>
      <c r="AK73" s="187">
        <v>0.73755689565030902</v>
      </c>
      <c r="AL73" s="187">
        <v>0.73959622763751021</v>
      </c>
      <c r="AM73" s="187">
        <v>0.7417430128481467</v>
      </c>
      <c r="AN73" s="187">
        <v>0.74399998200190942</v>
      </c>
      <c r="AO73" s="187">
        <v>0.74637002267806407</v>
      </c>
      <c r="AP73" s="187">
        <v>0.74885636363813413</v>
      </c>
      <c r="AQ73" s="187">
        <v>0.75146193940271766</v>
      </c>
      <c r="AR73" s="187">
        <v>0.75418933421312206</v>
      </c>
      <c r="AS73" s="187">
        <v>0.75704073426164831</v>
      </c>
      <c r="AT73" s="187">
        <v>0.76001856499813991</v>
      </c>
      <c r="AU73" s="187">
        <v>0.76312575971427754</v>
      </c>
      <c r="AV73" s="187">
        <v>0.76636493573593234</v>
      </c>
      <c r="AW73" s="187">
        <v>0.76973831095914524</v>
      </c>
      <c r="AX73" s="187">
        <v>0.77324764222869413</v>
      </c>
      <c r="AY73" s="187">
        <v>0.7768948350638637</v>
      </c>
      <c r="AZ73" s="187">
        <v>0.78068225549890813</v>
      </c>
      <c r="BA73" s="187">
        <v>0.784612029787635</v>
      </c>
      <c r="BB73" s="187">
        <v>0.78868602247001174</v>
      </c>
      <c r="BC73" s="187">
        <v>0.79290583235040391</v>
      </c>
      <c r="BD73" s="187">
        <v>0.79727263110417823</v>
      </c>
      <c r="BE73" s="187">
        <v>0.80178704721193528</v>
      </c>
      <c r="BF73" s="187">
        <v>0.80644935278531349</v>
      </c>
      <c r="BG73" s="187">
        <v>0.81125947065877602</v>
      </c>
      <c r="BH73" s="187">
        <v>0.81621699722066376</v>
      </c>
      <c r="BI73" s="187">
        <v>0.82132098987244484</v>
      </c>
      <c r="BJ73" s="187">
        <v>0.82656984674081613</v>
      </c>
      <c r="BK73" s="187">
        <v>0.83196164431873154</v>
      </c>
      <c r="BL73" s="187">
        <v>0.83749424721486243</v>
      </c>
      <c r="BM73" s="187">
        <v>0.84316526093866151</v>
      </c>
      <c r="BN73" s="187">
        <v>0.84897143397743335</v>
      </c>
      <c r="BO73" s="187">
        <v>0.85490839495725968</v>
      </c>
      <c r="BP73" s="187">
        <v>0.86097126817845926</v>
      </c>
      <c r="BQ73" s="187">
        <v>0.86715504045252412</v>
      </c>
      <c r="BR73" s="187">
        <v>0.87345412632202457</v>
      </c>
      <c r="BS73" s="187">
        <v>0.87986169148161975</v>
      </c>
      <c r="BT73" s="187">
        <v>0.88636936410401024</v>
      </c>
      <c r="BU73" s="187">
        <v>0.89296739853369655</v>
      </c>
      <c r="BV73" s="187">
        <v>0.89964563320285129</v>
      </c>
      <c r="BW73" s="187">
        <v>0.90639368094883588</v>
      </c>
      <c r="BX73" s="187">
        <v>0.91320023467026468</v>
      </c>
      <c r="BY73" s="187">
        <v>0.92005270670751094</v>
      </c>
      <c r="BZ73" s="187">
        <v>0.92693840287152196</v>
      </c>
      <c r="CA73" s="187">
        <v>0.9338448245275548</v>
      </c>
      <c r="CB73" s="187">
        <v>0.94076003966895239</v>
      </c>
      <c r="CC73" s="187">
        <v>0.94767272810628767</v>
      </c>
      <c r="CD73" s="187">
        <v>0.95457245171928207</v>
      </c>
      <c r="CE73" s="187">
        <v>0.96145073926775049</v>
      </c>
      <c r="CF73" s="187">
        <v>0.96830010828034263</v>
      </c>
      <c r="CG73" s="187">
        <v>0.97511104938528548</v>
      </c>
      <c r="CH73" s="187">
        <v>0.98187043399838758</v>
      </c>
      <c r="CI73" s="187">
        <v>0.98856288661679637</v>
      </c>
      <c r="CJ73" s="187">
        <v>0.99517305402374856</v>
      </c>
      <c r="CK73" s="187">
        <v>1.0016856542044814</v>
      </c>
      <c r="CL73" s="187">
        <v>1.0080867313205515</v>
      </c>
      <c r="CM73" s="121">
        <v>1.0143647991710045</v>
      </c>
      <c r="CN73" s="61"/>
      <c r="CO73" s="61"/>
      <c r="CP73" s="61"/>
      <c r="CQ73" s="61"/>
      <c r="CR73" s="61"/>
      <c r="CS73" s="61"/>
      <c r="CT73" s="61"/>
      <c r="CU73" s="61"/>
      <c r="CV73" s="61"/>
      <c r="CW73" s="61"/>
      <c r="CX73" s="61"/>
      <c r="CY73" s="66"/>
      <c r="CZ73" s="66"/>
      <c r="DA73" s="66"/>
      <c r="DB73" s="66"/>
      <c r="DC73" s="66"/>
      <c r="DD73" s="66"/>
      <c r="DE73" s="66"/>
      <c r="DF73" s="66"/>
      <c r="DG73" s="66"/>
      <c r="DH73" s="66"/>
      <c r="DI73" s="66"/>
      <c r="DJ73" s="66"/>
      <c r="DW73" s="42">
        <v>1977</v>
      </c>
      <c r="DX73" s="16">
        <v>53400</v>
      </c>
      <c r="DY73" s="46">
        <v>55500</v>
      </c>
      <c r="DZ73" s="46">
        <v>57600</v>
      </c>
      <c r="EA73" s="46">
        <v>60600</v>
      </c>
      <c r="EB73" s="46">
        <v>61200</v>
      </c>
      <c r="EC73" s="46">
        <v>62700</v>
      </c>
      <c r="ED73" s="46">
        <v>65400</v>
      </c>
      <c r="EE73" s="46">
        <v>68400</v>
      </c>
      <c r="EF73" s="46">
        <v>72600</v>
      </c>
      <c r="EG73" s="46">
        <v>76200</v>
      </c>
      <c r="EH73" s="46">
        <v>80400</v>
      </c>
      <c r="EI73" s="46">
        <v>84900</v>
      </c>
      <c r="EJ73" s="46">
        <v>87000</v>
      </c>
      <c r="EK73" s="140">
        <v>87900</v>
      </c>
      <c r="EN73" s="42">
        <v>1977</v>
      </c>
      <c r="EO73" s="105">
        <v>32400</v>
      </c>
      <c r="EP73" s="126">
        <v>35700</v>
      </c>
      <c r="EQ73" s="148">
        <v>37800</v>
      </c>
      <c r="ER73" s="126">
        <v>39600</v>
      </c>
      <c r="ES73" s="126">
        <v>42000</v>
      </c>
      <c r="ET73" s="126">
        <v>43800</v>
      </c>
      <c r="EU73" s="126">
        <v>45000</v>
      </c>
      <c r="EV73" s="40">
        <v>48000</v>
      </c>
      <c r="EW73" s="126">
        <v>51300</v>
      </c>
      <c r="EX73" s="200">
        <v>53400</v>
      </c>
      <c r="EY73" s="46">
        <v>55500</v>
      </c>
      <c r="EZ73" s="46">
        <v>57600</v>
      </c>
      <c r="FA73" s="46">
        <v>60600</v>
      </c>
      <c r="FB73" s="46">
        <v>61200</v>
      </c>
      <c r="FC73" s="46">
        <v>62700</v>
      </c>
      <c r="FD73" s="46">
        <v>65400</v>
      </c>
      <c r="FE73" s="46">
        <v>68400</v>
      </c>
      <c r="FF73" s="46">
        <v>72600</v>
      </c>
      <c r="FG73" s="46">
        <v>76200</v>
      </c>
      <c r="FH73" s="46">
        <v>80400</v>
      </c>
      <c r="FI73" s="46">
        <v>84900</v>
      </c>
      <c r="FJ73" s="46">
        <v>87000</v>
      </c>
      <c r="FK73" s="140">
        <v>87900</v>
      </c>
    </row>
    <row r="74" spans="2:167" ht="15.75" x14ac:dyDescent="0.25">
      <c r="B74" s="61"/>
      <c r="C74" s="61"/>
      <c r="D74" s="207">
        <v>69</v>
      </c>
      <c r="E74" s="125">
        <v>1.867</v>
      </c>
      <c r="F74" s="61"/>
      <c r="G74" s="61"/>
      <c r="H74" s="61"/>
      <c r="I74" s="61"/>
      <c r="J74" s="19">
        <v>70</v>
      </c>
      <c r="K74" s="121">
        <v>0.61111111111111249</v>
      </c>
      <c r="L74" s="61"/>
      <c r="M74" s="294">
        <v>70</v>
      </c>
      <c r="N74" s="121">
        <v>2.0488234453510663</v>
      </c>
      <c r="O74" s="61"/>
      <c r="P74" s="87">
        <v>70</v>
      </c>
      <c r="Q74" s="47">
        <v>0.70445455618758324</v>
      </c>
      <c r="R74" s="187">
        <v>0.70539296900614112</v>
      </c>
      <c r="S74" s="187">
        <v>0.70636950310252145</v>
      </c>
      <c r="T74" s="187">
        <v>0.70738460709070039</v>
      </c>
      <c r="U74" s="187">
        <v>0.70843866120210941</v>
      </c>
      <c r="V74" s="187">
        <v>0.70953198815990604</v>
      </c>
      <c r="W74" s="187">
        <v>0.7106648645024265</v>
      </c>
      <c r="X74" s="187">
        <v>0.71183752451019089</v>
      </c>
      <c r="Y74" s="187">
        <v>0.71305016273457056</v>
      </c>
      <c r="Z74" s="187">
        <v>0.71430293449053051</v>
      </c>
      <c r="AA74" s="187">
        <v>0.71559597248219753</v>
      </c>
      <c r="AB74" s="187">
        <v>0.71692938416868734</v>
      </c>
      <c r="AC74" s="187">
        <v>0.71830324601896223</v>
      </c>
      <c r="AD74" s="187">
        <v>0.71971759438089533</v>
      </c>
      <c r="AE74" s="187">
        <v>0.7211724127932202</v>
      </c>
      <c r="AF74" s="187">
        <v>0.72266760728404345</v>
      </c>
      <c r="AG74" s="187">
        <v>0.72422423377722367</v>
      </c>
      <c r="AH74" s="187">
        <v>0.72587197793750868</v>
      </c>
      <c r="AI74" s="187">
        <v>0.72761493403549793</v>
      </c>
      <c r="AJ74" s="187">
        <v>0.72945702563501491</v>
      </c>
      <c r="AK74" s="187">
        <v>0.73140196463445672</v>
      </c>
      <c r="AL74" s="187">
        <v>0.7334532117242436</v>
      </c>
      <c r="AM74" s="187">
        <v>0.73561396228773646</v>
      </c>
      <c r="AN74" s="187">
        <v>0.73788709351369874</v>
      </c>
      <c r="AO74" s="187">
        <v>0.74027566015017776</v>
      </c>
      <c r="AP74" s="187">
        <v>0.74278309562147149</v>
      </c>
      <c r="AQ74" s="187">
        <v>0.74541253380379635</v>
      </c>
      <c r="AR74" s="187">
        <v>0.74816674879552048</v>
      </c>
      <c r="AS74" s="187">
        <v>0.75104810360795216</v>
      </c>
      <c r="AT74" s="187">
        <v>0.75405923184055146</v>
      </c>
      <c r="AU74" s="187">
        <v>0.75720333134384843</v>
      </c>
      <c r="AV74" s="187">
        <v>0.76048328442262014</v>
      </c>
      <c r="AW74" s="187">
        <v>0.76390156972608581</v>
      </c>
      <c r="AX74" s="187">
        <v>0.76746019700562307</v>
      </c>
      <c r="AY74" s="187">
        <v>0.77116136144049541</v>
      </c>
      <c r="AZ74" s="187">
        <v>0.77500778511215507</v>
      </c>
      <c r="BA74" s="187">
        <v>0.7790019691873511</v>
      </c>
      <c r="BB74" s="187">
        <v>0.78314617296996436</v>
      </c>
      <c r="BC74" s="187">
        <v>0.78744241163866824</v>
      </c>
      <c r="BD74" s="187">
        <v>0.79189228446603854</v>
      </c>
      <c r="BE74" s="187">
        <v>0.79649684967064194</v>
      </c>
      <c r="BF74" s="187">
        <v>0.80125682605033521</v>
      </c>
      <c r="BG74" s="187">
        <v>0.80617260249448264</v>
      </c>
      <c r="BH74" s="187">
        <v>0.81124426388429749</v>
      </c>
      <c r="BI74" s="187">
        <v>0.81647136303514745</v>
      </c>
      <c r="BJ74" s="187">
        <v>0.82185278889432167</v>
      </c>
      <c r="BK74" s="187">
        <v>0.82738713109197215</v>
      </c>
      <c r="BL74" s="187">
        <v>0.83307279957648517</v>
      </c>
      <c r="BM74" s="187">
        <v>0.838907975507306</v>
      </c>
      <c r="BN74" s="187">
        <v>0.84488996350039447</v>
      </c>
      <c r="BO74" s="187">
        <v>0.85101489976802946</v>
      </c>
      <c r="BP74" s="187">
        <v>0.85727841144461114</v>
      </c>
      <c r="BQ74" s="187">
        <v>0.86367601050733589</v>
      </c>
      <c r="BR74" s="187">
        <v>0.87020261775690622</v>
      </c>
      <c r="BS74" s="187">
        <v>0.87685181729239137</v>
      </c>
      <c r="BT74" s="187">
        <v>0.88361552953426614</v>
      </c>
      <c r="BU74" s="187">
        <v>0.89048417268918922</v>
      </c>
      <c r="BV74" s="187">
        <v>0.89744769291474569</v>
      </c>
      <c r="BW74" s="187">
        <v>0.90449576195346104</v>
      </c>
      <c r="BX74" s="187">
        <v>0.91161701057014521</v>
      </c>
      <c r="BY74" s="187">
        <v>0.91879861763214266</v>
      </c>
      <c r="BZ74" s="187">
        <v>0.92602757917568912</v>
      </c>
      <c r="CA74" s="187">
        <v>0.93329103147853532</v>
      </c>
      <c r="CB74" s="187">
        <v>0.94057665010736813</v>
      </c>
      <c r="CC74" s="187">
        <v>0.94787269547844466</v>
      </c>
      <c r="CD74" s="187">
        <v>0.95516830398422081</v>
      </c>
      <c r="CE74" s="187">
        <v>0.96245467461275114</v>
      </c>
      <c r="CF74" s="187">
        <v>0.96972400318481344</v>
      </c>
      <c r="CG74" s="187">
        <v>0.97696616773852496</v>
      </c>
      <c r="CH74" s="187">
        <v>0.98416695806255583</v>
      </c>
      <c r="CI74" s="187">
        <v>0.99130955636948825</v>
      </c>
      <c r="CJ74" s="187">
        <v>0.99837703136624445</v>
      </c>
      <c r="CK74" s="187">
        <v>1.0053523977046046</v>
      </c>
      <c r="CL74" s="187">
        <v>1.0122200020696088</v>
      </c>
      <c r="CM74" s="121">
        <v>1.0189667979876751</v>
      </c>
      <c r="CN74" s="61"/>
      <c r="CO74" s="61"/>
      <c r="CP74" s="61"/>
      <c r="CQ74" s="61"/>
      <c r="CR74" s="61"/>
      <c r="CS74" s="61"/>
      <c r="CT74" s="61"/>
      <c r="CU74" s="61"/>
      <c r="CV74" s="61"/>
      <c r="CW74" s="61"/>
      <c r="CX74" s="61"/>
      <c r="CY74" s="66"/>
      <c r="CZ74" s="66"/>
      <c r="DA74" s="66"/>
      <c r="DB74" s="66"/>
      <c r="DC74" s="66"/>
      <c r="DD74" s="66"/>
      <c r="DE74" s="66"/>
      <c r="DF74" s="66"/>
      <c r="DG74" s="66"/>
      <c r="DH74" s="66"/>
      <c r="DI74" s="66"/>
      <c r="DJ74" s="66"/>
      <c r="DW74" s="42">
        <v>1978</v>
      </c>
      <c r="DX74" s="16">
        <v>53400</v>
      </c>
      <c r="DY74" s="46">
        <v>55500</v>
      </c>
      <c r="DZ74" s="46">
        <v>57600</v>
      </c>
      <c r="EA74" s="46">
        <v>60600</v>
      </c>
      <c r="EB74" s="46">
        <v>61200</v>
      </c>
      <c r="EC74" s="46">
        <v>62700</v>
      </c>
      <c r="ED74" s="46">
        <v>65400</v>
      </c>
      <c r="EE74" s="46">
        <v>68400</v>
      </c>
      <c r="EF74" s="46">
        <v>72600</v>
      </c>
      <c r="EG74" s="46">
        <v>76200</v>
      </c>
      <c r="EH74" s="46">
        <v>80400</v>
      </c>
      <c r="EI74" s="46">
        <v>84900</v>
      </c>
      <c r="EJ74" s="46">
        <v>87000</v>
      </c>
      <c r="EK74" s="140">
        <v>87900</v>
      </c>
      <c r="EN74" s="42">
        <v>1978</v>
      </c>
      <c r="EO74" s="105">
        <v>32400</v>
      </c>
      <c r="EP74" s="126">
        <v>35700</v>
      </c>
      <c r="EQ74" s="148">
        <v>37800</v>
      </c>
      <c r="ER74" s="126">
        <v>39600</v>
      </c>
      <c r="ES74" s="126">
        <v>42000</v>
      </c>
      <c r="ET74" s="126">
        <v>43800</v>
      </c>
      <c r="EU74" s="126">
        <v>45000</v>
      </c>
      <c r="EV74" s="40">
        <v>48000</v>
      </c>
      <c r="EW74" s="126">
        <v>51300</v>
      </c>
      <c r="EX74" s="200">
        <v>53400</v>
      </c>
      <c r="EY74" s="46">
        <v>55500</v>
      </c>
      <c r="EZ74" s="46">
        <v>57600</v>
      </c>
      <c r="FA74" s="46">
        <v>60600</v>
      </c>
      <c r="FB74" s="46">
        <v>61200</v>
      </c>
      <c r="FC74" s="46">
        <v>62700</v>
      </c>
      <c r="FD74" s="46">
        <v>65400</v>
      </c>
      <c r="FE74" s="46">
        <v>68400</v>
      </c>
      <c r="FF74" s="46">
        <v>72600</v>
      </c>
      <c r="FG74" s="46">
        <v>76200</v>
      </c>
      <c r="FH74" s="46">
        <v>80400</v>
      </c>
      <c r="FI74" s="46">
        <v>84900</v>
      </c>
      <c r="FJ74" s="46">
        <v>87000</v>
      </c>
      <c r="FK74" s="140">
        <v>87900</v>
      </c>
    </row>
    <row r="75" spans="2:167" ht="15.75" x14ac:dyDescent="0.25">
      <c r="B75" s="61"/>
      <c r="C75" s="61"/>
      <c r="D75" s="207">
        <v>70</v>
      </c>
      <c r="E75" s="125">
        <v>1.89</v>
      </c>
      <c r="F75" s="61"/>
      <c r="G75" s="61"/>
      <c r="H75" s="61"/>
      <c r="I75" s="61"/>
      <c r="J75" s="19">
        <v>71</v>
      </c>
      <c r="K75" s="121">
        <v>0.60555555555555696</v>
      </c>
      <c r="L75" s="61"/>
      <c r="M75" s="294">
        <v>71</v>
      </c>
      <c r="N75" s="121">
        <v>2.0705661665554937</v>
      </c>
      <c r="O75" s="61"/>
      <c r="P75" s="87">
        <v>71</v>
      </c>
      <c r="Q75" s="47">
        <v>0.69849186049758438</v>
      </c>
      <c r="R75" s="187">
        <v>0.69943840372313237</v>
      </c>
      <c r="S75" s="187">
        <v>0.70042382920563817</v>
      </c>
      <c r="T75" s="187">
        <v>0.70144854455622241</v>
      </c>
      <c r="U75" s="187">
        <v>0.70251286050844219</v>
      </c>
      <c r="V75" s="187">
        <v>0.70361699923239096</v>
      </c>
      <c r="W75" s="187">
        <v>0.70476110578704865</v>
      </c>
      <c r="X75" s="187">
        <v>0.705945260003222</v>
      </c>
      <c r="Y75" s="187">
        <v>0.70716947991819856</v>
      </c>
      <c r="Z75" s="187">
        <v>0.70843372352696976</v>
      </c>
      <c r="AA75" s="187">
        <v>0.70973788811442606</v>
      </c>
      <c r="AB75" s="187">
        <v>0.71108182770146433</v>
      </c>
      <c r="AC75" s="187">
        <v>0.71246534856940158</v>
      </c>
      <c r="AD75" s="187">
        <v>0.71388820109198503</v>
      </c>
      <c r="AE75" s="187">
        <v>0.71535006753513442</v>
      </c>
      <c r="AF75" s="187">
        <v>0.71685054559580685</v>
      </c>
      <c r="AG75" s="187">
        <v>0.71841179997897742</v>
      </c>
      <c r="AH75" s="187">
        <v>0.72006539727299945</v>
      </c>
      <c r="AI75" s="187">
        <v>0.72181560842080084</v>
      </c>
      <c r="AJ75" s="187">
        <v>0.72366653285302251</v>
      </c>
      <c r="AK75" s="187">
        <v>0.72562205488671272</v>
      </c>
      <c r="AL75" s="187">
        <v>0.72768580138416195</v>
      </c>
      <c r="AM75" s="187">
        <v>0.72986112641144907</v>
      </c>
      <c r="AN75" s="187">
        <v>0.73215105372823175</v>
      </c>
      <c r="AO75" s="187">
        <v>0.73455880616939007</v>
      </c>
      <c r="AP75" s="187">
        <v>0.737088025444258</v>
      </c>
      <c r="AQ75" s="187">
        <v>0.73974204714659886</v>
      </c>
      <c r="AR75" s="187">
        <v>0.74252383604651129</v>
      </c>
      <c r="AS75" s="187">
        <v>0.74543593039810307</v>
      </c>
      <c r="AT75" s="187">
        <v>0.74848117173013262</v>
      </c>
      <c r="AU75" s="187">
        <v>0.751663026339773</v>
      </c>
      <c r="AV75" s="187">
        <v>0.75498464426229794</v>
      </c>
      <c r="AW75" s="187">
        <v>0.75844876535482086</v>
      </c>
      <c r="AX75" s="187">
        <v>0.76205765027357975</v>
      </c>
      <c r="AY75" s="187">
        <v>0.76581378347104589</v>
      </c>
      <c r="AZ75" s="187">
        <v>0.76972024773523962</v>
      </c>
      <c r="BA75" s="187">
        <v>0.77377992469404566</v>
      </c>
      <c r="BB75" s="187">
        <v>0.77799547481006293</v>
      </c>
      <c r="BC75" s="187">
        <v>0.78236933776595208</v>
      </c>
      <c r="BD75" s="187">
        <v>0.78690355019477665</v>
      </c>
      <c r="BE75" s="187">
        <v>0.79159961084248287</v>
      </c>
      <c r="BF75" s="187">
        <v>0.79645869837497274</v>
      </c>
      <c r="BG75" s="187">
        <v>0.80148168317425261</v>
      </c>
      <c r="BH75" s="187">
        <v>0.80666915754314439</v>
      </c>
      <c r="BI75" s="187">
        <v>0.81202119170723963</v>
      </c>
      <c r="BJ75" s="187">
        <v>0.81753718990185131</v>
      </c>
      <c r="BK75" s="187">
        <v>0.82321628389917867</v>
      </c>
      <c r="BL75" s="187">
        <v>0.82905746439967609</v>
      </c>
      <c r="BM75" s="187">
        <v>0.8350595305347005</v>
      </c>
      <c r="BN75" s="187">
        <v>0.84122038978475333</v>
      </c>
      <c r="BO75" s="187">
        <v>0.84753673492581927</v>
      </c>
      <c r="BP75" s="187">
        <v>0.85400475275118404</v>
      </c>
      <c r="BQ75" s="187">
        <v>0.8606205480773742</v>
      </c>
      <c r="BR75" s="187">
        <v>0.86737962546169378</v>
      </c>
      <c r="BS75" s="187">
        <v>0.87427606784186818</v>
      </c>
      <c r="BT75" s="187">
        <v>0.88130216646979609</v>
      </c>
      <c r="BU75" s="187">
        <v>0.88844857747827444</v>
      </c>
      <c r="BV75" s="187">
        <v>0.89570543232964195</v>
      </c>
      <c r="BW75" s="187">
        <v>0.90306254493106675</v>
      </c>
      <c r="BX75" s="187">
        <v>0.91050856663982638</v>
      </c>
      <c r="BY75" s="187">
        <v>0.91803051625260035</v>
      </c>
      <c r="BZ75" s="187">
        <v>0.92561515187501286</v>
      </c>
      <c r="CA75" s="187">
        <v>0.93324931703347969</v>
      </c>
      <c r="CB75" s="187">
        <v>0.94092037223959546</v>
      </c>
      <c r="CC75" s="187">
        <v>0.94861624066892014</v>
      </c>
      <c r="CD75" s="187">
        <v>0.95632572104435021</v>
      </c>
      <c r="CE75" s="187">
        <v>0.9640397891322805</v>
      </c>
      <c r="CF75" s="187">
        <v>0.97175043335146227</v>
      </c>
      <c r="CG75" s="187">
        <v>0.97944700535206231</v>
      </c>
      <c r="CH75" s="187">
        <v>0.98711424441510232</v>
      </c>
      <c r="CI75" s="187">
        <v>0.9947338712205257</v>
      </c>
      <c r="CJ75" s="187">
        <v>1.0022873202151399</v>
      </c>
      <c r="CK75" s="187">
        <v>1.009755815217271</v>
      </c>
      <c r="CL75" s="187">
        <v>1.0171219016955837</v>
      </c>
      <c r="CM75" s="121">
        <v>1.0243708713302535</v>
      </c>
      <c r="CN75" s="61"/>
      <c r="CO75" s="61"/>
      <c r="CP75" s="61"/>
      <c r="CQ75" s="61"/>
      <c r="CR75" s="61"/>
      <c r="CS75" s="61"/>
      <c r="CT75" s="61"/>
      <c r="CU75" s="61"/>
      <c r="CV75" s="61"/>
      <c r="CW75" s="61"/>
      <c r="CX75" s="61"/>
      <c r="CY75" s="66"/>
      <c r="CZ75" s="66"/>
      <c r="DA75" s="66"/>
      <c r="DB75" s="66"/>
      <c r="DC75" s="66"/>
      <c r="DD75" s="66"/>
      <c r="DE75" s="66"/>
      <c r="DF75" s="66"/>
      <c r="DG75" s="66"/>
      <c r="DH75" s="66"/>
      <c r="DI75" s="66"/>
      <c r="DJ75" s="66"/>
      <c r="DW75" s="42">
        <v>1979</v>
      </c>
      <c r="DX75" s="16">
        <v>53400</v>
      </c>
      <c r="DY75" s="46">
        <v>55500</v>
      </c>
      <c r="DZ75" s="46">
        <v>57600</v>
      </c>
      <c r="EA75" s="46">
        <v>60600</v>
      </c>
      <c r="EB75" s="46">
        <v>61200</v>
      </c>
      <c r="EC75" s="46">
        <v>62700</v>
      </c>
      <c r="ED75" s="46">
        <v>65400</v>
      </c>
      <c r="EE75" s="46">
        <v>68400</v>
      </c>
      <c r="EF75" s="46">
        <v>72600</v>
      </c>
      <c r="EG75" s="46">
        <v>76200</v>
      </c>
      <c r="EH75" s="46">
        <v>80400</v>
      </c>
      <c r="EI75" s="46">
        <v>84900</v>
      </c>
      <c r="EJ75" s="46">
        <v>87000</v>
      </c>
      <c r="EK75" s="140">
        <v>87900</v>
      </c>
      <c r="EN75" s="42">
        <v>1979</v>
      </c>
      <c r="EO75" s="105">
        <v>32400</v>
      </c>
      <c r="EP75" s="126">
        <v>35700</v>
      </c>
      <c r="EQ75" s="148">
        <v>37800</v>
      </c>
      <c r="ER75" s="126">
        <v>39600</v>
      </c>
      <c r="ES75" s="126">
        <v>42000</v>
      </c>
      <c r="ET75" s="126">
        <v>43800</v>
      </c>
      <c r="EU75" s="126">
        <v>45000</v>
      </c>
      <c r="EV75" s="40">
        <v>48000</v>
      </c>
      <c r="EW75" s="126">
        <v>51300</v>
      </c>
      <c r="EX75" s="200">
        <v>53400</v>
      </c>
      <c r="EY75" s="46">
        <v>55500</v>
      </c>
      <c r="EZ75" s="46">
        <v>57600</v>
      </c>
      <c r="FA75" s="46">
        <v>60600</v>
      </c>
      <c r="FB75" s="46">
        <v>61200</v>
      </c>
      <c r="FC75" s="46">
        <v>62700</v>
      </c>
      <c r="FD75" s="46">
        <v>65400</v>
      </c>
      <c r="FE75" s="46">
        <v>68400</v>
      </c>
      <c r="FF75" s="46">
        <v>72600</v>
      </c>
      <c r="FG75" s="46">
        <v>76200</v>
      </c>
      <c r="FH75" s="46">
        <v>80400</v>
      </c>
      <c r="FI75" s="46">
        <v>84900</v>
      </c>
      <c r="FJ75" s="46">
        <v>87000</v>
      </c>
      <c r="FK75" s="140">
        <v>87900</v>
      </c>
    </row>
    <row r="76" spans="2:167" ht="16.5" thickBot="1" x14ac:dyDescent="0.3">
      <c r="B76" s="61"/>
      <c r="C76" s="61"/>
      <c r="D76" s="207">
        <v>71</v>
      </c>
      <c r="E76" s="125">
        <v>1.913</v>
      </c>
      <c r="F76" s="61"/>
      <c r="G76" s="61"/>
      <c r="H76" s="61"/>
      <c r="I76" s="61"/>
      <c r="J76" s="19">
        <v>72</v>
      </c>
      <c r="K76" s="121">
        <v>0.60000000000000142</v>
      </c>
      <c r="L76" s="61"/>
      <c r="M76" s="294">
        <v>72</v>
      </c>
      <c r="N76" s="121">
        <v>2.0923088877599207</v>
      </c>
      <c r="O76" s="61"/>
      <c r="P76" s="87">
        <v>72</v>
      </c>
      <c r="Q76" s="47">
        <v>0.69294549654835869</v>
      </c>
      <c r="R76" s="187">
        <v>0.69390063884321385</v>
      </c>
      <c r="S76" s="187">
        <v>0.69489550778382603</v>
      </c>
      <c r="T76" s="187">
        <v>0.69593047661878571</v>
      </c>
      <c r="U76" s="187">
        <v>0.69700579693883691</v>
      </c>
      <c r="V76" s="187">
        <v>0.69812159803581719</v>
      </c>
      <c r="W76" s="187">
        <v>0.69927789541373164</v>
      </c>
      <c r="X76" s="187">
        <v>0.70047460277451812</v>
      </c>
      <c r="Y76" s="187">
        <v>0.7017115443934534</v>
      </c>
      <c r="Z76" s="187">
        <v>0.702988457781896</v>
      </c>
      <c r="AA76" s="187">
        <v>0.70430499430353544</v>
      </c>
      <c r="AB76" s="187">
        <v>0.70566071688840504</v>
      </c>
      <c r="AC76" s="187">
        <v>0.70705511816734956</v>
      </c>
      <c r="AD76" s="187">
        <v>0.70848761349917211</v>
      </c>
      <c r="AE76" s="187">
        <v>0.7099575295694478</v>
      </c>
      <c r="AF76" s="187">
        <v>0.71146408813503614</v>
      </c>
      <c r="AG76" s="187">
        <v>0.71303062773844417</v>
      </c>
      <c r="AH76" s="187">
        <v>0.71469075308976659</v>
      </c>
      <c r="AI76" s="187">
        <v>0.71644891703617142</v>
      </c>
      <c r="AJ76" s="187">
        <v>0.71830939992067133</v>
      </c>
      <c r="AK76" s="187">
        <v>0.72027626267400169</v>
      </c>
      <c r="AL76" s="187">
        <v>0.72235330123938157</v>
      </c>
      <c r="AM76" s="187">
        <v>0.7245440299983541</v>
      </c>
      <c r="AN76" s="187">
        <v>0.72685161958960498</v>
      </c>
      <c r="AO76" s="187">
        <v>0.72927946235331975</v>
      </c>
      <c r="AP76" s="187">
        <v>0.731831412717735</v>
      </c>
      <c r="AQ76" s="187">
        <v>0.73451101110183981</v>
      </c>
      <c r="AR76" s="187">
        <v>0.73732141402674967</v>
      </c>
      <c r="AS76" s="187">
        <v>0.74026533368625536</v>
      </c>
      <c r="AT76" s="187">
        <v>0.74334581959523649</v>
      </c>
      <c r="AU76" s="187">
        <v>0.74656661118877077</v>
      </c>
      <c r="AV76" s="187">
        <v>0.7499311298202016</v>
      </c>
      <c r="AW76" s="187">
        <v>0.75344237808558379</v>
      </c>
      <c r="AX76" s="187">
        <v>0.75710286576912145</v>
      </c>
      <c r="AY76" s="187">
        <v>0.76091536614323663</v>
      </c>
      <c r="AZ76" s="187">
        <v>0.76488332767261558</v>
      </c>
      <c r="BA76" s="187">
        <v>0.76901001827443105</v>
      </c>
      <c r="BB76" s="187">
        <v>0.77329850642491427</v>
      </c>
      <c r="BC76" s="187">
        <v>0.77775166427331544</v>
      </c>
      <c r="BD76" s="187">
        <v>0.78237197476562337</v>
      </c>
      <c r="BE76" s="187">
        <v>0.78716138687992787</v>
      </c>
      <c r="BF76" s="187">
        <v>0.7921215515464618</v>
      </c>
      <c r="BG76" s="187">
        <v>0.79725383599360988</v>
      </c>
      <c r="BH76" s="187">
        <v>0.80255935824391855</v>
      </c>
      <c r="BI76" s="187">
        <v>0.80803872679365707</v>
      </c>
      <c r="BJ76" s="187">
        <v>0.81369188415524929</v>
      </c>
      <c r="BK76" s="187">
        <v>0.81951853301188382</v>
      </c>
      <c r="BL76" s="187">
        <v>0.82551828009064521</v>
      </c>
      <c r="BM76" s="187">
        <v>0.8316905853371438</v>
      </c>
      <c r="BN76" s="187">
        <v>0.83803400491846869</v>
      </c>
      <c r="BO76" s="187">
        <v>0.84454583567635289</v>
      </c>
      <c r="BP76" s="187">
        <v>0.85122287925743834</v>
      </c>
      <c r="BQ76" s="187">
        <v>0.85806190123621873</v>
      </c>
      <c r="BR76" s="187">
        <v>0.86505906689672718</v>
      </c>
      <c r="BS76" s="187">
        <v>0.87220903875323552</v>
      </c>
      <c r="BT76" s="187">
        <v>0.87950455871368149</v>
      </c>
      <c r="BU76" s="187">
        <v>0.88693659734623231</v>
      </c>
      <c r="BV76" s="187">
        <v>0.89449555124783908</v>
      </c>
      <c r="BW76" s="187">
        <v>0.90217146178771157</v>
      </c>
      <c r="BX76" s="187">
        <v>0.90995308511970951</v>
      </c>
      <c r="BY76" s="187">
        <v>0.91782735651768821</v>
      </c>
      <c r="BZ76" s="187">
        <v>0.92578087329027481</v>
      </c>
      <c r="CA76" s="187">
        <v>0.93380026444371145</v>
      </c>
      <c r="CB76" s="187">
        <v>0.94187265857328206</v>
      </c>
      <c r="CC76" s="187">
        <v>0.94998573201124381</v>
      </c>
      <c r="CD76" s="187">
        <v>0.9581280454052471</v>
      </c>
      <c r="CE76" s="187">
        <v>0.96629047287673753</v>
      </c>
      <c r="CF76" s="187">
        <v>0.97446493081797425</v>
      </c>
      <c r="CG76" s="187">
        <v>0.98264035033174357</v>
      </c>
      <c r="CH76" s="187">
        <v>0.99080046685973211</v>
      </c>
      <c r="CI76" s="187">
        <v>0.99892553192679179</v>
      </c>
      <c r="CJ76" s="187">
        <v>1.0069953068017341</v>
      </c>
      <c r="CK76" s="187">
        <v>1.0149891419846915</v>
      </c>
      <c r="CL76" s="187">
        <v>1.0228876790888881</v>
      </c>
      <c r="CM76" s="121">
        <v>1.0306744459770434</v>
      </c>
      <c r="CN76" s="61"/>
      <c r="CO76" s="61"/>
      <c r="CP76" s="61"/>
      <c r="CQ76" s="61"/>
      <c r="CR76" s="61"/>
      <c r="CS76" s="61"/>
      <c r="CT76" s="61"/>
      <c r="CU76" s="61"/>
      <c r="CV76" s="61"/>
      <c r="CW76" s="61"/>
      <c r="CX76" s="61"/>
      <c r="CY76" s="66"/>
      <c r="CZ76" s="66"/>
      <c r="DA76" s="66"/>
      <c r="DB76" s="66"/>
      <c r="DC76" s="66"/>
      <c r="DD76" s="66"/>
      <c r="DE76" s="66"/>
      <c r="DF76" s="66"/>
      <c r="DG76" s="66"/>
      <c r="DH76" s="66"/>
      <c r="DI76" s="66"/>
      <c r="DJ76" s="66"/>
      <c r="DW76" s="95">
        <v>1980</v>
      </c>
      <c r="DX76" s="141">
        <v>53400</v>
      </c>
      <c r="DY76" s="73">
        <v>55500</v>
      </c>
      <c r="DZ76" s="73">
        <v>57600</v>
      </c>
      <c r="EA76" s="73">
        <v>60600</v>
      </c>
      <c r="EB76" s="73">
        <v>61200</v>
      </c>
      <c r="EC76" s="73">
        <v>62700</v>
      </c>
      <c r="ED76" s="73">
        <v>65400</v>
      </c>
      <c r="EE76" s="73">
        <v>68400</v>
      </c>
      <c r="EF76" s="73">
        <v>72600</v>
      </c>
      <c r="EG76" s="73">
        <v>76200</v>
      </c>
      <c r="EH76" s="73">
        <v>80400</v>
      </c>
      <c r="EI76" s="73">
        <v>84900</v>
      </c>
      <c r="EJ76" s="73">
        <v>87000</v>
      </c>
      <c r="EK76" s="190">
        <v>87900</v>
      </c>
      <c r="EN76" s="95">
        <v>1980</v>
      </c>
      <c r="EO76" s="177">
        <v>32400</v>
      </c>
      <c r="EP76" s="142">
        <v>35700</v>
      </c>
      <c r="EQ76" s="134">
        <v>37800</v>
      </c>
      <c r="ER76" s="142">
        <v>39600</v>
      </c>
      <c r="ES76" s="142">
        <v>42000</v>
      </c>
      <c r="ET76" s="142">
        <v>43800</v>
      </c>
      <c r="EU76" s="142">
        <v>45000</v>
      </c>
      <c r="EV76" s="217">
        <v>48000</v>
      </c>
      <c r="EW76" s="142">
        <v>51300</v>
      </c>
      <c r="EX76" s="176">
        <v>53400</v>
      </c>
      <c r="EY76" s="73">
        <v>55500</v>
      </c>
      <c r="EZ76" s="73">
        <v>57600</v>
      </c>
      <c r="FA76" s="73">
        <v>60600</v>
      </c>
      <c r="FB76" s="73">
        <v>61200</v>
      </c>
      <c r="FC76" s="73">
        <v>62700</v>
      </c>
      <c r="FD76" s="73">
        <v>65400</v>
      </c>
      <c r="FE76" s="73">
        <v>68400</v>
      </c>
      <c r="FF76" s="73">
        <v>72600</v>
      </c>
      <c r="FG76" s="73">
        <v>76200</v>
      </c>
      <c r="FH76" s="73">
        <v>80400</v>
      </c>
      <c r="FI76" s="73">
        <v>84900</v>
      </c>
      <c r="FJ76" s="73">
        <v>87000</v>
      </c>
      <c r="FK76" s="190">
        <v>87900</v>
      </c>
    </row>
    <row r="77" spans="2:167" ht="16.5" thickTop="1" x14ac:dyDescent="0.25">
      <c r="B77" s="61"/>
      <c r="C77" s="61"/>
      <c r="D77" s="207">
        <v>72</v>
      </c>
      <c r="E77" s="125">
        <v>1.9359999999999999</v>
      </c>
      <c r="F77" s="61"/>
      <c r="G77" s="61"/>
      <c r="H77" s="61"/>
      <c r="I77" s="61"/>
      <c r="J77" s="19">
        <v>73</v>
      </c>
      <c r="K77" s="121">
        <v>0.59444444444444589</v>
      </c>
      <c r="L77" s="61"/>
      <c r="M77" s="294">
        <v>73</v>
      </c>
      <c r="N77" s="121">
        <v>2.1180669802695395</v>
      </c>
      <c r="O77" s="61"/>
      <c r="P77" s="87">
        <v>73</v>
      </c>
      <c r="Q77" s="47">
        <v>0.68787108231230487</v>
      </c>
      <c r="R77" s="187">
        <v>0.68883534516124967</v>
      </c>
      <c r="S77" s="187">
        <v>0.68984026726861547</v>
      </c>
      <c r="T77" s="187">
        <v>0.69088619653352779</v>
      </c>
      <c r="U77" s="187">
        <v>0.69197333120737103</v>
      </c>
      <c r="V77" s="187">
        <v>0.69310171726755687</v>
      </c>
      <c r="W77" s="187">
        <v>0.69427124665050177</v>
      </c>
      <c r="X77" s="187">
        <v>0.69548166582993309</v>
      </c>
      <c r="Y77" s="187">
        <v>0.69673258824777762</v>
      </c>
      <c r="Z77" s="187">
        <v>0.6980235070609232</v>
      </c>
      <c r="AA77" s="187">
        <v>0.69935379664216912</v>
      </c>
      <c r="AB77" s="187">
        <v>0.70072271156780308</v>
      </c>
      <c r="AC77" s="187">
        <v>0.70212938208696896</v>
      </c>
      <c r="AD77" s="187">
        <v>0.70357283270978999</v>
      </c>
      <c r="AE77" s="187">
        <v>0.70505197184308466</v>
      </c>
      <c r="AF77" s="187">
        <v>0.70656557605559778</v>
      </c>
      <c r="AG77" s="187">
        <v>0.70813821671555088</v>
      </c>
      <c r="AH77" s="187">
        <v>0.70980571295820216</v>
      </c>
      <c r="AI77" s="187">
        <v>0.71157270489145297</v>
      </c>
      <c r="AJ77" s="187">
        <v>0.71344365960034506</v>
      </c>
      <c r="AK77" s="187">
        <v>0.71542281989658218</v>
      </c>
      <c r="AL77" s="187">
        <v>0.71751415466680779</v>
      </c>
      <c r="AM77" s="187">
        <v>0.71972134074239535</v>
      </c>
      <c r="AN77" s="187">
        <v>0.72204769571122152</v>
      </c>
      <c r="AO77" s="187">
        <v>0.72449678314194543</v>
      </c>
      <c r="AP77" s="187">
        <v>0.72707267558076183</v>
      </c>
      <c r="AQ77" s="187">
        <v>0.72977912215505436</v>
      </c>
      <c r="AR77" s="187">
        <v>0.73261947282026174</v>
      </c>
      <c r="AS77" s="187">
        <v>0.73559661235466778</v>
      </c>
      <c r="AT77" s="187">
        <v>0.73871379872637954</v>
      </c>
      <c r="AU77" s="187">
        <v>0.74197505009096898</v>
      </c>
      <c r="AV77" s="187">
        <v>0.74538406349307618</v>
      </c>
      <c r="AW77" s="187">
        <v>0.74894410650469834</v>
      </c>
      <c r="AX77" s="187">
        <v>0.75265793711489493</v>
      </c>
      <c r="AY77" s="187">
        <v>0.75652861729630716</v>
      </c>
      <c r="AZ77" s="187">
        <v>0.760559966703511</v>
      </c>
      <c r="BA77" s="187">
        <v>0.76475564576801935</v>
      </c>
      <c r="BB77" s="187">
        <v>0.76911913821403655</v>
      </c>
      <c r="BC77" s="187">
        <v>0.77365375723762941</v>
      </c>
      <c r="BD77" s="187">
        <v>0.77836244086043904</v>
      </c>
      <c r="BE77" s="187">
        <v>0.78324759693609036</v>
      </c>
      <c r="BF77" s="187">
        <v>0.78831135990123891</v>
      </c>
      <c r="BG77" s="187">
        <v>0.79355560844520223</v>
      </c>
      <c r="BH77" s="187">
        <v>0.79898200475971681</v>
      </c>
      <c r="BI77" s="187">
        <v>0.8045917158844601</v>
      </c>
      <c r="BJ77" s="187">
        <v>0.81038524427210856</v>
      </c>
      <c r="BK77" s="187">
        <v>0.81636289100110537</v>
      </c>
      <c r="BL77" s="187">
        <v>0.82252491449257881</v>
      </c>
      <c r="BM77" s="187">
        <v>0.82887147900285452</v>
      </c>
      <c r="BN77" s="187">
        <v>0.83540183610990049</v>
      </c>
      <c r="BO77" s="187">
        <v>0.84211393304862048</v>
      </c>
      <c r="BP77" s="187">
        <v>0.84900524039689973</v>
      </c>
      <c r="BQ77" s="187">
        <v>0.85607325172622784</v>
      </c>
      <c r="BR77" s="187">
        <v>0.86331487127174467</v>
      </c>
      <c r="BS77" s="187">
        <v>0.87072542132183772</v>
      </c>
      <c r="BT77" s="187">
        <v>0.87829817416321831</v>
      </c>
      <c r="BU77" s="187">
        <v>0.88602449198752886</v>
      </c>
      <c r="BV77" s="187">
        <v>0.89389511949172384</v>
      </c>
      <c r="BW77" s="187">
        <v>0.90190041389681996</v>
      </c>
      <c r="BX77" s="187">
        <v>0.9100293222480873</v>
      </c>
      <c r="BY77" s="187">
        <v>0.91826877288045272</v>
      </c>
      <c r="BZ77" s="187">
        <v>0.92660528275040588</v>
      </c>
      <c r="CA77" s="187">
        <v>0.93502535065498082</v>
      </c>
      <c r="CB77" s="187">
        <v>0.94351596368412871</v>
      </c>
      <c r="CC77" s="187">
        <v>0.95206464901605881</v>
      </c>
      <c r="CD77" s="187">
        <v>0.96065983941388589</v>
      </c>
      <c r="CE77" s="187">
        <v>0.96929244586912622</v>
      </c>
      <c r="CF77" s="187">
        <v>0.97795446810425046</v>
      </c>
      <c r="CG77" s="187">
        <v>0.9866345440775528</v>
      </c>
      <c r="CH77" s="187">
        <v>0.99531546730864295</v>
      </c>
      <c r="CI77" s="187">
        <v>1.0039760230468755</v>
      </c>
      <c r="CJ77" s="187">
        <v>1.0125942694343595</v>
      </c>
      <c r="CK77" s="187">
        <v>1.0211476162498201</v>
      </c>
      <c r="CL77" s="187">
        <v>1.0296147007081269</v>
      </c>
      <c r="CM77" s="121">
        <v>1.0379771850733515</v>
      </c>
      <c r="CN77" s="61"/>
      <c r="CO77" s="61"/>
      <c r="CP77" s="61"/>
      <c r="CQ77" s="61"/>
      <c r="CR77" s="61"/>
      <c r="CS77" s="61"/>
      <c r="CT77" s="61"/>
      <c r="CU77" s="61"/>
      <c r="CV77" s="61"/>
      <c r="CW77" s="61"/>
      <c r="CX77" s="61"/>
      <c r="CY77" s="66"/>
      <c r="CZ77" s="66"/>
      <c r="DA77" s="66"/>
      <c r="DB77" s="66"/>
      <c r="DC77" s="66"/>
      <c r="DD77" s="66"/>
      <c r="DE77" s="66"/>
      <c r="DF77" s="66"/>
      <c r="DG77" s="66"/>
      <c r="DH77" s="66"/>
      <c r="DI77" s="66"/>
      <c r="DJ77" s="66"/>
    </row>
    <row r="78" spans="2:167" ht="15.75" x14ac:dyDescent="0.25">
      <c r="B78" s="61"/>
      <c r="C78" s="61"/>
      <c r="D78" s="207">
        <v>73</v>
      </c>
      <c r="E78" s="125">
        <v>1.9590000000000001</v>
      </c>
      <c r="F78" s="61"/>
      <c r="G78" s="61"/>
      <c r="H78" s="61"/>
      <c r="I78" s="61"/>
      <c r="J78" s="19">
        <v>74</v>
      </c>
      <c r="K78" s="121">
        <v>0.58888888888889035</v>
      </c>
      <c r="L78" s="61"/>
      <c r="M78" s="294">
        <v>74</v>
      </c>
      <c r="N78" s="121">
        <v>2.1438250727791579</v>
      </c>
      <c r="O78" s="61"/>
      <c r="P78" s="87">
        <v>74</v>
      </c>
      <c r="Q78" s="47">
        <v>0.68330506776392641</v>
      </c>
      <c r="R78" s="187">
        <v>0.68427896482541783</v>
      </c>
      <c r="S78" s="187">
        <v>0.68529454302957671</v>
      </c>
      <c r="T78" s="187">
        <v>0.68635213676191964</v>
      </c>
      <c r="U78" s="187">
        <v>0.68745189935152895</v>
      </c>
      <c r="V78" s="187">
        <v>0.6885937977122264</v>
      </c>
      <c r="W78" s="187">
        <v>0.68977760817975908</v>
      </c>
      <c r="X78" s="187">
        <v>0.69100291321078688</v>
      </c>
      <c r="Y78" s="187">
        <v>0.69226910982888157</v>
      </c>
      <c r="Z78" s="187">
        <v>0.69357542234603331</v>
      </c>
      <c r="AA78" s="187">
        <v>0.6949209152780903</v>
      </c>
      <c r="AB78" s="187">
        <v>0.6963044931390735</v>
      </c>
      <c r="AC78" s="187">
        <v>0.69772489711567354</v>
      </c>
      <c r="AD78" s="187">
        <v>0.69918069743002498</v>
      </c>
      <c r="AE78" s="187">
        <v>0.70067031199075536</v>
      </c>
      <c r="AF78" s="187">
        <v>0.70219199141029343</v>
      </c>
      <c r="AG78" s="187">
        <v>0.70377160454308585</v>
      </c>
      <c r="AH78" s="187">
        <v>0.70544737334021779</v>
      </c>
      <c r="AI78" s="187">
        <v>0.70722413084376878</v>
      </c>
      <c r="AJ78" s="187">
        <v>0.70910653649585043</v>
      </c>
      <c r="AK78" s="187">
        <v>0.71109902077433773</v>
      </c>
      <c r="AL78" s="187">
        <v>0.71320573015991162</v>
      </c>
      <c r="AM78" s="187">
        <v>0.71543050668602937</v>
      </c>
      <c r="AN78" s="187">
        <v>0.71777681498344237</v>
      </c>
      <c r="AO78" s="187">
        <v>0.72024839092638249</v>
      </c>
      <c r="AP78" s="187">
        <v>0.72284953103756644</v>
      </c>
      <c r="AQ78" s="187">
        <v>0.72558419765243043</v>
      </c>
      <c r="AR78" s="187">
        <v>0.7284559361587617</v>
      </c>
      <c r="AS78" s="187">
        <v>0.73146780258175981</v>
      </c>
      <c r="AT78" s="187">
        <v>0.73462326333509564</v>
      </c>
      <c r="AU78" s="187">
        <v>0.73792662160966715</v>
      </c>
      <c r="AV78" s="187">
        <v>0.74138185501507614</v>
      </c>
      <c r="AW78" s="187">
        <v>0.74499249861027461</v>
      </c>
      <c r="AX78" s="187">
        <v>0.74876155773853315</v>
      </c>
      <c r="AY78" s="187">
        <v>0.75269238344669387</v>
      </c>
      <c r="AZ78" s="187">
        <v>0.75678917270895085</v>
      </c>
      <c r="BA78" s="187">
        <v>0.76105598488378634</v>
      </c>
      <c r="BB78" s="187">
        <v>0.76549672621489817</v>
      </c>
      <c r="BC78" s="187">
        <v>0.77011515956594068</v>
      </c>
      <c r="BD78" s="187">
        <v>0.77491468707597455</v>
      </c>
      <c r="BE78" s="187">
        <v>0.77989818327356986</v>
      </c>
      <c r="BF78" s="187">
        <v>0.78506827573849869</v>
      </c>
      <c r="BG78" s="187">
        <v>0.79042736761241617</v>
      </c>
      <c r="BH78" s="187">
        <v>0.79597768265193469</v>
      </c>
      <c r="BI78" s="187">
        <v>0.80172096667353032</v>
      </c>
      <c r="BJ78" s="187">
        <v>0.80765830259727844</v>
      </c>
      <c r="BK78" s="187">
        <v>0.81379061586988777</v>
      </c>
      <c r="BL78" s="187">
        <v>0.82011885107086036</v>
      </c>
      <c r="BM78" s="187">
        <v>0.82664392121945152</v>
      </c>
      <c r="BN78" s="187">
        <v>0.83336582094388545</v>
      </c>
      <c r="BO78" s="187">
        <v>0.84028319487905367</v>
      </c>
      <c r="BP78" s="187">
        <v>0.84739423563203353</v>
      </c>
      <c r="BQ78" s="187">
        <v>0.85469723176289336</v>
      </c>
      <c r="BR78" s="187">
        <v>0.86218990499008408</v>
      </c>
      <c r="BS78" s="187">
        <v>0.86986831922468155</v>
      </c>
      <c r="BT78" s="187">
        <v>0.877726356203411</v>
      </c>
      <c r="BU78" s="187">
        <v>0.88575584636911131</v>
      </c>
      <c r="BV78" s="187">
        <v>0.89394796715266034</v>
      </c>
      <c r="BW78" s="187">
        <v>0.90229348481531779</v>
      </c>
      <c r="BX78" s="187">
        <v>0.91078162764711768</v>
      </c>
      <c r="BY78" s="187">
        <v>0.91939939497463019</v>
      </c>
      <c r="BZ78" s="187">
        <v>0.92813330463109955</v>
      </c>
      <c r="CA78" s="187">
        <v>0.93696981450201977</v>
      </c>
      <c r="CB78" s="187">
        <v>0.94589586934840886</v>
      </c>
      <c r="CC78" s="187">
        <v>0.95489895541381742</v>
      </c>
      <c r="CD78" s="187">
        <v>0.96396749848120111</v>
      </c>
      <c r="CE78" s="187">
        <v>0.97309260176656232</v>
      </c>
      <c r="CF78" s="187">
        <v>0.98226652804005821</v>
      </c>
      <c r="CG78" s="187">
        <v>0.99147777224337352</v>
      </c>
      <c r="CH78" s="187">
        <v>1.0007082680557258</v>
      </c>
      <c r="CI78" s="187">
        <v>1.0099353495731658</v>
      </c>
      <c r="CJ78" s="187">
        <v>1.0191353522289066</v>
      </c>
      <c r="CK78" s="187">
        <v>1.0282836855894661</v>
      </c>
      <c r="CL78" s="187">
        <v>1.0373568982781449</v>
      </c>
      <c r="CM78" s="121">
        <v>1.0463346892417011</v>
      </c>
      <c r="CN78" s="61"/>
      <c r="CO78" s="61"/>
      <c r="CP78" s="61"/>
      <c r="CQ78" s="61"/>
      <c r="CR78" s="61"/>
      <c r="CS78" s="61"/>
      <c r="CT78" s="61"/>
      <c r="CU78" s="61"/>
      <c r="CV78" s="61"/>
      <c r="CW78" s="61"/>
      <c r="CX78" s="61"/>
      <c r="CY78" s="66"/>
      <c r="CZ78" s="66"/>
      <c r="DA78" s="66"/>
      <c r="DB78" s="66"/>
      <c r="DC78" s="66"/>
      <c r="DD78" s="66"/>
      <c r="DE78" s="66"/>
      <c r="DF78" s="66"/>
      <c r="DG78" s="66"/>
      <c r="DH78" s="66"/>
      <c r="DI78" s="66"/>
      <c r="DJ78" s="66"/>
    </row>
    <row r="79" spans="2:167" ht="16.5" thickBot="1" x14ac:dyDescent="0.3">
      <c r="B79" s="61"/>
      <c r="C79" s="61"/>
      <c r="D79" s="207">
        <v>74</v>
      </c>
      <c r="E79" s="125">
        <v>1.982</v>
      </c>
      <c r="F79" s="61"/>
      <c r="G79" s="61"/>
      <c r="H79" s="61"/>
      <c r="I79" s="61"/>
      <c r="J79" s="19">
        <v>75</v>
      </c>
      <c r="K79" s="121">
        <v>0.58333333333333481</v>
      </c>
      <c r="L79" s="61"/>
      <c r="M79" s="294">
        <v>75</v>
      </c>
      <c r="N79" s="121">
        <v>2.1695831652887767</v>
      </c>
      <c r="O79" s="61"/>
      <c r="P79" s="245">
        <v>75</v>
      </c>
      <c r="Q79" s="5">
        <v>0.67927920272679809</v>
      </c>
      <c r="R79" s="90">
        <v>0.68026325855836423</v>
      </c>
      <c r="S79" s="90">
        <v>0.68129010669293677</v>
      </c>
      <c r="T79" s="90">
        <v>0.68236008345000643</v>
      </c>
      <c r="U79" s="90">
        <v>0.68347330892729175</v>
      </c>
      <c r="V79" s="90">
        <v>0.68462967813774689</v>
      </c>
      <c r="W79" s="90">
        <v>0.68582885354696166</v>
      </c>
      <c r="X79" s="90">
        <v>0.68707025885072737</v>
      </c>
      <c r="Y79" s="90">
        <v>0.68835307358676634</v>
      </c>
      <c r="Z79" s="90">
        <v>0.68967624114798176</v>
      </c>
      <c r="AA79" s="90">
        <v>0.69103848154155167</v>
      </c>
      <c r="AB79" s="90">
        <v>0.69243830414948182</v>
      </c>
      <c r="AC79" s="90">
        <v>0.69387400505254748</v>
      </c>
      <c r="AD79" s="90">
        <v>0.69534366043838269</v>
      </c>
      <c r="AE79" s="90">
        <v>0.69684511466412724</v>
      </c>
      <c r="AF79" s="90">
        <v>0.69837599834522945</v>
      </c>
      <c r="AG79" s="90">
        <v>0.69996354159615048</v>
      </c>
      <c r="AH79" s="90">
        <v>0.70164857600654296</v>
      </c>
      <c r="AI79" s="90">
        <v>0.70343613402496263</v>
      </c>
      <c r="AJ79" s="90">
        <v>0.70533107360263425</v>
      </c>
      <c r="AK79" s="90">
        <v>0.70733801856477374</v>
      </c>
      <c r="AL79" s="90">
        <v>0.70946129832369942</v>
      </c>
      <c r="AM79" s="90">
        <v>0.71170492380749584</v>
      </c>
      <c r="AN79" s="90">
        <v>0.71407250742350226</v>
      </c>
      <c r="AO79" s="90">
        <v>0.71656795866049372</v>
      </c>
      <c r="AP79" s="90">
        <v>0.71919580361778113</v>
      </c>
      <c r="AQ79" s="90">
        <v>0.72196022294736117</v>
      </c>
      <c r="AR79" s="90">
        <v>0.72486496015071478</v>
      </c>
      <c r="AS79" s="90">
        <v>0.72791324136667623</v>
      </c>
      <c r="AT79" s="90">
        <v>0.7311087417072043</v>
      </c>
      <c r="AU79" s="90">
        <v>0.73445605581403983</v>
      </c>
      <c r="AV79" s="90">
        <v>0.73795944769742117</v>
      </c>
      <c r="AW79" s="90">
        <v>0.74162272298579524</v>
      </c>
      <c r="AX79" s="90">
        <v>0.74544913369558341</v>
      </c>
      <c r="AY79" s="90">
        <v>0.74944232065974947</v>
      </c>
      <c r="AZ79" s="90">
        <v>0.75360686558058276</v>
      </c>
      <c r="BA79" s="90">
        <v>0.75794723415171072</v>
      </c>
      <c r="BB79" s="90">
        <v>0.76246776292331209</v>
      </c>
      <c r="BC79" s="90">
        <v>0.76717267342730688</v>
      </c>
      <c r="BD79" s="90">
        <v>0.77206584125816691</v>
      </c>
      <c r="BE79" s="90">
        <v>0.77715061585919043</v>
      </c>
      <c r="BF79" s="90">
        <v>0.78243012688943925</v>
      </c>
      <c r="BG79" s="90">
        <v>0.78790731342399378</v>
      </c>
      <c r="BH79" s="90">
        <v>0.79358497675891138</v>
      </c>
      <c r="BI79" s="90">
        <v>0.79946546086909265</v>
      </c>
      <c r="BJ79" s="90">
        <v>0.80555044985913837</v>
      </c>
      <c r="BK79" s="90">
        <v>0.81184151879089428</v>
      </c>
      <c r="BL79" s="90">
        <v>0.81834033197923262</v>
      </c>
      <c r="BM79" s="90">
        <v>0.82504859533494868</v>
      </c>
      <c r="BN79" s="90">
        <v>0.83196709594396301</v>
      </c>
      <c r="BO79" s="90">
        <v>0.83909522418534777</v>
      </c>
      <c r="BP79" s="90">
        <v>0.84643194942405109</v>
      </c>
      <c r="BQ79" s="90">
        <v>0.8539764224879387</v>
      </c>
      <c r="BR79" s="90">
        <v>0.86172726211381401</v>
      </c>
      <c r="BS79" s="90">
        <v>0.86968135659228085</v>
      </c>
      <c r="BT79" s="90">
        <v>0.87783327807862765</v>
      </c>
      <c r="BU79" s="90">
        <v>0.88617540077383683</v>
      </c>
      <c r="BV79" s="90">
        <v>0.89469941934441799</v>
      </c>
      <c r="BW79" s="90">
        <v>0.90339660499372854</v>
      </c>
      <c r="BX79" s="90">
        <v>0.9122565630717423</v>
      </c>
      <c r="BY79" s="90">
        <v>0.92126644552688608</v>
      </c>
      <c r="BZ79" s="90">
        <v>0.93041285361257553</v>
      </c>
      <c r="CA79" s="90">
        <v>0.93968229455937458</v>
      </c>
      <c r="CB79" s="90">
        <v>0.94906177648065415</v>
      </c>
      <c r="CC79" s="90">
        <v>0.95853886416687561</v>
      </c>
      <c r="CD79" s="90">
        <v>0.96810211129828416</v>
      </c>
      <c r="CE79" s="90">
        <v>0.97774298521481573</v>
      </c>
      <c r="CF79" s="90">
        <v>0.98745421493512164</v>
      </c>
      <c r="CG79" s="90">
        <v>0.99722433007216349</v>
      </c>
      <c r="CH79" s="90">
        <v>1.0070345075590539</v>
      </c>
      <c r="CI79" s="90">
        <v>1.0168606630293924</v>
      </c>
      <c r="CJ79" s="90">
        <v>1.0266773999553667</v>
      </c>
      <c r="CK79" s="90">
        <v>1.0364580754691997</v>
      </c>
      <c r="CL79" s="90">
        <v>1.0461770713552951</v>
      </c>
      <c r="CM79" s="219">
        <v>1.0558120443280627</v>
      </c>
      <c r="CN79" s="61"/>
      <c r="CO79" s="61"/>
      <c r="CP79" s="61"/>
      <c r="CQ79" s="61"/>
      <c r="CR79" s="61"/>
      <c r="CS79" s="61"/>
      <c r="CT79" s="61"/>
      <c r="CU79" s="61"/>
      <c r="CV79" s="61"/>
      <c r="CW79" s="61"/>
      <c r="CX79" s="61"/>
      <c r="CY79" s="66"/>
      <c r="CZ79" s="66"/>
      <c r="DA79" s="66"/>
      <c r="DB79" s="66"/>
      <c r="DC79" s="66"/>
      <c r="DD79" s="66"/>
      <c r="DE79" s="66"/>
      <c r="DF79" s="66"/>
      <c r="DG79" s="66"/>
      <c r="DH79" s="66"/>
      <c r="DI79" s="66"/>
      <c r="DJ79" s="66"/>
    </row>
    <row r="80" spans="2:167" ht="15.75" x14ac:dyDescent="0.25">
      <c r="B80" s="61"/>
      <c r="C80" s="61"/>
      <c r="D80" s="207">
        <v>75</v>
      </c>
      <c r="E80" s="125">
        <v>2.0049999999999999</v>
      </c>
      <c r="F80" s="61"/>
      <c r="G80" s="61"/>
      <c r="H80" s="61"/>
      <c r="I80" s="61"/>
      <c r="J80" s="19">
        <v>76</v>
      </c>
      <c r="K80" s="121">
        <v>0.57777777777777928</v>
      </c>
      <c r="L80" s="61"/>
      <c r="M80" s="294">
        <v>76</v>
      </c>
      <c r="N80" s="121">
        <v>2.1953412577983951</v>
      </c>
      <c r="O80" s="61"/>
      <c r="P80" s="61"/>
      <c r="Q80" s="61"/>
      <c r="R80" s="61"/>
      <c r="S80" s="61"/>
      <c r="T80" s="61"/>
      <c r="U80" s="61"/>
      <c r="V80" s="61"/>
      <c r="W80" s="61"/>
      <c r="X80" s="61"/>
      <c r="Y80" s="61"/>
      <c r="Z80" s="61"/>
      <c r="AA80" s="61"/>
      <c r="AB80" s="61"/>
      <c r="AC80" s="61"/>
      <c r="AD80" s="61"/>
      <c r="AE80" s="61"/>
      <c r="AF80" s="61"/>
      <c r="AG80" s="61"/>
      <c r="AH80" s="61"/>
      <c r="AI80" s="61"/>
      <c r="AJ80" s="61"/>
      <c r="AK80" s="61"/>
      <c r="AL80" s="61"/>
      <c r="AM80" s="61"/>
      <c r="AN80" s="61"/>
      <c r="AO80" s="61"/>
      <c r="AP80" s="61"/>
      <c r="AQ80" s="61"/>
      <c r="AR80" s="61"/>
      <c r="AS80" s="61"/>
      <c r="AT80" s="61"/>
      <c r="AU80" s="61"/>
      <c r="AV80" s="61"/>
      <c r="AW80" s="61"/>
      <c r="AX80" s="61"/>
      <c r="AY80" s="61"/>
      <c r="AZ80" s="61"/>
      <c r="BA80" s="61"/>
      <c r="BB80" s="61"/>
      <c r="BC80" s="61"/>
      <c r="BD80" s="61"/>
      <c r="BE80" s="61"/>
      <c r="BF80" s="61"/>
      <c r="BG80" s="61"/>
      <c r="BH80" s="61"/>
      <c r="BI80" s="61"/>
      <c r="BJ80" s="61"/>
      <c r="BK80" s="61"/>
      <c r="BL80" s="61"/>
      <c r="BM80" s="61"/>
      <c r="BN80" s="61"/>
      <c r="BO80" s="61"/>
      <c r="BP80" s="61"/>
      <c r="BQ80" s="61"/>
      <c r="BR80" s="61"/>
      <c r="BS80" s="61"/>
      <c r="BT80" s="61"/>
      <c r="BU80" s="61"/>
      <c r="BV80" s="61"/>
      <c r="BW80" s="61"/>
      <c r="BX80" s="61"/>
      <c r="BY80" s="61"/>
      <c r="BZ80" s="61"/>
      <c r="CA80" s="61"/>
      <c r="CB80" s="61"/>
      <c r="CC80" s="61"/>
      <c r="CD80" s="61"/>
      <c r="CE80" s="61"/>
      <c r="CF80" s="61"/>
      <c r="CG80" s="61"/>
      <c r="CH80" s="61"/>
      <c r="CI80" s="61"/>
      <c r="CJ80" s="61"/>
      <c r="CK80" s="61"/>
      <c r="CL80" s="61"/>
      <c r="CM80" s="61"/>
      <c r="CN80" s="61"/>
      <c r="CO80" s="61"/>
      <c r="CP80" s="61"/>
      <c r="CQ80" s="61"/>
      <c r="CR80" s="61"/>
      <c r="CS80" s="61"/>
      <c r="CT80" s="61"/>
      <c r="CU80" s="61"/>
      <c r="CV80" s="61"/>
      <c r="CW80" s="61"/>
      <c r="CX80" s="61"/>
      <c r="CY80" s="66"/>
      <c r="CZ80" s="66"/>
      <c r="DA80" s="66"/>
      <c r="DB80" s="66"/>
      <c r="DC80" s="66"/>
      <c r="DD80" s="66"/>
      <c r="DE80" s="66"/>
      <c r="DF80" s="66"/>
      <c r="DG80" s="66"/>
      <c r="DH80" s="66"/>
      <c r="DI80" s="66"/>
      <c r="DJ80" s="66"/>
    </row>
    <row r="81" spans="2:114" ht="15.75" x14ac:dyDescent="0.25">
      <c r="B81" s="61"/>
      <c r="C81" s="61"/>
      <c r="D81" s="207">
        <v>76</v>
      </c>
      <c r="E81" s="125">
        <v>2.028</v>
      </c>
      <c r="F81" s="61"/>
      <c r="G81" s="61"/>
      <c r="H81" s="61"/>
      <c r="I81" s="61"/>
      <c r="J81" s="19">
        <v>77</v>
      </c>
      <c r="K81" s="121">
        <v>0.57222222222222374</v>
      </c>
      <c r="L81" s="61"/>
      <c r="M81" s="294">
        <v>77</v>
      </c>
      <c r="N81" s="121">
        <v>2.2210993503080139</v>
      </c>
      <c r="O81" s="61"/>
      <c r="P81" s="61"/>
      <c r="Q81" s="61"/>
      <c r="R81" s="61"/>
      <c r="S81" s="61"/>
      <c r="T81" s="61"/>
      <c r="U81" s="61"/>
      <c r="V81" s="61"/>
      <c r="W81" s="61"/>
      <c r="X81" s="61"/>
      <c r="Y81" s="61"/>
      <c r="Z81" s="61"/>
      <c r="AA81" s="61"/>
      <c r="AB81" s="61"/>
      <c r="AC81" s="61"/>
      <c r="AD81" s="61"/>
      <c r="AE81" s="61"/>
      <c r="AF81" s="61"/>
      <c r="AG81" s="61"/>
      <c r="AH81" s="61"/>
      <c r="AI81" s="61"/>
      <c r="AJ81" s="61"/>
      <c r="AK81" s="61"/>
      <c r="AL81" s="61"/>
      <c r="AM81" s="61"/>
      <c r="AN81" s="61"/>
      <c r="AO81" s="61"/>
      <c r="AP81" s="61"/>
      <c r="AQ81" s="61"/>
      <c r="AR81" s="61"/>
      <c r="AS81" s="61"/>
      <c r="AT81" s="61"/>
      <c r="AU81" s="61"/>
      <c r="AV81" s="61"/>
      <c r="AW81" s="61"/>
      <c r="AX81" s="61"/>
      <c r="AY81" s="61"/>
      <c r="AZ81" s="61"/>
      <c r="BA81" s="61"/>
      <c r="BB81" s="61"/>
      <c r="BC81" s="61"/>
      <c r="BD81" s="61"/>
      <c r="BE81" s="61"/>
      <c r="BF81" s="61"/>
      <c r="BG81" s="61"/>
      <c r="BH81" s="61"/>
      <c r="BI81" s="61"/>
      <c r="BJ81" s="61"/>
      <c r="BK81" s="61"/>
      <c r="BL81" s="61"/>
      <c r="BM81" s="61"/>
      <c r="BN81" s="61"/>
      <c r="BO81" s="61"/>
      <c r="BP81" s="61"/>
      <c r="BQ81" s="61"/>
      <c r="BR81" s="61"/>
      <c r="BS81" s="61"/>
      <c r="BT81" s="61"/>
      <c r="BU81" s="61"/>
      <c r="BV81" s="61"/>
      <c r="BW81" s="61"/>
      <c r="BX81" s="61"/>
      <c r="BY81" s="61"/>
      <c r="BZ81" s="61"/>
      <c r="CA81" s="61"/>
      <c r="CB81" s="61"/>
      <c r="CC81" s="61"/>
      <c r="CD81" s="61"/>
      <c r="CE81" s="61"/>
      <c r="CF81" s="61"/>
      <c r="CG81" s="61"/>
      <c r="CH81" s="61"/>
      <c r="CI81" s="61"/>
      <c r="CJ81" s="61"/>
      <c r="CK81" s="61"/>
      <c r="CL81" s="61"/>
      <c r="CM81" s="61"/>
      <c r="CN81" s="61"/>
      <c r="CO81" s="61"/>
      <c r="CP81" s="61"/>
      <c r="CQ81" s="61"/>
      <c r="CR81" s="61"/>
      <c r="CS81" s="61"/>
      <c r="CT81" s="61"/>
      <c r="CU81" s="61"/>
      <c r="CV81" s="61"/>
      <c r="CW81" s="61"/>
      <c r="CX81" s="61"/>
      <c r="CY81" s="66"/>
      <c r="CZ81" s="66"/>
      <c r="DA81" s="66"/>
      <c r="DB81" s="66"/>
      <c r="DC81" s="66"/>
      <c r="DD81" s="66"/>
      <c r="DE81" s="66"/>
      <c r="DF81" s="66"/>
      <c r="DG81" s="66"/>
      <c r="DH81" s="66"/>
      <c r="DI81" s="66"/>
      <c r="DJ81" s="66"/>
    </row>
    <row r="82" spans="2:114" ht="15.75" x14ac:dyDescent="0.25">
      <c r="B82" s="61"/>
      <c r="C82" s="61"/>
      <c r="D82" s="207">
        <v>77</v>
      </c>
      <c r="E82" s="125">
        <v>2.0510000000000002</v>
      </c>
      <c r="F82" s="61"/>
      <c r="G82" s="61"/>
      <c r="H82" s="61"/>
      <c r="I82" s="61"/>
      <c r="J82" s="19">
        <v>78</v>
      </c>
      <c r="K82" s="121">
        <v>0.56666666666666821</v>
      </c>
      <c r="L82" s="61"/>
      <c r="M82" s="294">
        <v>78</v>
      </c>
      <c r="N82" s="121">
        <v>2.2468574428176327</v>
      </c>
      <c r="O82" s="61"/>
      <c r="P82" s="61"/>
      <c r="Q82" s="61"/>
      <c r="R82" s="61"/>
      <c r="S82" s="61"/>
      <c r="T82" s="61"/>
      <c r="U82" s="61"/>
      <c r="V82" s="61"/>
      <c r="W82" s="61"/>
      <c r="X82" s="61"/>
      <c r="Y82" s="61"/>
      <c r="Z82" s="61"/>
      <c r="AA82" s="61"/>
      <c r="AB82" s="61"/>
      <c r="AC82" s="61"/>
      <c r="AD82" s="61"/>
      <c r="AE82" s="61"/>
      <c r="AF82" s="61"/>
      <c r="AG82" s="61"/>
      <c r="AH82" s="61"/>
      <c r="AI82" s="61"/>
      <c r="AJ82" s="61"/>
      <c r="AK82" s="61"/>
      <c r="AL82" s="61"/>
      <c r="AM82" s="61"/>
      <c r="AN82" s="61"/>
      <c r="AO82" s="61"/>
      <c r="AP82" s="61"/>
      <c r="AQ82" s="61"/>
      <c r="AR82" s="61"/>
      <c r="AS82" s="61"/>
      <c r="AT82" s="61"/>
      <c r="AU82" s="61"/>
      <c r="AV82" s="61"/>
      <c r="AW82" s="61"/>
      <c r="AX82" s="61"/>
      <c r="AY82" s="61"/>
      <c r="AZ82" s="61"/>
      <c r="BA82" s="61"/>
      <c r="BB82" s="61"/>
      <c r="BC82" s="61"/>
      <c r="BD82" s="61"/>
      <c r="BE82" s="61"/>
      <c r="BF82" s="61"/>
      <c r="BG82" s="61"/>
      <c r="BH82" s="61"/>
      <c r="BI82" s="61"/>
      <c r="BJ82" s="61"/>
      <c r="BK82" s="61"/>
      <c r="BL82" s="61"/>
      <c r="BM82" s="61"/>
      <c r="BN82" s="61"/>
      <c r="BO82" s="61"/>
      <c r="BP82" s="61"/>
      <c r="BQ82" s="61"/>
      <c r="BR82" s="61"/>
      <c r="BS82" s="61"/>
      <c r="BT82" s="61"/>
      <c r="BU82" s="61"/>
      <c r="BV82" s="61"/>
      <c r="BW82" s="61"/>
      <c r="BX82" s="61"/>
      <c r="BY82" s="61"/>
      <c r="BZ82" s="61"/>
      <c r="CA82" s="61"/>
      <c r="CB82" s="61"/>
      <c r="CC82" s="61"/>
      <c r="CD82" s="61"/>
      <c r="CE82" s="61"/>
      <c r="CF82" s="61"/>
      <c r="CG82" s="61"/>
      <c r="CH82" s="61"/>
      <c r="CI82" s="61"/>
      <c r="CJ82" s="61"/>
      <c r="CK82" s="61"/>
      <c r="CL82" s="61"/>
      <c r="CM82" s="61"/>
      <c r="CN82" s="61"/>
      <c r="CO82" s="61"/>
      <c r="CP82" s="61"/>
      <c r="CQ82" s="61"/>
      <c r="CR82" s="61"/>
      <c r="CS82" s="61"/>
      <c r="CT82" s="61"/>
      <c r="CU82" s="61"/>
      <c r="CV82" s="61"/>
      <c r="CW82" s="61"/>
      <c r="CX82" s="61"/>
      <c r="CY82" s="66"/>
      <c r="CZ82" s="66"/>
      <c r="DA82" s="66"/>
      <c r="DB82" s="66"/>
      <c r="DC82" s="66"/>
      <c r="DD82" s="66"/>
      <c r="DE82" s="66"/>
      <c r="DF82" s="66"/>
      <c r="DG82" s="66"/>
      <c r="DH82" s="66"/>
      <c r="DI82" s="66"/>
      <c r="DJ82" s="66"/>
    </row>
    <row r="83" spans="2:114" ht="15.75" x14ac:dyDescent="0.25">
      <c r="B83" s="61"/>
      <c r="C83" s="61"/>
      <c r="D83" s="207">
        <v>78</v>
      </c>
      <c r="E83" s="125">
        <v>2.0739999999999998</v>
      </c>
      <c r="F83" s="61"/>
      <c r="G83" s="61"/>
      <c r="H83" s="61"/>
      <c r="I83" s="61"/>
      <c r="J83" s="19">
        <v>79</v>
      </c>
      <c r="K83" s="121">
        <v>0.56111111111111267</v>
      </c>
      <c r="L83" s="61"/>
      <c r="M83" s="294">
        <v>79</v>
      </c>
      <c r="N83" s="121">
        <v>2.272615535327251</v>
      </c>
      <c r="O83" s="61"/>
      <c r="P83" s="61"/>
      <c r="Q83" s="61"/>
      <c r="R83" s="61"/>
      <c r="S83" s="61"/>
      <c r="T83" s="61"/>
      <c r="U83" s="61"/>
      <c r="V83" s="61"/>
      <c r="W83" s="61"/>
      <c r="X83" s="61"/>
      <c r="Y83" s="61"/>
      <c r="Z83" s="61"/>
      <c r="AA83" s="61"/>
      <c r="AB83" s="61"/>
      <c r="AC83" s="61"/>
      <c r="AD83" s="61"/>
      <c r="AE83" s="61"/>
      <c r="AF83" s="61"/>
      <c r="AG83" s="61"/>
      <c r="AH83" s="61"/>
      <c r="AI83" s="61"/>
      <c r="AJ83" s="61"/>
      <c r="AK83" s="61"/>
      <c r="AL83" s="61"/>
      <c r="AM83" s="61"/>
      <c r="AN83" s="61"/>
      <c r="AO83" s="61"/>
      <c r="AP83" s="61"/>
      <c r="AQ83" s="61"/>
      <c r="AR83" s="61"/>
      <c r="AS83" s="61"/>
      <c r="AT83" s="61"/>
      <c r="AU83" s="61"/>
      <c r="AV83" s="61"/>
      <c r="AW83" s="61"/>
      <c r="AX83" s="61"/>
      <c r="AY83" s="61"/>
      <c r="AZ83" s="61"/>
      <c r="BA83" s="61"/>
      <c r="BB83" s="61"/>
      <c r="BC83" s="61"/>
      <c r="BD83" s="61"/>
      <c r="BE83" s="61"/>
      <c r="BF83" s="61"/>
      <c r="BG83" s="61"/>
      <c r="BH83" s="61"/>
      <c r="BI83" s="61"/>
      <c r="BJ83" s="61"/>
      <c r="BK83" s="61"/>
      <c r="BL83" s="61"/>
      <c r="BM83" s="61"/>
      <c r="BN83" s="61"/>
      <c r="BO83" s="61"/>
      <c r="BP83" s="61"/>
      <c r="BQ83" s="61"/>
      <c r="BR83" s="61"/>
      <c r="BS83" s="61"/>
      <c r="BT83" s="61"/>
      <c r="BU83" s="61"/>
      <c r="BV83" s="61"/>
      <c r="BW83" s="61"/>
      <c r="BX83" s="61"/>
      <c r="BY83" s="61"/>
      <c r="BZ83" s="61"/>
      <c r="CA83" s="61"/>
      <c r="CB83" s="61"/>
      <c r="CC83" s="61"/>
      <c r="CD83" s="61"/>
      <c r="CE83" s="61"/>
      <c r="CF83" s="61"/>
      <c r="CG83" s="61"/>
      <c r="CH83" s="61"/>
      <c r="CI83" s="61"/>
      <c r="CJ83" s="61"/>
      <c r="CK83" s="61"/>
      <c r="CL83" s="61"/>
      <c r="CM83" s="61"/>
      <c r="CN83" s="61"/>
      <c r="CO83" s="61"/>
      <c r="CP83" s="61"/>
      <c r="CQ83" s="61"/>
      <c r="CR83" s="61"/>
      <c r="CS83" s="61"/>
      <c r="CT83" s="61"/>
      <c r="CU83" s="61"/>
      <c r="CV83" s="61"/>
      <c r="CW83" s="61"/>
      <c r="CX83" s="61"/>
      <c r="CY83" s="66"/>
      <c r="CZ83" s="66"/>
      <c r="DA83" s="66"/>
      <c r="DB83" s="66"/>
      <c r="DC83" s="66"/>
      <c r="DD83" s="66"/>
      <c r="DE83" s="66"/>
      <c r="DF83" s="66"/>
      <c r="DG83" s="66"/>
      <c r="DH83" s="66"/>
      <c r="DI83" s="66"/>
      <c r="DJ83" s="66"/>
    </row>
    <row r="84" spans="2:114" ht="15.75" x14ac:dyDescent="0.25">
      <c r="B84" s="61"/>
      <c r="C84" s="61"/>
      <c r="D84" s="207">
        <v>79</v>
      </c>
      <c r="E84" s="125">
        <v>2.097</v>
      </c>
      <c r="F84" s="61"/>
      <c r="G84" s="61"/>
      <c r="H84" s="61"/>
      <c r="I84" s="61"/>
      <c r="J84" s="19">
        <v>80</v>
      </c>
      <c r="K84" s="121">
        <v>0.55555555555555713</v>
      </c>
      <c r="L84" s="61"/>
      <c r="M84" s="294">
        <v>80</v>
      </c>
      <c r="N84" s="121">
        <v>2.2983736278368694</v>
      </c>
      <c r="O84" s="61"/>
      <c r="P84" s="61"/>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c r="AZ84" s="61"/>
      <c r="BA84" s="61"/>
      <c r="BB84" s="61"/>
      <c r="BC84" s="61"/>
      <c r="BD84" s="61"/>
      <c r="BE84" s="61"/>
      <c r="BF84" s="61"/>
      <c r="BG84" s="61"/>
      <c r="BH84" s="61"/>
      <c r="BI84" s="61"/>
      <c r="BJ84" s="61"/>
      <c r="BK84" s="61"/>
      <c r="BL84" s="61"/>
      <c r="BM84" s="61"/>
      <c r="BN84" s="61"/>
      <c r="BO84" s="61"/>
      <c r="BP84" s="61"/>
      <c r="BQ84" s="61"/>
      <c r="BR84" s="61"/>
      <c r="BS84" s="61"/>
      <c r="BT84" s="61"/>
      <c r="BU84" s="61"/>
      <c r="BV84" s="61"/>
      <c r="BW84" s="61"/>
      <c r="BX84" s="61"/>
      <c r="BY84" s="61"/>
      <c r="BZ84" s="61"/>
      <c r="CA84" s="61"/>
      <c r="CB84" s="61"/>
      <c r="CC84" s="61"/>
      <c r="CD84" s="61"/>
      <c r="CE84" s="61"/>
      <c r="CF84" s="61"/>
      <c r="CG84" s="61"/>
      <c r="CH84" s="61"/>
      <c r="CI84" s="61"/>
      <c r="CJ84" s="61"/>
      <c r="CK84" s="61"/>
      <c r="CL84" s="61"/>
      <c r="CM84" s="61"/>
      <c r="CN84" s="61"/>
      <c r="CO84" s="61"/>
      <c r="CP84" s="61"/>
      <c r="CQ84" s="61"/>
      <c r="CR84" s="61"/>
      <c r="CS84" s="61"/>
      <c r="CT84" s="61"/>
      <c r="CU84" s="61"/>
      <c r="CV84" s="61"/>
      <c r="CW84" s="61"/>
      <c r="CX84" s="61"/>
      <c r="CY84" s="66"/>
      <c r="CZ84" s="66"/>
      <c r="DA84" s="66"/>
      <c r="DB84" s="66"/>
      <c r="DC84" s="66"/>
      <c r="DD84" s="66"/>
      <c r="DE84" s="66"/>
      <c r="DF84" s="66"/>
      <c r="DG84" s="66"/>
      <c r="DH84" s="66"/>
      <c r="DI84" s="66"/>
      <c r="DJ84" s="66"/>
    </row>
    <row r="85" spans="2:114" ht="15.75" x14ac:dyDescent="0.25">
      <c r="B85" s="61"/>
      <c r="C85" s="61"/>
      <c r="D85" s="207">
        <v>80</v>
      </c>
      <c r="E85" s="125">
        <v>2.12</v>
      </c>
      <c r="F85" s="61"/>
      <c r="G85" s="61"/>
      <c r="H85" s="61"/>
      <c r="I85" s="61"/>
      <c r="J85" s="19">
        <v>81</v>
      </c>
      <c r="K85" s="121">
        <v>0.5500000000000016</v>
      </c>
      <c r="L85" s="61"/>
      <c r="M85" s="294">
        <v>81</v>
      </c>
      <c r="N85" s="121">
        <v>2.3241317203464886</v>
      </c>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61"/>
      <c r="BL85" s="61"/>
      <c r="BM85" s="61"/>
      <c r="BN85" s="61"/>
      <c r="BO85" s="61"/>
      <c r="BP85" s="61"/>
      <c r="BQ85" s="61"/>
      <c r="BR85" s="61"/>
      <c r="BS85" s="61"/>
      <c r="BT85" s="61"/>
      <c r="BU85" s="61"/>
      <c r="BV85" s="61"/>
      <c r="BW85" s="61"/>
      <c r="BX85" s="61"/>
      <c r="BY85" s="61"/>
      <c r="BZ85" s="61"/>
      <c r="CA85" s="61"/>
      <c r="CB85" s="61"/>
      <c r="CC85" s="61"/>
      <c r="CD85" s="61"/>
      <c r="CE85" s="61"/>
      <c r="CF85" s="61"/>
      <c r="CG85" s="61"/>
      <c r="CH85" s="61"/>
      <c r="CI85" s="61"/>
      <c r="CJ85" s="61"/>
      <c r="CK85" s="61"/>
      <c r="CL85" s="61"/>
      <c r="CM85" s="61"/>
      <c r="CN85" s="61"/>
      <c r="CO85" s="61"/>
      <c r="CP85" s="61"/>
      <c r="CQ85" s="61"/>
      <c r="CR85" s="61"/>
      <c r="CS85" s="61"/>
      <c r="CT85" s="61"/>
      <c r="CU85" s="61"/>
      <c r="CV85" s="61"/>
      <c r="CW85" s="61"/>
      <c r="CX85" s="61"/>
      <c r="CY85" s="66"/>
      <c r="CZ85" s="66"/>
      <c r="DA85" s="66"/>
      <c r="DB85" s="66"/>
      <c r="DC85" s="66"/>
      <c r="DD85" s="66"/>
      <c r="DE85" s="66"/>
      <c r="DF85" s="66"/>
      <c r="DG85" s="66"/>
      <c r="DH85" s="66"/>
      <c r="DI85" s="66"/>
      <c r="DJ85" s="66"/>
    </row>
    <row r="86" spans="2:114" ht="15.75" x14ac:dyDescent="0.25">
      <c r="B86" s="61"/>
      <c r="C86" s="61"/>
      <c r="D86" s="207">
        <v>81</v>
      </c>
      <c r="E86" s="125">
        <v>2.1429999999999998</v>
      </c>
      <c r="F86" s="61"/>
      <c r="G86" s="61"/>
      <c r="H86" s="61"/>
      <c r="I86" s="61"/>
      <c r="J86" s="19">
        <v>82</v>
      </c>
      <c r="K86" s="121">
        <v>0.54444444444444606</v>
      </c>
      <c r="L86" s="61"/>
      <c r="M86" s="294">
        <v>82</v>
      </c>
      <c r="N86" s="121">
        <v>2.349889812856107</v>
      </c>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1"/>
      <c r="BB86" s="61"/>
      <c r="BC86" s="61"/>
      <c r="BD86" s="61"/>
      <c r="BE86" s="61"/>
      <c r="BF86" s="61"/>
      <c r="BG86" s="61"/>
      <c r="BH86" s="61"/>
      <c r="BI86" s="61"/>
      <c r="BJ86" s="61"/>
      <c r="BK86" s="61"/>
      <c r="BL86" s="61"/>
      <c r="BM86" s="61"/>
      <c r="BN86" s="61"/>
      <c r="BO86" s="61"/>
      <c r="BP86" s="61"/>
      <c r="BQ86" s="61"/>
      <c r="BR86" s="61"/>
      <c r="BS86" s="61"/>
      <c r="BT86" s="61"/>
      <c r="BU86" s="61"/>
      <c r="BV86" s="61"/>
      <c r="BW86" s="61"/>
      <c r="BX86" s="61"/>
      <c r="BY86" s="61"/>
      <c r="BZ86" s="61"/>
      <c r="CA86" s="61"/>
      <c r="CB86" s="61"/>
      <c r="CC86" s="61"/>
      <c r="CD86" s="61"/>
      <c r="CE86" s="61"/>
      <c r="CF86" s="61"/>
      <c r="CG86" s="61"/>
      <c r="CH86" s="61"/>
      <c r="CI86" s="61"/>
      <c r="CJ86" s="61"/>
      <c r="CK86" s="61"/>
      <c r="CL86" s="61"/>
      <c r="CM86" s="61"/>
      <c r="CN86" s="61"/>
      <c r="CO86" s="61"/>
      <c r="CP86" s="61"/>
      <c r="CQ86" s="61"/>
      <c r="CR86" s="61"/>
      <c r="CS86" s="61"/>
      <c r="CT86" s="61"/>
      <c r="CU86" s="61"/>
      <c r="CV86" s="61"/>
      <c r="CW86" s="61"/>
      <c r="CX86" s="61"/>
      <c r="CY86" s="66"/>
      <c r="CZ86" s="66"/>
      <c r="DA86" s="66"/>
      <c r="DB86" s="66"/>
      <c r="DC86" s="66"/>
      <c r="DD86" s="66"/>
      <c r="DE86" s="66"/>
      <c r="DF86" s="66"/>
      <c r="DG86" s="66"/>
      <c r="DH86" s="66"/>
      <c r="DI86" s="66"/>
      <c r="DJ86" s="66"/>
    </row>
    <row r="87" spans="2:114" ht="15.75" x14ac:dyDescent="0.25">
      <c r="B87" s="61"/>
      <c r="C87" s="61"/>
      <c r="D87" s="207">
        <v>82</v>
      </c>
      <c r="E87" s="125">
        <v>2.1659999999999999</v>
      </c>
      <c r="F87" s="61"/>
      <c r="G87" s="61"/>
      <c r="H87" s="61"/>
      <c r="I87" s="61"/>
      <c r="J87" s="19">
        <v>83</v>
      </c>
      <c r="K87" s="121">
        <v>0.53888888888889053</v>
      </c>
      <c r="L87" s="61"/>
      <c r="M87" s="294">
        <v>83</v>
      </c>
      <c r="N87" s="121">
        <v>2.3756479053657253</v>
      </c>
      <c r="O87" s="61"/>
      <c r="P87" s="61"/>
      <c r="Q87" s="61"/>
      <c r="R87" s="61"/>
      <c r="S87" s="61"/>
      <c r="T87" s="61"/>
      <c r="U87" s="61"/>
      <c r="V87" s="61"/>
      <c r="W87" s="61"/>
      <c r="X87" s="61"/>
      <c r="Y87" s="61"/>
      <c r="Z87" s="61"/>
      <c r="AA87" s="61"/>
      <c r="AB87" s="61"/>
      <c r="AC87" s="61"/>
      <c r="AD87" s="61"/>
      <c r="AE87" s="61"/>
      <c r="AF87" s="61"/>
      <c r="AG87" s="61"/>
      <c r="AH87" s="61"/>
      <c r="AI87" s="61"/>
      <c r="AJ87" s="61"/>
      <c r="AK87" s="61"/>
      <c r="AL87" s="61"/>
      <c r="AM87" s="61"/>
      <c r="AN87" s="61"/>
      <c r="AO87" s="61"/>
      <c r="AP87" s="61"/>
      <c r="AQ87" s="61"/>
      <c r="AR87" s="61"/>
      <c r="AS87" s="61"/>
      <c r="AT87" s="61"/>
      <c r="AU87" s="61"/>
      <c r="AV87" s="61"/>
      <c r="AW87" s="61"/>
      <c r="AX87" s="61"/>
      <c r="AY87" s="61"/>
      <c r="AZ87" s="61"/>
      <c r="BA87" s="61"/>
      <c r="BB87" s="61"/>
      <c r="BC87" s="61"/>
      <c r="BD87" s="61"/>
      <c r="BE87" s="61"/>
      <c r="BF87" s="61"/>
      <c r="BG87" s="61"/>
      <c r="BH87" s="61"/>
      <c r="BI87" s="61"/>
      <c r="BJ87" s="61"/>
      <c r="BK87" s="61"/>
      <c r="BL87" s="61"/>
      <c r="BM87" s="61"/>
      <c r="BN87" s="61"/>
      <c r="BO87" s="61"/>
      <c r="BP87" s="61"/>
      <c r="BQ87" s="61"/>
      <c r="BR87" s="61"/>
      <c r="BS87" s="61"/>
      <c r="BT87" s="61"/>
      <c r="BU87" s="61"/>
      <c r="BV87" s="61"/>
      <c r="BW87" s="61"/>
      <c r="BX87" s="61"/>
      <c r="BY87" s="61"/>
      <c r="BZ87" s="61"/>
      <c r="CA87" s="61"/>
      <c r="CB87" s="61"/>
      <c r="CC87" s="61"/>
      <c r="CD87" s="61"/>
      <c r="CE87" s="61"/>
      <c r="CF87" s="61"/>
      <c r="CG87" s="61"/>
      <c r="CH87" s="61"/>
      <c r="CI87" s="61"/>
      <c r="CJ87" s="61"/>
      <c r="CK87" s="61"/>
      <c r="CL87" s="61"/>
      <c r="CM87" s="61"/>
      <c r="CN87" s="61"/>
      <c r="CO87" s="61"/>
      <c r="CP87" s="61"/>
      <c r="CQ87" s="61"/>
      <c r="CR87" s="61"/>
      <c r="CS87" s="61"/>
      <c r="CT87" s="61"/>
      <c r="CU87" s="61"/>
      <c r="CV87" s="61"/>
      <c r="CW87" s="61"/>
      <c r="CX87" s="61"/>
      <c r="CY87" s="66"/>
      <c r="CZ87" s="66"/>
      <c r="DA87" s="66"/>
      <c r="DB87" s="66"/>
      <c r="DC87" s="66"/>
      <c r="DD87" s="66"/>
      <c r="DE87" s="66"/>
      <c r="DF87" s="66"/>
      <c r="DG87" s="66"/>
      <c r="DH87" s="66"/>
      <c r="DI87" s="66"/>
      <c r="DJ87" s="66"/>
    </row>
    <row r="88" spans="2:114" ht="15.75" x14ac:dyDescent="0.25">
      <c r="B88" s="61"/>
      <c r="C88" s="61"/>
      <c r="D88" s="207">
        <v>83</v>
      </c>
      <c r="E88" s="125">
        <v>2.1890000000000001</v>
      </c>
      <c r="F88" s="61"/>
      <c r="G88" s="61"/>
      <c r="H88" s="61"/>
      <c r="I88" s="61"/>
      <c r="J88" s="19">
        <v>84</v>
      </c>
      <c r="K88" s="121">
        <v>0.53333333333333499</v>
      </c>
      <c r="L88" s="61"/>
      <c r="M88" s="294">
        <v>84</v>
      </c>
      <c r="N88" s="121">
        <v>2.4014059978753441</v>
      </c>
      <c r="O88" s="61"/>
      <c r="P88" s="61"/>
      <c r="Q88" s="61"/>
      <c r="R88" s="61"/>
      <c r="S88" s="61"/>
      <c r="T88" s="61"/>
      <c r="U88" s="61"/>
      <c r="V88" s="61"/>
      <c r="W88" s="61"/>
      <c r="X88" s="61"/>
      <c r="Y88" s="61"/>
      <c r="Z88" s="61"/>
      <c r="AA88" s="61"/>
      <c r="AB88" s="61"/>
      <c r="AC88" s="61"/>
      <c r="AD88" s="61"/>
      <c r="AE88" s="61"/>
      <c r="AF88" s="61"/>
      <c r="AG88" s="61"/>
      <c r="AH88" s="61"/>
      <c r="AI88" s="61"/>
      <c r="AJ88" s="61"/>
      <c r="AK88" s="61"/>
      <c r="AL88" s="61"/>
      <c r="AM88" s="61"/>
      <c r="AN88" s="61"/>
      <c r="AO88" s="61"/>
      <c r="AP88" s="61"/>
      <c r="AQ88" s="61"/>
      <c r="AR88" s="61"/>
      <c r="AS88" s="61"/>
      <c r="AT88" s="61"/>
      <c r="AU88" s="61"/>
      <c r="AV88" s="61"/>
      <c r="AW88" s="61"/>
      <c r="AX88" s="61"/>
      <c r="AY88" s="61"/>
      <c r="AZ88" s="61"/>
      <c r="BA88" s="61"/>
      <c r="BB88" s="61"/>
      <c r="BC88" s="61"/>
      <c r="BD88" s="61"/>
      <c r="BE88" s="61"/>
      <c r="BF88" s="61"/>
      <c r="BG88" s="61"/>
      <c r="BH88" s="61"/>
      <c r="BI88" s="61"/>
      <c r="BJ88" s="61"/>
      <c r="BK88" s="61"/>
      <c r="BL88" s="61"/>
      <c r="BM88" s="61"/>
      <c r="BN88" s="61"/>
      <c r="BO88" s="61"/>
      <c r="BP88" s="61"/>
      <c r="BQ88" s="61"/>
      <c r="BR88" s="61"/>
      <c r="BS88" s="61"/>
      <c r="BT88" s="61"/>
      <c r="BU88" s="61"/>
      <c r="BV88" s="61"/>
      <c r="BW88" s="61"/>
      <c r="BX88" s="61"/>
      <c r="BY88" s="61"/>
      <c r="BZ88" s="61"/>
      <c r="CA88" s="61"/>
      <c r="CB88" s="61"/>
      <c r="CC88" s="61"/>
      <c r="CD88" s="61"/>
      <c r="CE88" s="61"/>
      <c r="CF88" s="61"/>
      <c r="CG88" s="61"/>
      <c r="CH88" s="61"/>
      <c r="CI88" s="61"/>
      <c r="CJ88" s="61"/>
      <c r="CK88" s="61"/>
      <c r="CL88" s="61"/>
      <c r="CM88" s="61"/>
      <c r="CN88" s="61"/>
      <c r="CO88" s="61"/>
      <c r="CP88" s="61"/>
      <c r="CQ88" s="61"/>
      <c r="CR88" s="61"/>
      <c r="CS88" s="61"/>
      <c r="CT88" s="61"/>
      <c r="CU88" s="61"/>
      <c r="CV88" s="61"/>
      <c r="CW88" s="61"/>
      <c r="CX88" s="61"/>
      <c r="CY88" s="66"/>
      <c r="CZ88" s="66"/>
      <c r="DA88" s="66"/>
      <c r="DB88" s="66"/>
      <c r="DC88" s="66"/>
      <c r="DD88" s="66"/>
      <c r="DE88" s="66"/>
      <c r="DF88" s="66"/>
      <c r="DG88" s="66"/>
      <c r="DH88" s="66"/>
      <c r="DI88" s="66"/>
      <c r="DJ88" s="66"/>
    </row>
    <row r="89" spans="2:114" ht="15.75" x14ac:dyDescent="0.25">
      <c r="B89" s="61"/>
      <c r="C89" s="61"/>
      <c r="D89" s="207">
        <v>84</v>
      </c>
      <c r="E89" s="125">
        <v>2.2120000000000002</v>
      </c>
      <c r="F89" s="61"/>
      <c r="G89" s="61"/>
      <c r="H89" s="61"/>
      <c r="I89" s="61"/>
      <c r="J89" s="19">
        <v>85</v>
      </c>
      <c r="K89" s="121">
        <v>0.52777777777777946</v>
      </c>
      <c r="L89" s="61"/>
      <c r="M89" s="294">
        <v>85</v>
      </c>
      <c r="N89" s="121">
        <v>2.4320871432888334</v>
      </c>
      <c r="O89" s="61"/>
      <c r="P89" s="61"/>
      <c r="Q89" s="61"/>
      <c r="R89" s="61"/>
      <c r="S89" s="61"/>
      <c r="T89" s="61"/>
      <c r="U89" s="61"/>
      <c r="V89" s="61"/>
      <c r="W89" s="61"/>
      <c r="X89" s="61"/>
      <c r="Y89" s="61"/>
      <c r="Z89" s="61"/>
      <c r="AA89" s="61"/>
      <c r="AB89" s="61"/>
      <c r="AC89" s="61"/>
      <c r="AD89" s="61"/>
      <c r="AE89" s="61"/>
      <c r="AF89" s="61"/>
      <c r="AG89" s="61"/>
      <c r="AH89" s="61"/>
      <c r="AI89" s="61"/>
      <c r="AJ89" s="61"/>
      <c r="AK89" s="61"/>
      <c r="AL89" s="61"/>
      <c r="AM89" s="61"/>
      <c r="AN89" s="61"/>
      <c r="AO89" s="61"/>
      <c r="AP89" s="61"/>
      <c r="AQ89" s="61"/>
      <c r="AR89" s="61"/>
      <c r="AS89" s="61"/>
      <c r="AT89" s="61"/>
      <c r="AU89" s="61"/>
      <c r="AV89" s="61"/>
      <c r="AW89" s="61"/>
      <c r="AX89" s="61"/>
      <c r="AY89" s="61"/>
      <c r="AZ89" s="61"/>
      <c r="BA89" s="61"/>
      <c r="BB89" s="61"/>
      <c r="BC89" s="61"/>
      <c r="BD89" s="61"/>
      <c r="BE89" s="61"/>
      <c r="BF89" s="61"/>
      <c r="BG89" s="61"/>
      <c r="BH89" s="61"/>
      <c r="BI89" s="61"/>
      <c r="BJ89" s="61"/>
      <c r="BK89" s="61"/>
      <c r="BL89" s="61"/>
      <c r="BM89" s="61"/>
      <c r="BN89" s="61"/>
      <c r="BO89" s="61"/>
      <c r="BP89" s="61"/>
      <c r="BQ89" s="61"/>
      <c r="BR89" s="61"/>
      <c r="BS89" s="61"/>
      <c r="BT89" s="61"/>
      <c r="BU89" s="61"/>
      <c r="BV89" s="61"/>
      <c r="BW89" s="61"/>
      <c r="BX89" s="61"/>
      <c r="BY89" s="61"/>
      <c r="BZ89" s="61"/>
      <c r="CA89" s="61"/>
      <c r="CB89" s="61"/>
      <c r="CC89" s="61"/>
      <c r="CD89" s="61"/>
      <c r="CE89" s="61"/>
      <c r="CF89" s="61"/>
      <c r="CG89" s="61"/>
      <c r="CH89" s="61"/>
      <c r="CI89" s="61"/>
      <c r="CJ89" s="61"/>
      <c r="CK89" s="61"/>
      <c r="CL89" s="61"/>
      <c r="CM89" s="61"/>
      <c r="CN89" s="61"/>
      <c r="CO89" s="61"/>
      <c r="CP89" s="61"/>
      <c r="CQ89" s="61"/>
      <c r="CR89" s="61"/>
      <c r="CS89" s="61"/>
      <c r="CT89" s="61"/>
      <c r="CU89" s="61"/>
      <c r="CV89" s="61"/>
      <c r="CW89" s="61"/>
      <c r="CX89" s="61"/>
      <c r="CY89" s="66"/>
      <c r="CZ89" s="66"/>
      <c r="DA89" s="66"/>
      <c r="DB89" s="66"/>
      <c r="DC89" s="66"/>
      <c r="DD89" s="66"/>
      <c r="DE89" s="66"/>
      <c r="DF89" s="66"/>
      <c r="DG89" s="66"/>
      <c r="DH89" s="66"/>
      <c r="DI89" s="66"/>
      <c r="DJ89" s="66"/>
    </row>
    <row r="90" spans="2:114" ht="15.75" x14ac:dyDescent="0.25">
      <c r="B90" s="61"/>
      <c r="C90" s="61"/>
      <c r="D90" s="207">
        <v>85</v>
      </c>
      <c r="E90" s="125">
        <v>2.2349999999999999</v>
      </c>
      <c r="F90" s="61"/>
      <c r="G90" s="61"/>
      <c r="H90" s="61"/>
      <c r="I90" s="61"/>
      <c r="J90" s="19">
        <v>86</v>
      </c>
      <c r="K90" s="121">
        <v>0.52222222222222392</v>
      </c>
      <c r="L90" s="61"/>
      <c r="M90" s="294">
        <v>86</v>
      </c>
      <c r="N90" s="121">
        <v>2.4627682887023221</v>
      </c>
      <c r="O90" s="61"/>
      <c r="P90" s="61"/>
      <c r="Q90" s="61"/>
      <c r="R90" s="61"/>
      <c r="S90" s="61"/>
      <c r="T90" s="61"/>
      <c r="U90" s="61"/>
      <c r="V90" s="61"/>
      <c r="W90" s="61"/>
      <c r="X90" s="61"/>
      <c r="Y90" s="61"/>
      <c r="Z90" s="61"/>
      <c r="AA90" s="61"/>
      <c r="AB90" s="61"/>
      <c r="AC90" s="61"/>
      <c r="AD90" s="61"/>
      <c r="AE90" s="61"/>
      <c r="AF90" s="61"/>
      <c r="AG90" s="61"/>
      <c r="AH90" s="61"/>
      <c r="AI90" s="61"/>
      <c r="AJ90" s="61"/>
      <c r="AK90" s="61"/>
      <c r="AL90" s="61"/>
      <c r="AM90" s="61"/>
      <c r="AN90" s="61"/>
      <c r="AO90" s="61"/>
      <c r="AP90" s="61"/>
      <c r="AQ90" s="61"/>
      <c r="AR90" s="61"/>
      <c r="AS90" s="61"/>
      <c r="AT90" s="61"/>
      <c r="AU90" s="61"/>
      <c r="AV90" s="61"/>
      <c r="AW90" s="61"/>
      <c r="AX90" s="61"/>
      <c r="AY90" s="61"/>
      <c r="AZ90" s="61"/>
      <c r="BA90" s="61"/>
      <c r="BB90" s="61"/>
      <c r="BC90" s="61"/>
      <c r="BD90" s="61"/>
      <c r="BE90" s="61"/>
      <c r="BF90" s="61"/>
      <c r="BG90" s="61"/>
      <c r="BH90" s="61"/>
      <c r="BI90" s="61"/>
      <c r="BJ90" s="61"/>
      <c r="BK90" s="61"/>
      <c r="BL90" s="61"/>
      <c r="BM90" s="61"/>
      <c r="BN90" s="61"/>
      <c r="BO90" s="61"/>
      <c r="BP90" s="61"/>
      <c r="BQ90" s="61"/>
      <c r="BR90" s="61"/>
      <c r="BS90" s="61"/>
      <c r="BT90" s="61"/>
      <c r="BU90" s="61"/>
      <c r="BV90" s="61"/>
      <c r="BW90" s="61"/>
      <c r="BX90" s="61"/>
      <c r="BY90" s="61"/>
      <c r="BZ90" s="61"/>
      <c r="CA90" s="61"/>
      <c r="CB90" s="61"/>
      <c r="CC90" s="61"/>
      <c r="CD90" s="61"/>
      <c r="CE90" s="61"/>
      <c r="CF90" s="61"/>
      <c r="CG90" s="61"/>
      <c r="CH90" s="61"/>
      <c r="CI90" s="61"/>
      <c r="CJ90" s="61"/>
      <c r="CK90" s="61"/>
      <c r="CL90" s="61"/>
      <c r="CM90" s="61"/>
      <c r="CN90" s="61"/>
      <c r="CO90" s="61"/>
      <c r="CP90" s="61"/>
      <c r="CQ90" s="61"/>
      <c r="CR90" s="61"/>
      <c r="CS90" s="61"/>
      <c r="CT90" s="61"/>
      <c r="CU90" s="61"/>
      <c r="CV90" s="61"/>
      <c r="CW90" s="61"/>
      <c r="CX90" s="61"/>
      <c r="CY90" s="66"/>
      <c r="CZ90" s="66"/>
      <c r="DA90" s="66"/>
      <c r="DB90" s="66"/>
      <c r="DC90" s="66"/>
      <c r="DD90" s="66"/>
      <c r="DE90" s="66"/>
      <c r="DF90" s="66"/>
      <c r="DG90" s="66"/>
      <c r="DH90" s="66"/>
      <c r="DI90" s="66"/>
      <c r="DJ90" s="66"/>
    </row>
    <row r="91" spans="2:114" ht="15.75" x14ac:dyDescent="0.25">
      <c r="B91" s="61"/>
      <c r="C91" s="61"/>
      <c r="D91" s="207">
        <v>86</v>
      </c>
      <c r="E91" s="125">
        <v>2.258</v>
      </c>
      <c r="F91" s="61"/>
      <c r="G91" s="61"/>
      <c r="H91" s="61"/>
      <c r="I91" s="61"/>
      <c r="J91" s="19">
        <v>87</v>
      </c>
      <c r="K91" s="121">
        <v>0.51666666666666838</v>
      </c>
      <c r="L91" s="61"/>
      <c r="M91" s="294">
        <v>87</v>
      </c>
      <c r="N91" s="121">
        <v>2.4934494341158109</v>
      </c>
      <c r="O91" s="61"/>
      <c r="P91" s="61"/>
      <c r="Q91" s="61"/>
      <c r="R91" s="61"/>
      <c r="S91" s="61"/>
      <c r="T91" s="61"/>
      <c r="U91" s="61"/>
      <c r="V91" s="61"/>
      <c r="W91" s="61"/>
      <c r="X91" s="61"/>
      <c r="Y91" s="61"/>
      <c r="Z91" s="61"/>
      <c r="AA91" s="61"/>
      <c r="AB91" s="61"/>
      <c r="AC91" s="61"/>
      <c r="AD91" s="61"/>
      <c r="AE91" s="61"/>
      <c r="AF91" s="61"/>
      <c r="AG91" s="61"/>
      <c r="AH91" s="61"/>
      <c r="AI91" s="61"/>
      <c r="AJ91" s="61"/>
      <c r="AK91" s="61"/>
      <c r="AL91" s="61"/>
      <c r="AM91" s="61"/>
      <c r="AN91" s="61"/>
      <c r="AO91" s="61"/>
      <c r="AP91" s="61"/>
      <c r="AQ91" s="61"/>
      <c r="AR91" s="61"/>
      <c r="AS91" s="61"/>
      <c r="AT91" s="61"/>
      <c r="AU91" s="61"/>
      <c r="AV91" s="61"/>
      <c r="AW91" s="61"/>
      <c r="AX91" s="61"/>
      <c r="AY91" s="61"/>
      <c r="AZ91" s="61"/>
      <c r="BA91" s="61"/>
      <c r="BB91" s="61"/>
      <c r="BC91" s="61"/>
      <c r="BD91" s="61"/>
      <c r="BE91" s="61"/>
      <c r="BF91" s="61"/>
      <c r="BG91" s="61"/>
      <c r="BH91" s="61"/>
      <c r="BI91" s="61"/>
      <c r="BJ91" s="61"/>
      <c r="BK91" s="61"/>
      <c r="BL91" s="61"/>
      <c r="BM91" s="61"/>
      <c r="BN91" s="61"/>
      <c r="BO91" s="61"/>
      <c r="BP91" s="61"/>
      <c r="BQ91" s="61"/>
      <c r="BR91" s="61"/>
      <c r="BS91" s="61"/>
      <c r="BT91" s="61"/>
      <c r="BU91" s="61"/>
      <c r="BV91" s="61"/>
      <c r="BW91" s="61"/>
      <c r="BX91" s="61"/>
      <c r="BY91" s="61"/>
      <c r="BZ91" s="61"/>
      <c r="CA91" s="61"/>
      <c r="CB91" s="61"/>
      <c r="CC91" s="61"/>
      <c r="CD91" s="61"/>
      <c r="CE91" s="61"/>
      <c r="CF91" s="61"/>
      <c r="CG91" s="61"/>
      <c r="CH91" s="61"/>
      <c r="CI91" s="61"/>
      <c r="CJ91" s="61"/>
      <c r="CK91" s="61"/>
      <c r="CL91" s="61"/>
      <c r="CM91" s="61"/>
      <c r="CN91" s="61"/>
      <c r="CO91" s="61"/>
      <c r="CP91" s="61"/>
      <c r="CQ91" s="61"/>
      <c r="CR91" s="61"/>
      <c r="CS91" s="61"/>
      <c r="CT91" s="61"/>
      <c r="CU91" s="61"/>
      <c r="CV91" s="61"/>
      <c r="CW91" s="61"/>
      <c r="CX91" s="61"/>
      <c r="CY91" s="66"/>
      <c r="CZ91" s="66"/>
      <c r="DA91" s="66"/>
      <c r="DB91" s="66"/>
      <c r="DC91" s="66"/>
      <c r="DD91" s="66"/>
      <c r="DE91" s="66"/>
      <c r="DF91" s="66"/>
      <c r="DG91" s="66"/>
      <c r="DH91" s="66"/>
      <c r="DI91" s="66"/>
      <c r="DJ91" s="66"/>
    </row>
    <row r="92" spans="2:114" ht="15.75" x14ac:dyDescent="0.25">
      <c r="B92" s="61"/>
      <c r="C92" s="61"/>
      <c r="D92" s="207">
        <v>87</v>
      </c>
      <c r="E92" s="125">
        <v>2.2810000000000001</v>
      </c>
      <c r="F92" s="61"/>
      <c r="G92" s="61"/>
      <c r="H92" s="61"/>
      <c r="I92" s="61"/>
      <c r="J92" s="19">
        <v>88</v>
      </c>
      <c r="K92" s="121">
        <v>0.51111111111111285</v>
      </c>
      <c r="L92" s="61"/>
      <c r="M92" s="294">
        <v>88</v>
      </c>
      <c r="N92" s="121">
        <v>2.5241305795292996</v>
      </c>
      <c r="O92" s="61"/>
      <c r="P92" s="61"/>
      <c r="Q92" s="61"/>
      <c r="R92" s="61"/>
      <c r="S92" s="61"/>
      <c r="T92" s="61"/>
      <c r="U92" s="61"/>
      <c r="V92" s="61"/>
      <c r="W92" s="61"/>
      <c r="X92" s="61"/>
      <c r="Y92" s="61"/>
      <c r="Z92" s="61"/>
      <c r="AA92" s="61"/>
      <c r="AB92" s="61"/>
      <c r="AC92" s="61"/>
      <c r="AD92" s="61"/>
      <c r="AE92" s="61"/>
      <c r="AF92" s="61"/>
      <c r="AG92" s="61"/>
      <c r="AH92" s="61"/>
      <c r="AI92" s="61"/>
      <c r="AJ92" s="61"/>
      <c r="AK92" s="61"/>
      <c r="AL92" s="61"/>
      <c r="AM92" s="61"/>
      <c r="AN92" s="61"/>
      <c r="AO92" s="61"/>
      <c r="AP92" s="61"/>
      <c r="AQ92" s="61"/>
      <c r="AR92" s="61"/>
      <c r="AS92" s="61"/>
      <c r="AT92" s="61"/>
      <c r="AU92" s="61"/>
      <c r="AV92" s="61"/>
      <c r="AW92" s="61"/>
      <c r="AX92" s="61"/>
      <c r="AY92" s="61"/>
      <c r="AZ92" s="61"/>
      <c r="BA92" s="61"/>
      <c r="BB92" s="61"/>
      <c r="BC92" s="61"/>
      <c r="BD92" s="61"/>
      <c r="BE92" s="61"/>
      <c r="BF92" s="61"/>
      <c r="BG92" s="61"/>
      <c r="BH92" s="61"/>
      <c r="BI92" s="61"/>
      <c r="BJ92" s="61"/>
      <c r="BK92" s="61"/>
      <c r="BL92" s="61"/>
      <c r="BM92" s="61"/>
      <c r="BN92" s="61"/>
      <c r="BO92" s="61"/>
      <c r="BP92" s="61"/>
      <c r="BQ92" s="61"/>
      <c r="BR92" s="61"/>
      <c r="BS92" s="61"/>
      <c r="BT92" s="61"/>
      <c r="BU92" s="61"/>
      <c r="BV92" s="61"/>
      <c r="BW92" s="61"/>
      <c r="BX92" s="61"/>
      <c r="BY92" s="61"/>
      <c r="BZ92" s="61"/>
      <c r="CA92" s="61"/>
      <c r="CB92" s="61"/>
      <c r="CC92" s="61"/>
      <c r="CD92" s="61"/>
      <c r="CE92" s="61"/>
      <c r="CF92" s="61"/>
      <c r="CG92" s="61"/>
      <c r="CH92" s="61"/>
      <c r="CI92" s="61"/>
      <c r="CJ92" s="61"/>
      <c r="CK92" s="61"/>
      <c r="CL92" s="61"/>
      <c r="CM92" s="61"/>
      <c r="CN92" s="61"/>
      <c r="CO92" s="61"/>
      <c r="CP92" s="61"/>
      <c r="CQ92" s="61"/>
      <c r="CR92" s="61"/>
      <c r="CS92" s="61"/>
      <c r="CT92" s="61"/>
      <c r="CU92" s="61"/>
      <c r="CV92" s="61"/>
      <c r="CW92" s="61"/>
      <c r="CX92" s="61"/>
      <c r="CY92" s="66"/>
      <c r="CZ92" s="66"/>
      <c r="DA92" s="66"/>
      <c r="DB92" s="66"/>
      <c r="DC92" s="66"/>
      <c r="DD92" s="66"/>
      <c r="DE92" s="66"/>
      <c r="DF92" s="66"/>
      <c r="DG92" s="66"/>
      <c r="DH92" s="66"/>
      <c r="DI92" s="66"/>
      <c r="DJ92" s="66"/>
    </row>
    <row r="93" spans="2:114" ht="15.75" x14ac:dyDescent="0.25">
      <c r="B93" s="61"/>
      <c r="C93" s="61"/>
      <c r="D93" s="207">
        <v>88</v>
      </c>
      <c r="E93" s="125">
        <v>2.3039999999999998</v>
      </c>
      <c r="F93" s="61"/>
      <c r="G93" s="61"/>
      <c r="H93" s="61"/>
      <c r="I93" s="61"/>
      <c r="J93" s="19">
        <v>89</v>
      </c>
      <c r="K93" s="121">
        <v>0.50555555555555731</v>
      </c>
      <c r="L93" s="61"/>
      <c r="M93" s="294">
        <v>89</v>
      </c>
      <c r="N93" s="121">
        <v>2.5548117249427893</v>
      </c>
      <c r="O93" s="61"/>
      <c r="P93" s="61"/>
      <c r="Q93" s="61"/>
      <c r="R93" s="61"/>
      <c r="S93" s="61"/>
      <c r="T93" s="61"/>
      <c r="U93" s="61"/>
      <c r="V93" s="61"/>
      <c r="W93" s="61"/>
      <c r="X93" s="61"/>
      <c r="Y93" s="61"/>
      <c r="Z93" s="61"/>
      <c r="AA93" s="61"/>
      <c r="AB93" s="61"/>
      <c r="AC93" s="61"/>
      <c r="AD93" s="61"/>
      <c r="AE93" s="61"/>
      <c r="AF93" s="61"/>
      <c r="AG93" s="61"/>
      <c r="AH93" s="61"/>
      <c r="AI93" s="61"/>
      <c r="AJ93" s="61"/>
      <c r="AK93" s="61"/>
      <c r="AL93" s="61"/>
      <c r="AM93" s="61"/>
      <c r="AN93" s="61"/>
      <c r="AO93" s="61"/>
      <c r="AP93" s="61"/>
      <c r="AQ93" s="61"/>
      <c r="AR93" s="61"/>
      <c r="AS93" s="61"/>
      <c r="AT93" s="61"/>
      <c r="AU93" s="61"/>
      <c r="AV93" s="61"/>
      <c r="AW93" s="61"/>
      <c r="AX93" s="61"/>
      <c r="AY93" s="61"/>
      <c r="AZ93" s="61"/>
      <c r="BA93" s="61"/>
      <c r="BB93" s="61"/>
      <c r="BC93" s="61"/>
      <c r="BD93" s="61"/>
      <c r="BE93" s="61"/>
      <c r="BF93" s="61"/>
      <c r="BG93" s="61"/>
      <c r="BH93" s="61"/>
      <c r="BI93" s="61"/>
      <c r="BJ93" s="61"/>
      <c r="BK93" s="61"/>
      <c r="BL93" s="61"/>
      <c r="BM93" s="61"/>
      <c r="BN93" s="61"/>
      <c r="BO93" s="61"/>
      <c r="BP93" s="61"/>
      <c r="BQ93" s="61"/>
      <c r="BR93" s="61"/>
      <c r="BS93" s="61"/>
      <c r="BT93" s="61"/>
      <c r="BU93" s="61"/>
      <c r="BV93" s="61"/>
      <c r="BW93" s="61"/>
      <c r="BX93" s="61"/>
      <c r="BY93" s="61"/>
      <c r="BZ93" s="61"/>
      <c r="CA93" s="61"/>
      <c r="CB93" s="61"/>
      <c r="CC93" s="61"/>
      <c r="CD93" s="61"/>
      <c r="CE93" s="61"/>
      <c r="CF93" s="61"/>
      <c r="CG93" s="61"/>
      <c r="CH93" s="61"/>
      <c r="CI93" s="61"/>
      <c r="CJ93" s="61"/>
      <c r="CK93" s="61"/>
      <c r="CL93" s="61"/>
      <c r="CM93" s="61"/>
      <c r="CN93" s="61"/>
      <c r="CO93" s="61"/>
      <c r="CP93" s="61"/>
      <c r="CQ93" s="61"/>
      <c r="CR93" s="61"/>
      <c r="CS93" s="61"/>
      <c r="CT93" s="61"/>
      <c r="CU93" s="61"/>
      <c r="CV93" s="61"/>
      <c r="CW93" s="61"/>
      <c r="CX93" s="61"/>
      <c r="CY93" s="66"/>
      <c r="CZ93" s="66"/>
      <c r="DA93" s="66"/>
      <c r="DB93" s="66"/>
      <c r="DC93" s="66"/>
      <c r="DD93" s="66"/>
      <c r="DE93" s="66"/>
      <c r="DF93" s="66"/>
      <c r="DG93" s="66"/>
      <c r="DH93" s="66"/>
      <c r="DI93" s="66"/>
      <c r="DJ93" s="66"/>
    </row>
    <row r="94" spans="2:114" ht="15.75" x14ac:dyDescent="0.25">
      <c r="B94" s="61"/>
      <c r="C94" s="61"/>
      <c r="D94" s="207">
        <v>89</v>
      </c>
      <c r="E94" s="125">
        <v>2.327</v>
      </c>
      <c r="F94" s="61"/>
      <c r="G94" s="61"/>
      <c r="H94" s="61"/>
      <c r="I94" s="61"/>
      <c r="J94" s="19">
        <v>90</v>
      </c>
      <c r="K94" s="121">
        <v>0.50000000000000178</v>
      </c>
      <c r="L94" s="61"/>
      <c r="M94" s="294">
        <v>90</v>
      </c>
      <c r="N94" s="121">
        <v>2.5854928703562781</v>
      </c>
      <c r="O94" s="61"/>
      <c r="P94" s="61"/>
      <c r="Q94" s="61"/>
      <c r="R94" s="61"/>
      <c r="S94" s="61"/>
      <c r="T94" s="61"/>
      <c r="U94" s="61"/>
      <c r="V94" s="61"/>
      <c r="W94" s="61"/>
      <c r="X94" s="61"/>
      <c r="Y94" s="61"/>
      <c r="Z94" s="61"/>
      <c r="AA94" s="61"/>
      <c r="AB94" s="61"/>
      <c r="AC94" s="61"/>
      <c r="AD94" s="61"/>
      <c r="AE94" s="61"/>
      <c r="AF94" s="61"/>
      <c r="AG94" s="61"/>
      <c r="AH94" s="61"/>
      <c r="AI94" s="61"/>
      <c r="AJ94" s="61"/>
      <c r="AK94" s="61"/>
      <c r="AL94" s="61"/>
      <c r="AM94" s="61"/>
      <c r="AN94" s="61"/>
      <c r="AO94" s="61"/>
      <c r="AP94" s="61"/>
      <c r="AQ94" s="61"/>
      <c r="AR94" s="61"/>
      <c r="AS94" s="61"/>
      <c r="AT94" s="61"/>
      <c r="AU94" s="61"/>
      <c r="AV94" s="61"/>
      <c r="AW94" s="61"/>
      <c r="AX94" s="61"/>
      <c r="AY94" s="61"/>
      <c r="AZ94" s="61"/>
      <c r="BA94" s="61"/>
      <c r="BB94" s="61"/>
      <c r="BC94" s="61"/>
      <c r="BD94" s="61"/>
      <c r="BE94" s="61"/>
      <c r="BF94" s="61"/>
      <c r="BG94" s="61"/>
      <c r="BH94" s="61"/>
      <c r="BI94" s="61"/>
      <c r="BJ94" s="61"/>
      <c r="BK94" s="61"/>
      <c r="BL94" s="61"/>
      <c r="BM94" s="61"/>
      <c r="BN94" s="61"/>
      <c r="BO94" s="61"/>
      <c r="BP94" s="61"/>
      <c r="BQ94" s="61"/>
      <c r="BR94" s="61"/>
      <c r="BS94" s="61"/>
      <c r="BT94" s="61"/>
      <c r="BU94" s="61"/>
      <c r="BV94" s="61"/>
      <c r="BW94" s="61"/>
      <c r="BX94" s="61"/>
      <c r="BY94" s="61"/>
      <c r="BZ94" s="61"/>
      <c r="CA94" s="61"/>
      <c r="CB94" s="61"/>
      <c r="CC94" s="61"/>
      <c r="CD94" s="61"/>
      <c r="CE94" s="61"/>
      <c r="CF94" s="61"/>
      <c r="CG94" s="61"/>
      <c r="CH94" s="61"/>
      <c r="CI94" s="61"/>
      <c r="CJ94" s="61"/>
      <c r="CK94" s="61"/>
      <c r="CL94" s="61"/>
      <c r="CM94" s="61"/>
      <c r="CN94" s="61"/>
      <c r="CO94" s="61"/>
      <c r="CP94" s="61"/>
      <c r="CQ94" s="61"/>
      <c r="CR94" s="61"/>
      <c r="CS94" s="61"/>
      <c r="CT94" s="61"/>
      <c r="CU94" s="61"/>
      <c r="CV94" s="61"/>
      <c r="CW94" s="61"/>
      <c r="CX94" s="61"/>
      <c r="CY94" s="66"/>
      <c r="CZ94" s="66"/>
      <c r="DA94" s="66"/>
      <c r="DB94" s="66"/>
      <c r="DC94" s="66"/>
      <c r="DD94" s="66"/>
      <c r="DE94" s="66"/>
      <c r="DF94" s="66"/>
      <c r="DG94" s="66"/>
      <c r="DH94" s="66"/>
      <c r="DI94" s="66"/>
      <c r="DJ94" s="66"/>
    </row>
    <row r="95" spans="2:114" ht="15.75" x14ac:dyDescent="0.25">
      <c r="B95" s="61"/>
      <c r="C95" s="61"/>
      <c r="D95" s="207">
        <v>90</v>
      </c>
      <c r="E95" s="125">
        <v>2.35</v>
      </c>
      <c r="F95" s="61"/>
      <c r="G95" s="61"/>
      <c r="H95" s="61"/>
      <c r="I95" s="61"/>
      <c r="J95" s="19">
        <v>91</v>
      </c>
      <c r="K95" s="121">
        <v>0.49444444444444624</v>
      </c>
      <c r="L95" s="61"/>
      <c r="M95" s="294">
        <v>91</v>
      </c>
      <c r="N95" s="121">
        <v>2.6161740157697668</v>
      </c>
      <c r="O95" s="61"/>
      <c r="P95" s="61"/>
      <c r="Q95" s="61"/>
      <c r="R95" s="61">
        <v>1.0317507540605562</v>
      </c>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61"/>
      <c r="BI95" s="61"/>
      <c r="BJ95" s="61"/>
      <c r="BK95" s="61"/>
      <c r="BL95" s="61"/>
      <c r="BM95" s="61"/>
      <c r="BN95" s="61"/>
      <c r="BO95" s="61"/>
      <c r="BP95" s="61"/>
      <c r="BQ95" s="61"/>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c r="CV95" s="61"/>
      <c r="CW95" s="61"/>
      <c r="CX95" s="61"/>
      <c r="CY95" s="66"/>
      <c r="CZ95" s="66"/>
      <c r="DA95" s="66"/>
      <c r="DB95" s="66"/>
      <c r="DC95" s="66"/>
      <c r="DD95" s="66"/>
      <c r="DE95" s="66"/>
      <c r="DF95" s="66"/>
      <c r="DG95" s="66"/>
      <c r="DH95" s="66"/>
      <c r="DI95" s="66"/>
      <c r="DJ95" s="66"/>
    </row>
    <row r="96" spans="2:114" ht="15.75" x14ac:dyDescent="0.25">
      <c r="B96" s="61"/>
      <c r="C96" s="61"/>
      <c r="D96" s="207">
        <v>91</v>
      </c>
      <c r="E96" s="125">
        <v>2.3730000000000002</v>
      </c>
      <c r="F96" s="61"/>
      <c r="G96" s="61"/>
      <c r="H96" s="61"/>
      <c r="I96" s="61"/>
      <c r="J96" s="19">
        <v>92</v>
      </c>
      <c r="K96" s="121">
        <v>0.4888888888888907</v>
      </c>
      <c r="L96" s="61"/>
      <c r="M96" s="294">
        <v>92</v>
      </c>
      <c r="N96" s="121">
        <v>2.6468551611832556</v>
      </c>
      <c r="O96" s="61"/>
      <c r="P96" s="61"/>
      <c r="Q96" s="61"/>
      <c r="R96" s="61">
        <v>0.92294819756907309</v>
      </c>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c r="AZ96" s="61"/>
      <c r="BA96" s="61"/>
      <c r="BB96" s="61"/>
      <c r="BC96" s="61"/>
      <c r="BD96" s="61"/>
      <c r="BE96" s="61"/>
      <c r="BF96" s="61"/>
      <c r="BG96" s="61"/>
      <c r="BH96" s="61"/>
      <c r="BI96" s="61"/>
      <c r="BJ96" s="61"/>
      <c r="BK96" s="61"/>
      <c r="BL96" s="61"/>
      <c r="BM96" s="61"/>
      <c r="BN96" s="61"/>
      <c r="BO96" s="61"/>
      <c r="BP96" s="61"/>
      <c r="BQ96" s="61"/>
      <c r="BR96" s="61"/>
      <c r="BS96" s="61"/>
      <c r="BT96" s="61"/>
      <c r="BU96" s="61"/>
      <c r="BV96" s="61"/>
      <c r="BW96" s="61"/>
      <c r="BX96" s="61"/>
      <c r="BY96" s="61"/>
      <c r="BZ96" s="61"/>
      <c r="CA96" s="61"/>
      <c r="CB96" s="61"/>
      <c r="CC96" s="61"/>
      <c r="CD96" s="61"/>
      <c r="CE96" s="61"/>
      <c r="CF96" s="61"/>
      <c r="CG96" s="61"/>
      <c r="CH96" s="61"/>
      <c r="CI96" s="61"/>
      <c r="CJ96" s="61"/>
      <c r="CK96" s="61"/>
      <c r="CL96" s="61"/>
      <c r="CM96" s="61"/>
      <c r="CN96" s="61"/>
      <c r="CO96" s="61"/>
      <c r="CP96" s="61"/>
      <c r="CQ96" s="61"/>
      <c r="CR96" s="61"/>
      <c r="CS96" s="61"/>
      <c r="CT96" s="61"/>
      <c r="CU96" s="61"/>
      <c r="CV96" s="61"/>
      <c r="CW96" s="61"/>
      <c r="CX96" s="61"/>
      <c r="CY96" s="66"/>
      <c r="CZ96" s="66"/>
      <c r="DA96" s="66"/>
      <c r="DB96" s="66"/>
      <c r="DC96" s="66"/>
      <c r="DD96" s="66"/>
      <c r="DE96" s="66"/>
      <c r="DF96" s="66"/>
      <c r="DG96" s="66"/>
      <c r="DH96" s="66"/>
      <c r="DI96" s="66"/>
      <c r="DJ96" s="66"/>
    </row>
    <row r="97" spans="2:114" ht="15.75" x14ac:dyDescent="0.25">
      <c r="B97" s="61"/>
      <c r="C97" s="61"/>
      <c r="D97" s="207">
        <v>92</v>
      </c>
      <c r="E97" s="125">
        <v>2.3959999999999999</v>
      </c>
      <c r="F97" s="61"/>
      <c r="G97" s="61"/>
      <c r="H97" s="61"/>
      <c r="I97" s="61"/>
      <c r="J97" s="19">
        <v>93</v>
      </c>
      <c r="K97" s="121">
        <v>0.48333333333333517</v>
      </c>
      <c r="L97" s="61"/>
      <c r="M97" s="294">
        <v>93</v>
      </c>
      <c r="N97" s="121">
        <v>2.6775363065967444</v>
      </c>
      <c r="O97" s="61"/>
      <c r="P97" s="61"/>
      <c r="Q97" s="61"/>
      <c r="R97" s="61">
        <v>100</v>
      </c>
      <c r="S97" s="61">
        <v>92.294819756907316</v>
      </c>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c r="AZ97" s="61"/>
      <c r="BA97" s="61"/>
      <c r="BB97" s="61"/>
      <c r="BC97" s="61"/>
      <c r="BD97" s="61"/>
      <c r="BE97" s="61"/>
      <c r="BF97" s="61"/>
      <c r="BG97" s="61"/>
      <c r="BH97" s="61"/>
      <c r="BI97" s="61"/>
      <c r="BJ97" s="61"/>
      <c r="BK97" s="61"/>
      <c r="BL97" s="61"/>
      <c r="BM97" s="61"/>
      <c r="BN97" s="61"/>
      <c r="BO97" s="61"/>
      <c r="BP97" s="61"/>
      <c r="BQ97" s="61"/>
      <c r="BR97" s="61"/>
      <c r="BS97" s="61"/>
      <c r="BT97" s="61"/>
      <c r="BU97" s="61"/>
      <c r="BV97" s="61"/>
      <c r="BW97" s="61"/>
      <c r="BX97" s="61"/>
      <c r="BY97" s="61"/>
      <c r="BZ97" s="61"/>
      <c r="CA97" s="61"/>
      <c r="CB97" s="61"/>
      <c r="CC97" s="61"/>
      <c r="CD97" s="61"/>
      <c r="CE97" s="61"/>
      <c r="CF97" s="61"/>
      <c r="CG97" s="61"/>
      <c r="CH97" s="61"/>
      <c r="CI97" s="61"/>
      <c r="CJ97" s="61"/>
      <c r="CK97" s="61"/>
      <c r="CL97" s="61"/>
      <c r="CM97" s="61"/>
      <c r="CN97" s="61"/>
      <c r="CO97" s="61"/>
      <c r="CP97" s="61"/>
      <c r="CQ97" s="61"/>
      <c r="CR97" s="61"/>
      <c r="CS97" s="61"/>
      <c r="CT97" s="61"/>
      <c r="CU97" s="61"/>
      <c r="CV97" s="61"/>
      <c r="CW97" s="61"/>
      <c r="CX97" s="61"/>
      <c r="CY97" s="66"/>
      <c r="CZ97" s="66"/>
      <c r="DA97" s="66"/>
      <c r="DB97" s="66"/>
      <c r="DC97" s="66"/>
      <c r="DD97" s="66"/>
      <c r="DE97" s="66"/>
      <c r="DF97" s="66"/>
      <c r="DG97" s="66"/>
      <c r="DH97" s="66"/>
      <c r="DI97" s="66"/>
      <c r="DJ97" s="66"/>
    </row>
    <row r="98" spans="2:114" ht="15.75" x14ac:dyDescent="0.25">
      <c r="B98" s="61"/>
      <c r="C98" s="61"/>
      <c r="D98" s="207">
        <v>93</v>
      </c>
      <c r="E98" s="125">
        <v>2.419</v>
      </c>
      <c r="F98" s="61"/>
      <c r="G98" s="61"/>
      <c r="H98" s="61"/>
      <c r="I98" s="61"/>
      <c r="J98" s="19">
        <v>94</v>
      </c>
      <c r="K98" s="121">
        <v>0.47777777777777963</v>
      </c>
      <c r="L98" s="61"/>
      <c r="M98" s="294">
        <v>94</v>
      </c>
      <c r="N98" s="121">
        <v>2.7082174520102336</v>
      </c>
      <c r="O98" s="61"/>
      <c r="P98" s="61"/>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c r="AZ98" s="61"/>
      <c r="BA98" s="61"/>
      <c r="BB98" s="61"/>
      <c r="BC98" s="61"/>
      <c r="BD98" s="61"/>
      <c r="BE98" s="61"/>
      <c r="BF98" s="61"/>
      <c r="BG98" s="61"/>
      <c r="BH98" s="61"/>
      <c r="BI98" s="61"/>
      <c r="BJ98" s="61"/>
      <c r="BK98" s="61"/>
      <c r="BL98" s="61"/>
      <c r="BM98" s="61"/>
      <c r="BN98" s="61"/>
      <c r="BO98" s="61"/>
      <c r="BP98" s="61"/>
      <c r="BQ98" s="61"/>
      <c r="BR98" s="61"/>
      <c r="BS98" s="61"/>
      <c r="BT98" s="61"/>
      <c r="BU98" s="61"/>
      <c r="BV98" s="61"/>
      <c r="BW98" s="61"/>
      <c r="BX98" s="61"/>
      <c r="BY98" s="61"/>
      <c r="BZ98" s="61"/>
      <c r="CA98" s="61"/>
      <c r="CB98" s="61"/>
      <c r="CC98" s="61"/>
      <c r="CD98" s="61"/>
      <c r="CE98" s="61"/>
      <c r="CF98" s="61"/>
      <c r="CG98" s="61"/>
      <c r="CH98" s="61"/>
      <c r="CI98" s="61"/>
      <c r="CJ98" s="61"/>
      <c r="CK98" s="61"/>
      <c r="CL98" s="61"/>
      <c r="CM98" s="61"/>
      <c r="CN98" s="61"/>
      <c r="CO98" s="61"/>
      <c r="CP98" s="61"/>
      <c r="CQ98" s="61"/>
      <c r="CR98" s="61"/>
      <c r="CS98" s="61"/>
      <c r="CT98" s="61"/>
      <c r="CU98" s="61"/>
      <c r="CV98" s="61"/>
      <c r="CW98" s="61"/>
      <c r="CX98" s="61"/>
      <c r="CY98" s="66"/>
      <c r="CZ98" s="66"/>
      <c r="DA98" s="66"/>
      <c r="DB98" s="66"/>
      <c r="DC98" s="66"/>
      <c r="DD98" s="66"/>
      <c r="DE98" s="66"/>
      <c r="DF98" s="66"/>
      <c r="DG98" s="66"/>
      <c r="DH98" s="66"/>
      <c r="DI98" s="66"/>
      <c r="DJ98" s="66"/>
    </row>
    <row r="99" spans="2:114" ht="15.75" x14ac:dyDescent="0.25">
      <c r="B99" s="61"/>
      <c r="C99" s="61"/>
      <c r="D99" s="207">
        <v>94</v>
      </c>
      <c r="E99" s="125">
        <v>2.4420000000000002</v>
      </c>
      <c r="F99" s="61"/>
      <c r="G99" s="61"/>
      <c r="H99" s="61"/>
      <c r="I99" s="61"/>
      <c r="J99" s="19">
        <v>95</v>
      </c>
      <c r="K99" s="121">
        <v>0.4722222222222241</v>
      </c>
      <c r="L99" s="61"/>
      <c r="M99" s="294">
        <v>95</v>
      </c>
      <c r="N99" s="121">
        <v>2.7388985974237223</v>
      </c>
      <c r="O99" s="61"/>
      <c r="P99" s="61"/>
      <c r="Q99" s="61"/>
      <c r="R99" s="61">
        <v>15933.453457232106</v>
      </c>
      <c r="S99" s="61">
        <v>15933.453457232108</v>
      </c>
      <c r="T99" s="61"/>
      <c r="U99" s="61"/>
      <c r="V99" s="61"/>
      <c r="W99" s="61"/>
      <c r="X99" s="61"/>
      <c r="Y99" s="61"/>
      <c r="Z99" s="61"/>
      <c r="AA99" s="61"/>
      <c r="AB99" s="61"/>
      <c r="AC99" s="61"/>
      <c r="AD99" s="61"/>
      <c r="AE99" s="61"/>
      <c r="AF99" s="61"/>
      <c r="AG99" s="61"/>
      <c r="AH99" s="61"/>
      <c r="AI99" s="61"/>
      <c r="AJ99" s="61"/>
      <c r="AK99" s="61"/>
      <c r="AL99" s="61"/>
      <c r="AM99" s="61"/>
      <c r="AN99" s="61"/>
      <c r="AO99" s="61"/>
      <c r="AP99" s="61"/>
      <c r="AQ99" s="61"/>
      <c r="AR99" s="61"/>
      <c r="AS99" s="61"/>
      <c r="AT99" s="61"/>
      <c r="AU99" s="61"/>
      <c r="AV99" s="61"/>
      <c r="AW99" s="61"/>
      <c r="AX99" s="61"/>
      <c r="AY99" s="61"/>
      <c r="AZ99" s="61"/>
      <c r="BA99" s="61"/>
      <c r="BB99" s="61"/>
      <c r="BC99" s="61"/>
      <c r="BD99" s="61"/>
      <c r="BE99" s="61"/>
      <c r="BF99" s="61"/>
      <c r="BG99" s="61"/>
      <c r="BH99" s="61"/>
      <c r="BI99" s="61"/>
      <c r="BJ99" s="61"/>
      <c r="BK99" s="61"/>
      <c r="BL99" s="61"/>
      <c r="BM99" s="61"/>
      <c r="BN99" s="61"/>
      <c r="BO99" s="61"/>
      <c r="BP99" s="61"/>
      <c r="BQ99" s="61"/>
      <c r="BR99" s="61"/>
      <c r="BS99" s="61"/>
      <c r="BT99" s="61"/>
      <c r="BU99" s="61"/>
      <c r="BV99" s="61"/>
      <c r="BW99" s="61"/>
      <c r="BX99" s="61"/>
      <c r="BY99" s="61"/>
      <c r="BZ99" s="61"/>
      <c r="CA99" s="61"/>
      <c r="CB99" s="61"/>
      <c r="CC99" s="61"/>
      <c r="CD99" s="61"/>
      <c r="CE99" s="61"/>
      <c r="CF99" s="61"/>
      <c r="CG99" s="61"/>
      <c r="CH99" s="61"/>
      <c r="CI99" s="61"/>
      <c r="CJ99" s="61"/>
      <c r="CK99" s="61"/>
      <c r="CL99" s="61"/>
      <c r="CM99" s="61"/>
      <c r="CN99" s="61"/>
      <c r="CO99" s="61"/>
      <c r="CP99" s="61"/>
      <c r="CQ99" s="61"/>
      <c r="CR99" s="61"/>
      <c r="CS99" s="61"/>
      <c r="CT99" s="61"/>
      <c r="CU99" s="61"/>
      <c r="CV99" s="61"/>
      <c r="CW99" s="61"/>
      <c r="CX99" s="61"/>
      <c r="CY99" s="66"/>
      <c r="CZ99" s="66"/>
      <c r="DA99" s="66"/>
      <c r="DB99" s="66"/>
      <c r="DC99" s="66"/>
      <c r="DD99" s="66"/>
      <c r="DE99" s="66"/>
      <c r="DF99" s="66"/>
      <c r="DG99" s="66"/>
      <c r="DH99" s="66"/>
      <c r="DI99" s="66"/>
      <c r="DJ99" s="66"/>
    </row>
    <row r="100" spans="2:114" ht="15.75" x14ac:dyDescent="0.25">
      <c r="B100" s="61"/>
      <c r="C100" s="61"/>
      <c r="D100" s="207">
        <v>95</v>
      </c>
      <c r="E100" s="125">
        <v>2.4649999999999999</v>
      </c>
      <c r="F100" s="61"/>
      <c r="G100" s="61"/>
      <c r="H100" s="61"/>
      <c r="I100" s="61"/>
      <c r="J100" s="19">
        <v>96</v>
      </c>
      <c r="K100" s="121">
        <v>0.46666666666666856</v>
      </c>
      <c r="L100" s="61"/>
      <c r="M100" s="294">
        <v>96</v>
      </c>
      <c r="N100" s="121">
        <v>2.7695797428372115</v>
      </c>
      <c r="O100" s="61"/>
      <c r="P100" s="61"/>
      <c r="Q100" s="61"/>
      <c r="R100" s="61"/>
      <c r="S100" s="61"/>
      <c r="T100" s="61"/>
      <c r="U100" s="61"/>
      <c r="V100" s="61"/>
      <c r="W100" s="61"/>
      <c r="X100" s="61"/>
      <c r="Y100" s="61"/>
      <c r="Z100" s="61"/>
      <c r="AA100" s="61"/>
      <c r="AB100" s="61"/>
      <c r="AC100" s="61"/>
      <c r="AD100" s="61"/>
      <c r="AE100" s="61"/>
      <c r="AF100" s="61"/>
      <c r="AG100" s="61"/>
      <c r="AH100" s="61"/>
      <c r="AI100" s="61"/>
      <c r="AJ100" s="61"/>
      <c r="AK100" s="61"/>
      <c r="AL100" s="61"/>
      <c r="AM100" s="61"/>
      <c r="AN100" s="61"/>
      <c r="AO100" s="61"/>
      <c r="AP100" s="61"/>
      <c r="AQ100" s="61"/>
      <c r="AR100" s="61"/>
      <c r="AS100" s="61"/>
      <c r="AT100" s="61"/>
      <c r="AU100" s="61"/>
      <c r="AV100" s="61"/>
      <c r="AW100" s="61"/>
      <c r="AX100" s="61"/>
      <c r="AY100" s="61"/>
      <c r="AZ100" s="61"/>
      <c r="BA100" s="61"/>
      <c r="BB100" s="61"/>
      <c r="BC100" s="61"/>
      <c r="BD100" s="61"/>
      <c r="BE100" s="61"/>
      <c r="BF100" s="61"/>
      <c r="BG100" s="61"/>
      <c r="BH100" s="61"/>
      <c r="BI100" s="61"/>
      <c r="BJ100" s="61"/>
      <c r="BK100" s="61"/>
      <c r="BL100" s="61"/>
      <c r="BM100" s="61"/>
      <c r="BN100" s="61"/>
      <c r="BO100" s="61"/>
      <c r="BP100" s="61"/>
      <c r="BQ100" s="61"/>
      <c r="BR100" s="61"/>
      <c r="BS100" s="61"/>
      <c r="BT100" s="61"/>
      <c r="BU100" s="61"/>
      <c r="BV100" s="61"/>
      <c r="BW100" s="61"/>
      <c r="BX100" s="61"/>
      <c r="BY100" s="61"/>
      <c r="BZ100" s="61"/>
      <c r="CA100" s="61"/>
      <c r="CB100" s="61"/>
      <c r="CC100" s="61"/>
      <c r="CD100" s="61"/>
      <c r="CE100" s="61"/>
      <c r="CF100" s="61"/>
      <c r="CG100" s="61"/>
      <c r="CH100" s="61"/>
      <c r="CI100" s="61"/>
      <c r="CJ100" s="61"/>
      <c r="CK100" s="61"/>
      <c r="CL100" s="61"/>
      <c r="CM100" s="61"/>
      <c r="CN100" s="61"/>
      <c r="CO100" s="61"/>
      <c r="CP100" s="61"/>
      <c r="CQ100" s="61"/>
      <c r="CR100" s="61"/>
      <c r="CS100" s="61"/>
      <c r="CT100" s="61"/>
      <c r="CU100" s="61"/>
      <c r="CV100" s="61"/>
      <c r="CW100" s="61"/>
      <c r="CX100" s="61"/>
      <c r="CY100" s="66"/>
      <c r="CZ100" s="66"/>
      <c r="DA100" s="66"/>
      <c r="DB100" s="66"/>
      <c r="DC100" s="66"/>
      <c r="DD100" s="66"/>
      <c r="DE100" s="66"/>
      <c r="DF100" s="66"/>
      <c r="DG100" s="66"/>
      <c r="DH100" s="66"/>
      <c r="DI100" s="66"/>
      <c r="DJ100" s="66"/>
    </row>
    <row r="101" spans="2:114" ht="15.75" x14ac:dyDescent="0.25">
      <c r="B101" s="61"/>
      <c r="C101" s="61"/>
      <c r="D101" s="207">
        <v>96</v>
      </c>
      <c r="E101" s="125">
        <v>2.488</v>
      </c>
      <c r="F101" s="61"/>
      <c r="G101" s="61"/>
      <c r="H101" s="61"/>
      <c r="I101" s="61"/>
      <c r="J101" s="19">
        <v>97</v>
      </c>
      <c r="K101" s="121">
        <v>0.46111111111111303</v>
      </c>
      <c r="L101" s="61"/>
      <c r="M101" s="294">
        <v>97</v>
      </c>
      <c r="N101" s="121">
        <v>2.8063493971086375</v>
      </c>
      <c r="O101" s="61"/>
      <c r="P101" s="61"/>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c r="AO101" s="61"/>
      <c r="AP101" s="61"/>
      <c r="AQ101" s="61"/>
      <c r="AR101" s="61"/>
      <c r="AS101" s="61"/>
      <c r="AT101" s="61"/>
      <c r="AU101" s="61"/>
      <c r="AV101" s="61"/>
      <c r="AW101" s="61"/>
      <c r="AX101" s="61"/>
      <c r="AY101" s="61"/>
      <c r="AZ101" s="61"/>
      <c r="BA101" s="61"/>
      <c r="BB101" s="61"/>
      <c r="BC101" s="61"/>
      <c r="BD101" s="61"/>
      <c r="BE101" s="61"/>
      <c r="BF101" s="61"/>
      <c r="BG101" s="61"/>
      <c r="BH101" s="61"/>
      <c r="BI101" s="61"/>
      <c r="BJ101" s="61"/>
      <c r="BK101" s="61"/>
      <c r="BL101" s="61"/>
      <c r="BM101" s="61"/>
      <c r="BN101" s="61"/>
      <c r="BO101" s="61"/>
      <c r="BP101" s="61"/>
      <c r="BQ101" s="61"/>
      <c r="BR101" s="61"/>
      <c r="BS101" s="61"/>
      <c r="BT101" s="61"/>
      <c r="BU101" s="61"/>
      <c r="BV101" s="61"/>
      <c r="BW101" s="61"/>
      <c r="BX101" s="61"/>
      <c r="BY101" s="61"/>
      <c r="BZ101" s="61"/>
      <c r="CA101" s="61"/>
      <c r="CB101" s="61"/>
      <c r="CC101" s="61"/>
      <c r="CD101" s="61"/>
      <c r="CE101" s="61"/>
      <c r="CF101" s="61"/>
      <c r="CG101" s="61"/>
      <c r="CH101" s="61"/>
      <c r="CI101" s="61"/>
      <c r="CJ101" s="61"/>
      <c r="CK101" s="61"/>
      <c r="CL101" s="61"/>
      <c r="CM101" s="61"/>
      <c r="CN101" s="61"/>
      <c r="CO101" s="61"/>
      <c r="CP101" s="61"/>
      <c r="CQ101" s="61"/>
      <c r="CR101" s="61"/>
      <c r="CS101" s="61"/>
      <c r="CT101" s="61"/>
      <c r="CU101" s="61"/>
      <c r="CV101" s="61"/>
      <c r="CW101" s="61"/>
      <c r="CX101" s="61"/>
      <c r="CY101" s="66"/>
      <c r="CZ101" s="66"/>
      <c r="DA101" s="66"/>
      <c r="DB101" s="66"/>
      <c r="DC101" s="66"/>
      <c r="DD101" s="66"/>
      <c r="DE101" s="66"/>
      <c r="DF101" s="66"/>
      <c r="DG101" s="66"/>
      <c r="DH101" s="66"/>
      <c r="DI101" s="66"/>
      <c r="DJ101" s="66"/>
    </row>
    <row r="102" spans="2:114" ht="15.75" x14ac:dyDescent="0.25">
      <c r="B102" s="61"/>
      <c r="C102" s="61"/>
      <c r="D102" s="207">
        <v>97</v>
      </c>
      <c r="E102" s="125">
        <v>2.5110000000000001</v>
      </c>
      <c r="F102" s="61"/>
      <c r="G102" s="61"/>
      <c r="H102" s="61"/>
      <c r="I102" s="61"/>
      <c r="J102" s="19">
        <v>98</v>
      </c>
      <c r="K102" s="121">
        <v>0.45555555555555749</v>
      </c>
      <c r="L102" s="61"/>
      <c r="M102" s="294">
        <v>98</v>
      </c>
      <c r="N102" s="121">
        <v>2.8431190513800635</v>
      </c>
      <c r="O102" s="61"/>
      <c r="P102" s="61"/>
      <c r="Q102" s="61"/>
      <c r="R102" s="61"/>
      <c r="S102" s="61"/>
      <c r="T102" s="61"/>
      <c r="U102" s="61"/>
      <c r="V102" s="61"/>
      <c r="W102" s="61"/>
      <c r="X102" s="61"/>
      <c r="Y102" s="61"/>
      <c r="Z102" s="61"/>
      <c r="AA102" s="61"/>
      <c r="AB102" s="61"/>
      <c r="AC102" s="61"/>
      <c r="AD102" s="61"/>
      <c r="AE102" s="61"/>
      <c r="AF102" s="61"/>
      <c r="AG102" s="61"/>
      <c r="AH102" s="61"/>
      <c r="AI102" s="61"/>
      <c r="AJ102" s="61"/>
      <c r="AK102" s="61"/>
      <c r="AL102" s="61"/>
      <c r="AM102" s="61"/>
      <c r="AN102" s="61"/>
      <c r="AO102" s="61"/>
      <c r="AP102" s="61"/>
      <c r="AQ102" s="61"/>
      <c r="AR102" s="61"/>
      <c r="AS102" s="61"/>
      <c r="AT102" s="61"/>
      <c r="AU102" s="61"/>
      <c r="AV102" s="61"/>
      <c r="AW102" s="61"/>
      <c r="AX102" s="61"/>
      <c r="AY102" s="61"/>
      <c r="AZ102" s="61"/>
      <c r="BA102" s="61"/>
      <c r="BB102" s="61"/>
      <c r="BC102" s="61"/>
      <c r="BD102" s="61"/>
      <c r="BE102" s="61"/>
      <c r="BF102" s="61"/>
      <c r="BG102" s="61"/>
      <c r="BH102" s="61"/>
      <c r="BI102" s="61"/>
      <c r="BJ102" s="61"/>
      <c r="BK102" s="61"/>
      <c r="BL102" s="61"/>
      <c r="BM102" s="61"/>
      <c r="BN102" s="61"/>
      <c r="BO102" s="61"/>
      <c r="BP102" s="61"/>
      <c r="BQ102" s="61"/>
      <c r="BR102" s="61"/>
      <c r="BS102" s="61"/>
      <c r="BT102" s="61"/>
      <c r="BU102" s="61"/>
      <c r="BV102" s="61"/>
      <c r="BW102" s="61"/>
      <c r="BX102" s="61"/>
      <c r="BY102" s="61"/>
      <c r="BZ102" s="61"/>
      <c r="CA102" s="61"/>
      <c r="CB102" s="61"/>
      <c r="CC102" s="61"/>
      <c r="CD102" s="61"/>
      <c r="CE102" s="61"/>
      <c r="CF102" s="61"/>
      <c r="CG102" s="61"/>
      <c r="CH102" s="61"/>
      <c r="CI102" s="61"/>
      <c r="CJ102" s="61"/>
      <c r="CK102" s="61"/>
      <c r="CL102" s="61"/>
      <c r="CM102" s="61"/>
      <c r="CN102" s="61"/>
      <c r="CO102" s="61"/>
      <c r="CP102" s="61"/>
      <c r="CQ102" s="61"/>
      <c r="CR102" s="61"/>
      <c r="CS102" s="61"/>
      <c r="CT102" s="61"/>
      <c r="CU102" s="61"/>
      <c r="CV102" s="61"/>
      <c r="CW102" s="61"/>
      <c r="CX102" s="61"/>
      <c r="CY102" s="66"/>
      <c r="CZ102" s="66"/>
      <c r="DA102" s="66"/>
      <c r="DB102" s="66"/>
      <c r="DC102" s="66"/>
      <c r="DD102" s="66"/>
      <c r="DE102" s="66"/>
      <c r="DF102" s="66"/>
      <c r="DG102" s="66"/>
      <c r="DH102" s="66"/>
      <c r="DI102" s="66"/>
      <c r="DJ102" s="66"/>
    </row>
    <row r="103" spans="2:114" ht="15.75" x14ac:dyDescent="0.25">
      <c r="B103" s="61"/>
      <c r="C103" s="61"/>
      <c r="D103" s="207">
        <v>98</v>
      </c>
      <c r="E103" s="125">
        <v>2.5339999999999998</v>
      </c>
      <c r="F103" s="61"/>
      <c r="G103" s="61"/>
      <c r="H103" s="61"/>
      <c r="I103" s="61"/>
      <c r="J103" s="19">
        <v>99</v>
      </c>
      <c r="K103" s="121">
        <v>0.45000000000000195</v>
      </c>
      <c r="L103" s="61"/>
      <c r="M103" s="294">
        <v>99</v>
      </c>
      <c r="N103" s="121">
        <v>2.8798887056514895</v>
      </c>
      <c r="O103" s="61"/>
      <c r="P103" s="61"/>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c r="AR103" s="61"/>
      <c r="AS103" s="61"/>
      <c r="AT103" s="61"/>
      <c r="AU103" s="61"/>
      <c r="AV103" s="61"/>
      <c r="AW103" s="61"/>
      <c r="AX103" s="61"/>
      <c r="AY103" s="61"/>
      <c r="AZ103" s="61"/>
      <c r="BA103" s="61"/>
      <c r="BB103" s="61"/>
      <c r="BC103" s="61"/>
      <c r="BD103" s="61"/>
      <c r="BE103" s="61"/>
      <c r="BF103" s="61"/>
      <c r="BG103" s="61"/>
      <c r="BH103" s="61"/>
      <c r="BI103" s="61"/>
      <c r="BJ103" s="61"/>
      <c r="BK103" s="61"/>
      <c r="BL103" s="61"/>
      <c r="BM103" s="61"/>
      <c r="BN103" s="61"/>
      <c r="BO103" s="61"/>
      <c r="BP103" s="61"/>
      <c r="BQ103" s="61"/>
      <c r="BR103" s="61"/>
      <c r="BS103" s="61"/>
      <c r="BT103" s="61"/>
      <c r="BU103" s="61"/>
      <c r="BV103" s="61"/>
      <c r="BW103" s="61"/>
      <c r="BX103" s="61"/>
      <c r="BY103" s="61"/>
      <c r="BZ103" s="61"/>
      <c r="CA103" s="61"/>
      <c r="CB103" s="61"/>
      <c r="CC103" s="61"/>
      <c r="CD103" s="61"/>
      <c r="CE103" s="61"/>
      <c r="CF103" s="61"/>
      <c r="CG103" s="61"/>
      <c r="CH103" s="61"/>
      <c r="CI103" s="61"/>
      <c r="CJ103" s="61"/>
      <c r="CK103" s="61"/>
      <c r="CL103" s="61"/>
      <c r="CM103" s="61"/>
      <c r="CN103" s="61"/>
      <c r="CO103" s="61"/>
      <c r="CP103" s="61"/>
      <c r="CQ103" s="61"/>
      <c r="CR103" s="61"/>
      <c r="CS103" s="61"/>
      <c r="CT103" s="61"/>
      <c r="CU103" s="61"/>
      <c r="CV103" s="61"/>
      <c r="CW103" s="61"/>
      <c r="CX103" s="61"/>
      <c r="CY103" s="66"/>
      <c r="CZ103" s="66"/>
      <c r="DA103" s="66"/>
      <c r="DB103" s="66"/>
      <c r="DC103" s="66"/>
      <c r="DD103" s="66"/>
      <c r="DE103" s="66"/>
      <c r="DF103" s="66"/>
      <c r="DG103" s="66"/>
      <c r="DH103" s="66"/>
      <c r="DI103" s="66"/>
      <c r="DJ103" s="66"/>
    </row>
    <row r="104" spans="2:114" ht="15.75" x14ac:dyDescent="0.25">
      <c r="B104" s="61"/>
      <c r="C104" s="61"/>
      <c r="D104" s="207">
        <v>99</v>
      </c>
      <c r="E104" s="125">
        <v>2.5569999999999999</v>
      </c>
      <c r="F104" s="61"/>
      <c r="G104" s="61"/>
      <c r="H104" s="61"/>
      <c r="I104" s="61"/>
      <c r="J104" s="19">
        <v>100</v>
      </c>
      <c r="K104" s="121">
        <v>0.44444444444444642</v>
      </c>
      <c r="L104" s="61"/>
      <c r="M104" s="294">
        <v>100</v>
      </c>
      <c r="N104" s="121">
        <v>2.9166583599229159</v>
      </c>
      <c r="O104" s="61"/>
      <c r="P104" s="61"/>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c r="AO104" s="61"/>
      <c r="AP104" s="61"/>
      <c r="AQ104" s="61"/>
      <c r="AR104" s="61"/>
      <c r="AS104" s="61"/>
      <c r="AT104" s="61"/>
      <c r="AU104" s="61"/>
      <c r="AV104" s="61"/>
      <c r="AW104" s="61"/>
      <c r="AX104" s="61"/>
      <c r="AY104" s="61"/>
      <c r="AZ104" s="61"/>
      <c r="BA104" s="61"/>
      <c r="BB104" s="61"/>
      <c r="BC104" s="61"/>
      <c r="BD104" s="61"/>
      <c r="BE104" s="61"/>
      <c r="BF104" s="61"/>
      <c r="BG104" s="61"/>
      <c r="BH104" s="61"/>
      <c r="BI104" s="61"/>
      <c r="BJ104" s="61"/>
      <c r="BK104" s="61"/>
      <c r="BL104" s="61"/>
      <c r="BM104" s="61"/>
      <c r="BN104" s="61"/>
      <c r="BO104" s="61"/>
      <c r="BP104" s="61"/>
      <c r="BQ104" s="61"/>
      <c r="BR104" s="61"/>
      <c r="BS104" s="61"/>
      <c r="BT104" s="61"/>
      <c r="BU104" s="61"/>
      <c r="BV104" s="61"/>
      <c r="BW104" s="61"/>
      <c r="BX104" s="61"/>
      <c r="BY104" s="61"/>
      <c r="BZ104" s="61"/>
      <c r="CA104" s="61"/>
      <c r="CB104" s="61"/>
      <c r="CC104" s="61"/>
      <c r="CD104" s="61"/>
      <c r="CE104" s="61"/>
      <c r="CF104" s="61"/>
      <c r="CG104" s="61"/>
      <c r="CH104" s="61"/>
      <c r="CI104" s="61"/>
      <c r="CJ104" s="61"/>
      <c r="CK104" s="61"/>
      <c r="CL104" s="61"/>
      <c r="CM104" s="61"/>
      <c r="CN104" s="61"/>
      <c r="CO104" s="61"/>
      <c r="CP104" s="61"/>
      <c r="CQ104" s="61"/>
      <c r="CR104" s="61"/>
      <c r="CS104" s="61"/>
      <c r="CT104" s="61"/>
      <c r="CU104" s="61"/>
      <c r="CV104" s="61"/>
      <c r="CW104" s="61"/>
      <c r="CX104" s="61"/>
      <c r="CY104" s="66"/>
      <c r="CZ104" s="66"/>
      <c r="DA104" s="66"/>
      <c r="DB104" s="66"/>
      <c r="DC104" s="66"/>
      <c r="DD104" s="66"/>
      <c r="DE104" s="66"/>
      <c r="DF104" s="66"/>
      <c r="DG104" s="66"/>
      <c r="DH104" s="66"/>
      <c r="DI104" s="66"/>
      <c r="DJ104" s="66"/>
    </row>
    <row r="105" spans="2:114" ht="15.75" x14ac:dyDescent="0.25">
      <c r="B105" s="61"/>
      <c r="C105" s="61"/>
      <c r="D105" s="207">
        <v>100</v>
      </c>
      <c r="E105" s="125">
        <v>2.58</v>
      </c>
      <c r="F105" s="61"/>
      <c r="G105" s="61"/>
      <c r="H105" s="61"/>
      <c r="I105" s="61"/>
      <c r="J105" s="19">
        <v>101</v>
      </c>
      <c r="K105" s="121">
        <v>0.43888888888889088</v>
      </c>
      <c r="L105" s="61"/>
      <c r="M105" s="294">
        <v>101</v>
      </c>
      <c r="N105" s="121">
        <v>2.9534280141943423</v>
      </c>
      <c r="O105" s="61"/>
      <c r="P105" s="61"/>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c r="AO105" s="61"/>
      <c r="AP105" s="61"/>
      <c r="AQ105" s="61"/>
      <c r="AR105" s="61"/>
      <c r="AS105" s="61"/>
      <c r="AT105" s="61"/>
      <c r="AU105" s="61"/>
      <c r="AV105" s="61"/>
      <c r="AW105" s="61"/>
      <c r="AX105" s="61"/>
      <c r="AY105" s="61"/>
      <c r="AZ105" s="61"/>
      <c r="BA105" s="61"/>
      <c r="BB105" s="61"/>
      <c r="BC105" s="61"/>
      <c r="BD105" s="61"/>
      <c r="BE105" s="61"/>
      <c r="BF105" s="61"/>
      <c r="BG105" s="61"/>
      <c r="BH105" s="61"/>
      <c r="BI105" s="61"/>
      <c r="BJ105" s="61"/>
      <c r="BK105" s="61"/>
      <c r="BL105" s="61"/>
      <c r="BM105" s="61"/>
      <c r="BN105" s="61"/>
      <c r="BO105" s="61"/>
      <c r="BP105" s="61"/>
      <c r="BQ105" s="61"/>
      <c r="BR105" s="61"/>
      <c r="BS105" s="61"/>
      <c r="BT105" s="61"/>
      <c r="BU105" s="61"/>
      <c r="BV105" s="61"/>
      <c r="BW105" s="61"/>
      <c r="BX105" s="61"/>
      <c r="BY105" s="61"/>
      <c r="BZ105" s="61"/>
      <c r="CA105" s="61"/>
      <c r="CB105" s="61"/>
      <c r="CC105" s="61"/>
      <c r="CD105" s="61"/>
      <c r="CE105" s="61"/>
      <c r="CF105" s="61"/>
      <c r="CG105" s="61"/>
      <c r="CH105" s="61"/>
      <c r="CI105" s="61"/>
      <c r="CJ105" s="61"/>
      <c r="CK105" s="61"/>
      <c r="CL105" s="61"/>
      <c r="CM105" s="61"/>
      <c r="CN105" s="61"/>
      <c r="CO105" s="61"/>
      <c r="CP105" s="61"/>
      <c r="CQ105" s="61"/>
      <c r="CR105" s="61"/>
      <c r="CS105" s="61"/>
      <c r="CT105" s="61"/>
      <c r="CU105" s="61"/>
      <c r="CV105" s="61"/>
      <c r="CW105" s="61"/>
      <c r="CX105" s="61"/>
      <c r="CY105" s="66"/>
      <c r="CZ105" s="66"/>
      <c r="DA105" s="66"/>
      <c r="DB105" s="66"/>
      <c r="DC105" s="66"/>
      <c r="DD105" s="66"/>
      <c r="DE105" s="66"/>
      <c r="DF105" s="66"/>
      <c r="DG105" s="66"/>
      <c r="DH105" s="66"/>
      <c r="DI105" s="66"/>
      <c r="DJ105" s="66"/>
    </row>
    <row r="106" spans="2:114" ht="15.75" x14ac:dyDescent="0.25">
      <c r="B106" s="61"/>
      <c r="C106" s="61"/>
      <c r="D106" s="207">
        <v>101</v>
      </c>
      <c r="E106" s="125">
        <v>2.6030000000000002</v>
      </c>
      <c r="F106" s="61"/>
      <c r="G106" s="61"/>
      <c r="H106" s="61"/>
      <c r="I106" s="61"/>
      <c r="J106" s="19">
        <v>102</v>
      </c>
      <c r="K106" s="121">
        <v>0.43333333333333535</v>
      </c>
      <c r="L106" s="61"/>
      <c r="M106" s="294">
        <v>102</v>
      </c>
      <c r="N106" s="121">
        <v>2.9901976684657683</v>
      </c>
      <c r="O106" s="61"/>
      <c r="P106" s="61"/>
      <c r="Q106" s="61"/>
      <c r="R106" s="61"/>
      <c r="S106" s="61"/>
      <c r="T106" s="61"/>
      <c r="U106" s="61"/>
      <c r="V106" s="61"/>
      <c r="W106" s="61"/>
      <c r="X106" s="61"/>
      <c r="Y106" s="61"/>
      <c r="Z106" s="61"/>
      <c r="AA106" s="61"/>
      <c r="AB106" s="61"/>
      <c r="AC106" s="61"/>
      <c r="AD106" s="61"/>
      <c r="AE106" s="61"/>
      <c r="AF106" s="61"/>
      <c r="AG106" s="61"/>
      <c r="AH106" s="61"/>
      <c r="AI106" s="61"/>
      <c r="AJ106" s="61"/>
      <c r="AK106" s="61"/>
      <c r="AL106" s="61"/>
      <c r="AM106" s="61"/>
      <c r="AN106" s="61"/>
      <c r="AO106" s="61"/>
      <c r="AP106" s="61"/>
      <c r="AQ106" s="61"/>
      <c r="AR106" s="61"/>
      <c r="AS106" s="61"/>
      <c r="AT106" s="61"/>
      <c r="AU106" s="61"/>
      <c r="AV106" s="61"/>
      <c r="AW106" s="61"/>
      <c r="AX106" s="61"/>
      <c r="AY106" s="61"/>
      <c r="AZ106" s="61"/>
      <c r="BA106" s="61"/>
      <c r="BB106" s="61"/>
      <c r="BC106" s="61"/>
      <c r="BD106" s="61"/>
      <c r="BE106" s="61"/>
      <c r="BF106" s="61"/>
      <c r="BG106" s="61"/>
      <c r="BH106" s="61"/>
      <c r="BI106" s="61"/>
      <c r="BJ106" s="61"/>
      <c r="BK106" s="61"/>
      <c r="BL106" s="61"/>
      <c r="BM106" s="61"/>
      <c r="BN106" s="61"/>
      <c r="BO106" s="61"/>
      <c r="BP106" s="61"/>
      <c r="BQ106" s="61"/>
      <c r="BR106" s="61"/>
      <c r="BS106" s="61"/>
      <c r="BT106" s="61"/>
      <c r="BU106" s="61"/>
      <c r="BV106" s="61"/>
      <c r="BW106" s="61"/>
      <c r="BX106" s="61"/>
      <c r="BY106" s="61"/>
      <c r="BZ106" s="61"/>
      <c r="CA106" s="61"/>
      <c r="CB106" s="61"/>
      <c r="CC106" s="61"/>
      <c r="CD106" s="61"/>
      <c r="CE106" s="61"/>
      <c r="CF106" s="61"/>
      <c r="CG106" s="61"/>
      <c r="CH106" s="61"/>
      <c r="CI106" s="61"/>
      <c r="CJ106" s="61"/>
      <c r="CK106" s="61"/>
      <c r="CL106" s="61"/>
      <c r="CM106" s="61"/>
      <c r="CN106" s="61"/>
      <c r="CO106" s="61"/>
      <c r="CP106" s="61"/>
      <c r="CQ106" s="61"/>
      <c r="CR106" s="61"/>
      <c r="CS106" s="61"/>
      <c r="CT106" s="61"/>
      <c r="CU106" s="61"/>
      <c r="CV106" s="61"/>
      <c r="CW106" s="61"/>
      <c r="CX106" s="61"/>
      <c r="CY106" s="66"/>
      <c r="CZ106" s="66"/>
      <c r="DA106" s="66"/>
      <c r="DB106" s="66"/>
      <c r="DC106" s="66"/>
      <c r="DD106" s="66"/>
      <c r="DE106" s="66"/>
      <c r="DF106" s="66"/>
      <c r="DG106" s="66"/>
      <c r="DH106" s="66"/>
      <c r="DI106" s="66"/>
      <c r="DJ106" s="66"/>
    </row>
    <row r="107" spans="2:114" ht="15.75" x14ac:dyDescent="0.25">
      <c r="B107" s="61"/>
      <c r="C107" s="61"/>
      <c r="D107" s="207">
        <v>102</v>
      </c>
      <c r="E107" s="125">
        <v>2.6259999999999999</v>
      </c>
      <c r="F107" s="61"/>
      <c r="G107" s="61"/>
      <c r="H107" s="61"/>
      <c r="I107" s="61"/>
      <c r="J107" s="19">
        <v>103</v>
      </c>
      <c r="K107" s="121">
        <v>0.42777777777777981</v>
      </c>
      <c r="L107" s="61"/>
      <c r="M107" s="294">
        <v>103</v>
      </c>
      <c r="N107" s="121">
        <v>3.0269673227371943</v>
      </c>
      <c r="O107" s="61"/>
      <c r="P107" s="61"/>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c r="AO107" s="61"/>
      <c r="AP107" s="61"/>
      <c r="AQ107" s="61"/>
      <c r="AR107" s="61"/>
      <c r="AS107" s="61"/>
      <c r="AT107" s="61"/>
      <c r="AU107" s="61"/>
      <c r="AV107" s="61"/>
      <c r="AW107" s="61"/>
      <c r="AX107" s="61"/>
      <c r="AY107" s="61"/>
      <c r="AZ107" s="61"/>
      <c r="BA107" s="61"/>
      <c r="BB107" s="61"/>
      <c r="BC107" s="61"/>
      <c r="BD107" s="61"/>
      <c r="BE107" s="61"/>
      <c r="BF107" s="61"/>
      <c r="BG107" s="61"/>
      <c r="BH107" s="61"/>
      <c r="BI107" s="61"/>
      <c r="BJ107" s="61"/>
      <c r="BK107" s="61"/>
      <c r="BL107" s="61"/>
      <c r="BM107" s="61"/>
      <c r="BN107" s="61"/>
      <c r="BO107" s="61"/>
      <c r="BP107" s="61"/>
      <c r="BQ107" s="61"/>
      <c r="BR107" s="61"/>
      <c r="BS107" s="61"/>
      <c r="BT107" s="61"/>
      <c r="BU107" s="61"/>
      <c r="BV107" s="61"/>
      <c r="BW107" s="61"/>
      <c r="BX107" s="61"/>
      <c r="BY107" s="61"/>
      <c r="BZ107" s="61"/>
      <c r="CA107" s="61"/>
      <c r="CB107" s="61"/>
      <c r="CC107" s="61"/>
      <c r="CD107" s="61"/>
      <c r="CE107" s="61"/>
      <c r="CF107" s="61"/>
      <c r="CG107" s="61"/>
      <c r="CH107" s="61"/>
      <c r="CI107" s="61"/>
      <c r="CJ107" s="61"/>
      <c r="CK107" s="61"/>
      <c r="CL107" s="61"/>
      <c r="CM107" s="61"/>
      <c r="CN107" s="61"/>
      <c r="CO107" s="61"/>
      <c r="CP107" s="61"/>
      <c r="CQ107" s="61"/>
      <c r="CR107" s="61"/>
      <c r="CS107" s="61"/>
      <c r="CT107" s="61"/>
      <c r="CU107" s="61"/>
      <c r="CV107" s="61"/>
      <c r="CW107" s="61"/>
      <c r="CX107" s="61"/>
      <c r="CY107" s="66"/>
      <c r="CZ107" s="66"/>
      <c r="DA107" s="66"/>
      <c r="DB107" s="66"/>
      <c r="DC107" s="66"/>
      <c r="DD107" s="66"/>
      <c r="DE107" s="66"/>
      <c r="DF107" s="66"/>
      <c r="DG107" s="66"/>
      <c r="DH107" s="66"/>
      <c r="DI107" s="66"/>
      <c r="DJ107" s="66"/>
    </row>
    <row r="108" spans="2:114" ht="15.75" x14ac:dyDescent="0.25">
      <c r="B108" s="61"/>
      <c r="C108" s="61"/>
      <c r="D108" s="207">
        <v>103</v>
      </c>
      <c r="E108" s="125">
        <v>2.649</v>
      </c>
      <c r="F108" s="61"/>
      <c r="G108" s="61"/>
      <c r="H108" s="61"/>
      <c r="I108" s="61"/>
      <c r="J108" s="19">
        <v>104</v>
      </c>
      <c r="K108" s="121">
        <v>0.42222222222222427</v>
      </c>
      <c r="L108" s="61"/>
      <c r="M108" s="294">
        <v>104</v>
      </c>
      <c r="N108" s="121">
        <v>3.0637369770086202</v>
      </c>
      <c r="O108" s="61"/>
      <c r="P108" s="61"/>
      <c r="Q108" s="61"/>
      <c r="R108" s="61"/>
      <c r="S108" s="61"/>
      <c r="T108" s="61"/>
      <c r="U108" s="61"/>
      <c r="V108" s="61"/>
      <c r="W108" s="61"/>
      <c r="X108" s="61"/>
      <c r="Y108" s="61"/>
      <c r="Z108" s="61"/>
      <c r="AA108" s="61"/>
      <c r="AB108" s="61"/>
      <c r="AC108" s="61"/>
      <c r="AD108" s="61"/>
      <c r="AE108" s="61"/>
      <c r="AF108" s="61"/>
      <c r="AG108" s="61"/>
      <c r="AH108" s="61"/>
      <c r="AI108" s="61"/>
      <c r="AJ108" s="61"/>
      <c r="AK108" s="61"/>
      <c r="AL108" s="61"/>
      <c r="AM108" s="61"/>
      <c r="AN108" s="61"/>
      <c r="AO108" s="61"/>
      <c r="AP108" s="61"/>
      <c r="AQ108" s="61"/>
      <c r="AR108" s="61"/>
      <c r="AS108" s="61"/>
      <c r="AT108" s="61"/>
      <c r="AU108" s="61"/>
      <c r="AV108" s="61"/>
      <c r="AW108" s="61"/>
      <c r="AX108" s="61"/>
      <c r="AY108" s="61"/>
      <c r="AZ108" s="61"/>
      <c r="BA108" s="61"/>
      <c r="BB108" s="61"/>
      <c r="BC108" s="61"/>
      <c r="BD108" s="61"/>
      <c r="BE108" s="61"/>
      <c r="BF108" s="61"/>
      <c r="BG108" s="61"/>
      <c r="BH108" s="61"/>
      <c r="BI108" s="61"/>
      <c r="BJ108" s="61"/>
      <c r="BK108" s="61"/>
      <c r="BL108" s="61"/>
      <c r="BM108" s="61"/>
      <c r="BN108" s="61"/>
      <c r="BO108" s="61"/>
      <c r="BP108" s="61"/>
      <c r="BQ108" s="61"/>
      <c r="BR108" s="61"/>
      <c r="BS108" s="61"/>
      <c r="BT108" s="61"/>
      <c r="BU108" s="61"/>
      <c r="BV108" s="61"/>
      <c r="BW108" s="61"/>
      <c r="BX108" s="61"/>
      <c r="BY108" s="61"/>
      <c r="BZ108" s="61"/>
      <c r="CA108" s="61"/>
      <c r="CB108" s="61"/>
      <c r="CC108" s="61"/>
      <c r="CD108" s="61"/>
      <c r="CE108" s="61"/>
      <c r="CF108" s="61"/>
      <c r="CG108" s="61"/>
      <c r="CH108" s="61"/>
      <c r="CI108" s="61"/>
      <c r="CJ108" s="61"/>
      <c r="CK108" s="61"/>
      <c r="CL108" s="61"/>
      <c r="CM108" s="61"/>
      <c r="CN108" s="61"/>
      <c r="CO108" s="61"/>
      <c r="CP108" s="61"/>
      <c r="CQ108" s="61"/>
      <c r="CR108" s="61"/>
      <c r="CS108" s="61"/>
      <c r="CT108" s="61"/>
      <c r="CU108" s="61"/>
      <c r="CV108" s="61"/>
      <c r="CW108" s="61"/>
      <c r="CX108" s="61"/>
      <c r="CY108" s="66"/>
      <c r="CZ108" s="66"/>
      <c r="DA108" s="66"/>
      <c r="DB108" s="66"/>
      <c r="DC108" s="66"/>
      <c r="DD108" s="66"/>
      <c r="DE108" s="66"/>
      <c r="DF108" s="66"/>
      <c r="DG108" s="66"/>
      <c r="DH108" s="66"/>
      <c r="DI108" s="66"/>
      <c r="DJ108" s="66"/>
    </row>
    <row r="109" spans="2:114" ht="15.75" x14ac:dyDescent="0.25">
      <c r="B109" s="61"/>
      <c r="C109" s="61"/>
      <c r="D109" s="207">
        <v>104</v>
      </c>
      <c r="E109" s="125">
        <v>2.6720000000000002</v>
      </c>
      <c r="F109" s="61"/>
      <c r="G109" s="61"/>
      <c r="H109" s="61"/>
      <c r="I109" s="61"/>
      <c r="J109" s="19">
        <v>105</v>
      </c>
      <c r="K109" s="121">
        <v>0.41666666666666874</v>
      </c>
      <c r="L109" s="61"/>
      <c r="M109" s="294">
        <v>105</v>
      </c>
      <c r="N109" s="121">
        <v>3.1005066312800471</v>
      </c>
      <c r="O109" s="61"/>
      <c r="P109" s="61"/>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c r="AO109" s="61"/>
      <c r="AP109" s="61"/>
      <c r="AQ109" s="61"/>
      <c r="AR109" s="61"/>
      <c r="AS109" s="61"/>
      <c r="AT109" s="61"/>
      <c r="AU109" s="61"/>
      <c r="AV109" s="61"/>
      <c r="AW109" s="61"/>
      <c r="AX109" s="61"/>
      <c r="AY109" s="61"/>
      <c r="AZ109" s="61"/>
      <c r="BA109" s="61"/>
      <c r="BB109" s="61"/>
      <c r="BC109" s="61"/>
      <c r="BD109" s="61"/>
      <c r="BE109" s="61"/>
      <c r="BF109" s="61"/>
      <c r="BG109" s="61"/>
      <c r="BH109" s="61"/>
      <c r="BI109" s="61"/>
      <c r="BJ109" s="61"/>
      <c r="BK109" s="61"/>
      <c r="BL109" s="61"/>
      <c r="BM109" s="61"/>
      <c r="BN109" s="61"/>
      <c r="BO109" s="61"/>
      <c r="BP109" s="61"/>
      <c r="BQ109" s="61"/>
      <c r="BR109" s="61"/>
      <c r="BS109" s="61"/>
      <c r="BT109" s="61"/>
      <c r="BU109" s="61"/>
      <c r="BV109" s="61"/>
      <c r="BW109" s="61"/>
      <c r="BX109" s="61"/>
      <c r="BY109" s="61"/>
      <c r="BZ109" s="61"/>
      <c r="CA109" s="61"/>
      <c r="CB109" s="61"/>
      <c r="CC109" s="61"/>
      <c r="CD109" s="61"/>
      <c r="CE109" s="61"/>
      <c r="CF109" s="61"/>
      <c r="CG109" s="61"/>
      <c r="CH109" s="61"/>
      <c r="CI109" s="61"/>
      <c r="CJ109" s="61"/>
      <c r="CK109" s="61"/>
      <c r="CL109" s="61"/>
      <c r="CM109" s="61"/>
      <c r="CN109" s="61"/>
      <c r="CO109" s="61"/>
      <c r="CP109" s="61"/>
      <c r="CQ109" s="61"/>
      <c r="CR109" s="61"/>
      <c r="CS109" s="61"/>
      <c r="CT109" s="61"/>
      <c r="CU109" s="61"/>
      <c r="CV109" s="61"/>
      <c r="CW109" s="61"/>
      <c r="CX109" s="61"/>
      <c r="CY109" s="66"/>
      <c r="CZ109" s="66"/>
      <c r="DA109" s="66"/>
      <c r="DB109" s="66"/>
      <c r="DC109" s="66"/>
      <c r="DD109" s="66"/>
      <c r="DE109" s="66"/>
      <c r="DF109" s="66"/>
      <c r="DG109" s="66"/>
      <c r="DH109" s="66"/>
      <c r="DI109" s="66"/>
      <c r="DJ109" s="66"/>
    </row>
    <row r="110" spans="2:114" ht="15.75" x14ac:dyDescent="0.25">
      <c r="B110" s="61"/>
      <c r="C110" s="61"/>
      <c r="D110" s="207">
        <v>105</v>
      </c>
      <c r="E110" s="125">
        <v>2.6949999999999998</v>
      </c>
      <c r="F110" s="61"/>
      <c r="G110" s="61"/>
      <c r="H110" s="61"/>
      <c r="I110" s="61"/>
      <c r="J110" s="19">
        <v>106</v>
      </c>
      <c r="K110" s="121">
        <v>0.4111111111111132</v>
      </c>
      <c r="L110" s="61"/>
      <c r="M110" s="294">
        <v>106</v>
      </c>
      <c r="N110" s="121">
        <v>3.1372762855514731</v>
      </c>
      <c r="O110" s="61"/>
      <c r="P110" s="61"/>
      <c r="Q110" s="61"/>
      <c r="R110" s="61"/>
      <c r="S110" s="61"/>
      <c r="T110" s="61"/>
      <c r="U110" s="61"/>
      <c r="V110" s="61"/>
      <c r="W110" s="61"/>
      <c r="X110" s="61"/>
      <c r="Y110" s="61"/>
      <c r="Z110" s="61"/>
      <c r="AA110" s="61"/>
      <c r="AB110" s="61"/>
      <c r="AC110" s="61"/>
      <c r="AD110" s="61"/>
      <c r="AE110" s="61"/>
      <c r="AF110" s="61"/>
      <c r="AG110" s="61"/>
      <c r="AH110" s="61"/>
      <c r="AI110" s="61"/>
      <c r="AJ110" s="61"/>
      <c r="AK110" s="61"/>
      <c r="AL110" s="61"/>
      <c r="AM110" s="61"/>
      <c r="AN110" s="61"/>
      <c r="AO110" s="61"/>
      <c r="AP110" s="61"/>
      <c r="AQ110" s="61"/>
      <c r="AR110" s="61"/>
      <c r="AS110" s="61"/>
      <c r="AT110" s="61"/>
      <c r="AU110" s="61"/>
      <c r="AV110" s="61"/>
      <c r="AW110" s="61"/>
      <c r="AX110" s="61"/>
      <c r="AY110" s="61"/>
      <c r="AZ110" s="61"/>
      <c r="BA110" s="61"/>
      <c r="BB110" s="61"/>
      <c r="BC110" s="61"/>
      <c r="BD110" s="61"/>
      <c r="BE110" s="61"/>
      <c r="BF110" s="61"/>
      <c r="BG110" s="61"/>
      <c r="BH110" s="61"/>
      <c r="BI110" s="61"/>
      <c r="BJ110" s="61"/>
      <c r="BK110" s="61"/>
      <c r="BL110" s="61"/>
      <c r="BM110" s="61"/>
      <c r="BN110" s="61"/>
      <c r="BO110" s="61"/>
      <c r="BP110" s="61"/>
      <c r="BQ110" s="61"/>
      <c r="BR110" s="61"/>
      <c r="BS110" s="61"/>
      <c r="BT110" s="61"/>
      <c r="BU110" s="61"/>
      <c r="BV110" s="61"/>
      <c r="BW110" s="61"/>
      <c r="BX110" s="61"/>
      <c r="BY110" s="61"/>
      <c r="BZ110" s="61"/>
      <c r="CA110" s="61"/>
      <c r="CB110" s="61"/>
      <c r="CC110" s="61"/>
      <c r="CD110" s="61"/>
      <c r="CE110" s="61"/>
      <c r="CF110" s="61"/>
      <c r="CG110" s="61"/>
      <c r="CH110" s="61"/>
      <c r="CI110" s="61"/>
      <c r="CJ110" s="61"/>
      <c r="CK110" s="61"/>
      <c r="CL110" s="61"/>
      <c r="CM110" s="61"/>
      <c r="CN110" s="61"/>
      <c r="CO110" s="61"/>
      <c r="CP110" s="61"/>
      <c r="CQ110" s="61"/>
      <c r="CR110" s="61"/>
      <c r="CS110" s="61"/>
      <c r="CT110" s="61"/>
      <c r="CU110" s="61"/>
      <c r="CV110" s="61"/>
      <c r="CW110" s="61"/>
      <c r="CX110" s="61"/>
      <c r="CY110" s="66"/>
      <c r="CZ110" s="66"/>
      <c r="DA110" s="66"/>
      <c r="DB110" s="66"/>
      <c r="DC110" s="66"/>
      <c r="DD110" s="66"/>
      <c r="DE110" s="66"/>
      <c r="DF110" s="66"/>
      <c r="DG110" s="66"/>
      <c r="DH110" s="66"/>
      <c r="DI110" s="66"/>
      <c r="DJ110" s="66"/>
    </row>
    <row r="111" spans="2:114" ht="15.75" x14ac:dyDescent="0.25">
      <c r="B111" s="61"/>
      <c r="C111" s="61"/>
      <c r="D111" s="207">
        <v>106</v>
      </c>
      <c r="E111" s="125">
        <v>2.718</v>
      </c>
      <c r="F111" s="61"/>
      <c r="G111" s="61"/>
      <c r="H111" s="61"/>
      <c r="I111" s="61"/>
      <c r="J111" s="19">
        <v>107</v>
      </c>
      <c r="K111" s="121">
        <v>0.40555555555555767</v>
      </c>
      <c r="L111" s="61"/>
      <c r="M111" s="294">
        <v>107</v>
      </c>
      <c r="N111" s="121">
        <v>3.1740459398228991</v>
      </c>
      <c r="O111" s="61"/>
      <c r="P111" s="61"/>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c r="AO111" s="61"/>
      <c r="AP111" s="61"/>
      <c r="AQ111" s="61"/>
      <c r="AR111" s="61"/>
      <c r="AS111" s="61"/>
      <c r="AT111" s="61"/>
      <c r="AU111" s="61"/>
      <c r="AV111" s="61"/>
      <c r="AW111" s="61"/>
      <c r="AX111" s="61"/>
      <c r="AY111" s="61"/>
      <c r="AZ111" s="61"/>
      <c r="BA111" s="61"/>
      <c r="BB111" s="61"/>
      <c r="BC111" s="61"/>
      <c r="BD111" s="61"/>
      <c r="BE111" s="61"/>
      <c r="BF111" s="61"/>
      <c r="BG111" s="61"/>
      <c r="BH111" s="61"/>
      <c r="BI111" s="61"/>
      <c r="BJ111" s="61"/>
      <c r="BK111" s="61"/>
      <c r="BL111" s="61"/>
      <c r="BM111" s="61"/>
      <c r="BN111" s="61"/>
      <c r="BO111" s="61"/>
      <c r="BP111" s="61"/>
      <c r="BQ111" s="61"/>
      <c r="BR111" s="61"/>
      <c r="BS111" s="61"/>
      <c r="BT111" s="61"/>
      <c r="BU111" s="61"/>
      <c r="BV111" s="61"/>
      <c r="BW111" s="61"/>
      <c r="BX111" s="61"/>
      <c r="BY111" s="61"/>
      <c r="BZ111" s="61"/>
      <c r="CA111" s="61"/>
      <c r="CB111" s="61"/>
      <c r="CC111" s="61"/>
      <c r="CD111" s="61"/>
      <c r="CE111" s="61"/>
      <c r="CF111" s="61"/>
      <c r="CG111" s="61"/>
      <c r="CH111" s="61"/>
      <c r="CI111" s="61"/>
      <c r="CJ111" s="61"/>
      <c r="CK111" s="61"/>
      <c r="CL111" s="61"/>
      <c r="CM111" s="61"/>
      <c r="CN111" s="61"/>
      <c r="CO111" s="61"/>
      <c r="CP111" s="61"/>
      <c r="CQ111" s="61"/>
      <c r="CR111" s="61"/>
      <c r="CS111" s="61"/>
      <c r="CT111" s="61"/>
      <c r="CU111" s="61"/>
      <c r="CV111" s="61"/>
      <c r="CW111" s="61"/>
      <c r="CX111" s="61"/>
      <c r="CY111" s="66"/>
      <c r="CZ111" s="66"/>
      <c r="DA111" s="66"/>
      <c r="DB111" s="66"/>
      <c r="DC111" s="66"/>
      <c r="DD111" s="66"/>
      <c r="DE111" s="66"/>
      <c r="DF111" s="66"/>
      <c r="DG111" s="66"/>
      <c r="DH111" s="66"/>
      <c r="DI111" s="66"/>
      <c r="DJ111" s="66"/>
    </row>
    <row r="112" spans="2:114" ht="15.75" x14ac:dyDescent="0.25">
      <c r="B112" s="61"/>
      <c r="C112" s="61"/>
      <c r="D112" s="207">
        <v>107</v>
      </c>
      <c r="E112" s="125">
        <v>2.7410000000000001</v>
      </c>
      <c r="F112" s="61"/>
      <c r="G112" s="61"/>
      <c r="H112" s="61"/>
      <c r="I112" s="61"/>
      <c r="J112" s="19">
        <v>108</v>
      </c>
      <c r="K112" s="121">
        <v>0.40000000000000213</v>
      </c>
      <c r="L112" s="61"/>
      <c r="M112" s="294">
        <v>108</v>
      </c>
      <c r="N112" s="121">
        <v>3.210815594094325</v>
      </c>
      <c r="O112" s="61"/>
      <c r="P112" s="61"/>
      <c r="Q112" s="61"/>
      <c r="R112" s="61"/>
      <c r="S112" s="61"/>
      <c r="T112" s="61"/>
      <c r="U112" s="61"/>
      <c r="V112" s="61"/>
      <c r="W112" s="61"/>
      <c r="X112" s="61"/>
      <c r="Y112" s="61"/>
      <c r="Z112" s="61"/>
      <c r="AA112" s="61"/>
      <c r="AB112" s="61"/>
      <c r="AC112" s="61"/>
      <c r="AD112" s="61"/>
      <c r="AE112" s="61"/>
      <c r="AF112" s="61"/>
      <c r="AG112" s="61"/>
      <c r="AH112" s="61"/>
      <c r="AI112" s="61"/>
      <c r="AJ112" s="61"/>
      <c r="AK112" s="61"/>
      <c r="AL112" s="61"/>
      <c r="AM112" s="61"/>
      <c r="AN112" s="61"/>
      <c r="AO112" s="61"/>
      <c r="AP112" s="61"/>
      <c r="AQ112" s="61"/>
      <c r="AR112" s="61"/>
      <c r="AS112" s="61"/>
      <c r="AT112" s="61"/>
      <c r="AU112" s="61"/>
      <c r="AV112" s="61"/>
      <c r="AW112" s="61"/>
      <c r="AX112" s="61"/>
      <c r="AY112" s="61"/>
      <c r="AZ112" s="61"/>
      <c r="BA112" s="61"/>
      <c r="BB112" s="61"/>
      <c r="BC112" s="61"/>
      <c r="BD112" s="61"/>
      <c r="BE112" s="61"/>
      <c r="BF112" s="61"/>
      <c r="BG112" s="61"/>
      <c r="BH112" s="61"/>
      <c r="BI112" s="61"/>
      <c r="BJ112" s="61"/>
      <c r="BK112" s="61"/>
      <c r="BL112" s="61"/>
      <c r="BM112" s="61"/>
      <c r="BN112" s="61"/>
      <c r="BO112" s="61"/>
      <c r="BP112" s="61"/>
      <c r="BQ112" s="61"/>
      <c r="BR112" s="61"/>
      <c r="BS112" s="61"/>
      <c r="BT112" s="61"/>
      <c r="BU112" s="61"/>
      <c r="BV112" s="61"/>
      <c r="BW112" s="61"/>
      <c r="BX112" s="61"/>
      <c r="BY112" s="61"/>
      <c r="BZ112" s="61"/>
      <c r="CA112" s="61"/>
      <c r="CB112" s="61"/>
      <c r="CC112" s="61"/>
      <c r="CD112" s="61"/>
      <c r="CE112" s="61"/>
      <c r="CF112" s="61"/>
      <c r="CG112" s="61"/>
      <c r="CH112" s="61"/>
      <c r="CI112" s="61"/>
      <c r="CJ112" s="61"/>
      <c r="CK112" s="61"/>
      <c r="CL112" s="61"/>
      <c r="CM112" s="61"/>
      <c r="CN112" s="61"/>
      <c r="CO112" s="61"/>
      <c r="CP112" s="61"/>
      <c r="CQ112" s="61"/>
      <c r="CR112" s="61"/>
      <c r="CS112" s="61"/>
      <c r="CT112" s="61"/>
      <c r="CU112" s="61"/>
      <c r="CV112" s="61"/>
      <c r="CW112" s="61"/>
      <c r="CX112" s="61"/>
      <c r="CY112" s="66"/>
      <c r="CZ112" s="66"/>
      <c r="DA112" s="66"/>
      <c r="DB112" s="66"/>
      <c r="DC112" s="66"/>
      <c r="DD112" s="66"/>
      <c r="DE112" s="66"/>
      <c r="DF112" s="66"/>
      <c r="DG112" s="66"/>
      <c r="DH112" s="66"/>
      <c r="DI112" s="66"/>
      <c r="DJ112" s="66"/>
    </row>
    <row r="113" spans="2:114" ht="15.75" x14ac:dyDescent="0.25">
      <c r="B113" s="61"/>
      <c r="C113" s="61"/>
      <c r="D113" s="207">
        <v>108</v>
      </c>
      <c r="E113" s="125">
        <v>2.7639999999999998</v>
      </c>
      <c r="F113" s="61"/>
      <c r="G113" s="61"/>
      <c r="H113" s="61"/>
      <c r="I113" s="61"/>
      <c r="J113" s="19">
        <v>109</v>
      </c>
      <c r="K113" s="121">
        <v>0.3944444444444466</v>
      </c>
      <c r="L113" s="61"/>
      <c r="M113" s="294">
        <v>109</v>
      </c>
      <c r="N113" s="121">
        <v>3.2551882730870374</v>
      </c>
      <c r="O113" s="61"/>
      <c r="P113" s="61"/>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c r="AO113" s="61"/>
      <c r="AP113" s="61"/>
      <c r="AQ113" s="61"/>
      <c r="AR113" s="61"/>
      <c r="AS113" s="61"/>
      <c r="AT113" s="61"/>
      <c r="AU113" s="61"/>
      <c r="AV113" s="61"/>
      <c r="AW113" s="61"/>
      <c r="AX113" s="61"/>
      <c r="AY113" s="61"/>
      <c r="AZ113" s="61"/>
      <c r="BA113" s="61"/>
      <c r="BB113" s="61"/>
      <c r="BC113" s="61"/>
      <c r="BD113" s="61"/>
      <c r="BE113" s="61"/>
      <c r="BF113" s="61"/>
      <c r="BG113" s="61"/>
      <c r="BH113" s="61"/>
      <c r="BI113" s="61"/>
      <c r="BJ113" s="61"/>
      <c r="BK113" s="61"/>
      <c r="BL113" s="61"/>
      <c r="BM113" s="61"/>
      <c r="BN113" s="61"/>
      <c r="BO113" s="61"/>
      <c r="BP113" s="61"/>
      <c r="BQ113" s="61"/>
      <c r="BR113" s="61"/>
      <c r="BS113" s="61"/>
      <c r="BT113" s="61"/>
      <c r="BU113" s="61"/>
      <c r="BV113" s="61"/>
      <c r="BW113" s="61"/>
      <c r="BX113" s="61"/>
      <c r="BY113" s="61"/>
      <c r="BZ113" s="61"/>
      <c r="CA113" s="61"/>
      <c r="CB113" s="61"/>
      <c r="CC113" s="61"/>
      <c r="CD113" s="61"/>
      <c r="CE113" s="61"/>
      <c r="CF113" s="61"/>
      <c r="CG113" s="61"/>
      <c r="CH113" s="61"/>
      <c r="CI113" s="61"/>
      <c r="CJ113" s="61"/>
      <c r="CK113" s="61"/>
      <c r="CL113" s="61"/>
      <c r="CM113" s="61"/>
      <c r="CN113" s="61"/>
      <c r="CO113" s="61"/>
      <c r="CP113" s="61"/>
      <c r="CQ113" s="61"/>
      <c r="CR113" s="61"/>
      <c r="CS113" s="61"/>
      <c r="CT113" s="61"/>
      <c r="CU113" s="61"/>
      <c r="CV113" s="61"/>
      <c r="CW113" s="61"/>
      <c r="CX113" s="61"/>
      <c r="CY113" s="66"/>
      <c r="CZ113" s="66"/>
      <c r="DA113" s="66"/>
      <c r="DB113" s="66"/>
      <c r="DC113" s="66"/>
      <c r="DD113" s="66"/>
      <c r="DE113" s="66"/>
      <c r="DF113" s="66"/>
      <c r="DG113" s="66"/>
      <c r="DH113" s="66"/>
      <c r="DI113" s="66"/>
      <c r="DJ113" s="66"/>
    </row>
    <row r="114" spans="2:114" ht="15.75" x14ac:dyDescent="0.25">
      <c r="B114" s="61"/>
      <c r="C114" s="61"/>
      <c r="D114" s="207">
        <v>109</v>
      </c>
      <c r="E114" s="125">
        <v>2.7869999999999999</v>
      </c>
      <c r="F114" s="61"/>
      <c r="G114" s="61"/>
      <c r="H114" s="61"/>
      <c r="I114" s="61"/>
      <c r="J114" s="19">
        <v>110</v>
      </c>
      <c r="K114" s="121">
        <v>0.38888888888889106</v>
      </c>
      <c r="L114" s="61"/>
      <c r="M114" s="294">
        <v>110</v>
      </c>
      <c r="N114" s="121">
        <v>3.2995609520797506</v>
      </c>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c r="AZ114" s="61"/>
      <c r="BA114" s="61"/>
      <c r="BB114" s="61"/>
      <c r="BC114" s="61"/>
      <c r="BD114" s="61"/>
      <c r="BE114" s="61"/>
      <c r="BF114" s="61"/>
      <c r="BG114" s="61"/>
      <c r="BH114" s="61"/>
      <c r="BI114" s="61"/>
      <c r="BJ114" s="61"/>
      <c r="BK114" s="61"/>
      <c r="BL114" s="61"/>
      <c r="BM114" s="61"/>
      <c r="BN114" s="61"/>
      <c r="BO114" s="61"/>
      <c r="BP114" s="61"/>
      <c r="BQ114" s="61"/>
      <c r="BR114" s="61"/>
      <c r="BS114" s="61"/>
      <c r="BT114" s="61"/>
      <c r="BU114" s="61"/>
      <c r="BV114" s="61"/>
      <c r="BW114" s="61"/>
      <c r="BX114" s="61"/>
      <c r="BY114" s="61"/>
      <c r="BZ114" s="61"/>
      <c r="CA114" s="61"/>
      <c r="CB114" s="61"/>
      <c r="CC114" s="61"/>
      <c r="CD114" s="61"/>
      <c r="CE114" s="61"/>
      <c r="CF114" s="61"/>
      <c r="CG114" s="61"/>
      <c r="CH114" s="61"/>
      <c r="CI114" s="61"/>
      <c r="CJ114" s="61"/>
      <c r="CK114" s="61"/>
      <c r="CL114" s="61"/>
      <c r="CM114" s="61"/>
      <c r="CN114" s="61"/>
      <c r="CO114" s="61"/>
      <c r="CP114" s="61"/>
      <c r="CQ114" s="61"/>
      <c r="CR114" s="61"/>
      <c r="CS114" s="61"/>
      <c r="CT114" s="61"/>
      <c r="CU114" s="61"/>
      <c r="CV114" s="61"/>
      <c r="CW114" s="61"/>
      <c r="CX114" s="61"/>
      <c r="CY114" s="66"/>
      <c r="CZ114" s="66"/>
      <c r="DA114" s="66"/>
      <c r="DB114" s="66"/>
      <c r="DC114" s="66"/>
      <c r="DD114" s="66"/>
      <c r="DE114" s="66"/>
      <c r="DF114" s="66"/>
      <c r="DG114" s="66"/>
      <c r="DH114" s="66"/>
      <c r="DI114" s="66"/>
      <c r="DJ114" s="66"/>
    </row>
    <row r="115" spans="2:114" ht="15.75" x14ac:dyDescent="0.25">
      <c r="B115" s="61"/>
      <c r="C115" s="61"/>
      <c r="D115" s="207">
        <v>110</v>
      </c>
      <c r="E115" s="125">
        <v>2.81</v>
      </c>
      <c r="F115" s="61"/>
      <c r="G115" s="61"/>
      <c r="H115" s="61"/>
      <c r="I115" s="61"/>
      <c r="J115" s="19">
        <v>111</v>
      </c>
      <c r="K115" s="121">
        <v>0.38333333333333552</v>
      </c>
      <c r="L115" s="61"/>
      <c r="M115" s="294">
        <v>111</v>
      </c>
      <c r="N115" s="121">
        <v>3.343933631072463</v>
      </c>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c r="AZ115" s="61"/>
      <c r="BA115" s="61"/>
      <c r="BB115" s="61"/>
      <c r="BC115" s="61"/>
      <c r="BD115" s="61"/>
      <c r="BE115" s="61"/>
      <c r="BF115" s="61"/>
      <c r="BG115" s="61"/>
      <c r="BH115" s="61"/>
      <c r="BI115" s="61"/>
      <c r="BJ115" s="61"/>
      <c r="BK115" s="61"/>
      <c r="BL115" s="61"/>
      <c r="BM115" s="61"/>
      <c r="BN115" s="61"/>
      <c r="BO115" s="61"/>
      <c r="BP115" s="61"/>
      <c r="BQ115" s="61"/>
      <c r="BR115" s="61"/>
      <c r="BS115" s="61"/>
      <c r="BT115" s="61"/>
      <c r="BU115" s="61"/>
      <c r="BV115" s="61"/>
      <c r="BW115" s="61"/>
      <c r="BX115" s="61"/>
      <c r="BY115" s="61"/>
      <c r="BZ115" s="61"/>
      <c r="CA115" s="61"/>
      <c r="CB115" s="61"/>
      <c r="CC115" s="61"/>
      <c r="CD115" s="61"/>
      <c r="CE115" s="61"/>
      <c r="CF115" s="61"/>
      <c r="CG115" s="61"/>
      <c r="CH115" s="61"/>
      <c r="CI115" s="61"/>
      <c r="CJ115" s="61"/>
      <c r="CK115" s="61"/>
      <c r="CL115" s="61"/>
      <c r="CM115" s="61"/>
      <c r="CN115" s="61"/>
      <c r="CO115" s="61"/>
      <c r="CP115" s="61"/>
      <c r="CQ115" s="61"/>
      <c r="CR115" s="61"/>
      <c r="CS115" s="61"/>
      <c r="CT115" s="61"/>
      <c r="CU115" s="61"/>
      <c r="CV115" s="61"/>
      <c r="CW115" s="61"/>
      <c r="CX115" s="61"/>
      <c r="CY115" s="66"/>
      <c r="CZ115" s="66"/>
      <c r="DA115" s="66"/>
      <c r="DB115" s="66"/>
      <c r="DC115" s="66"/>
      <c r="DD115" s="66"/>
      <c r="DE115" s="66"/>
      <c r="DF115" s="66"/>
      <c r="DG115" s="66"/>
      <c r="DH115" s="66"/>
      <c r="DI115" s="66"/>
      <c r="DJ115" s="66"/>
    </row>
    <row r="116" spans="2:114" ht="15.75" x14ac:dyDescent="0.25">
      <c r="B116" s="61"/>
      <c r="C116" s="61"/>
      <c r="D116" s="207">
        <v>111</v>
      </c>
      <c r="E116" s="125">
        <v>2.8330000000000002</v>
      </c>
      <c r="F116" s="61"/>
      <c r="G116" s="61"/>
      <c r="H116" s="61"/>
      <c r="I116" s="61"/>
      <c r="J116" s="19">
        <v>112</v>
      </c>
      <c r="K116" s="121">
        <v>0.37777777777777999</v>
      </c>
      <c r="L116" s="61"/>
      <c r="M116" s="294">
        <v>112</v>
      </c>
      <c r="N116" s="121">
        <v>3.3883063100651749</v>
      </c>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c r="AZ116" s="61"/>
      <c r="BA116" s="61"/>
      <c r="BB116" s="61"/>
      <c r="BC116" s="61"/>
      <c r="BD116" s="61"/>
      <c r="BE116" s="61"/>
      <c r="BF116" s="61"/>
      <c r="BG116" s="61"/>
      <c r="BH116" s="61"/>
      <c r="BI116" s="61"/>
      <c r="BJ116" s="61"/>
      <c r="BK116" s="61"/>
      <c r="BL116" s="61"/>
      <c r="BM116" s="61"/>
      <c r="BN116" s="61"/>
      <c r="BO116" s="61"/>
      <c r="BP116" s="61"/>
      <c r="BQ116" s="61"/>
      <c r="BR116" s="61"/>
      <c r="BS116" s="61"/>
      <c r="BT116" s="61"/>
      <c r="BU116" s="61"/>
      <c r="BV116" s="61"/>
      <c r="BW116" s="61"/>
      <c r="BX116" s="61"/>
      <c r="BY116" s="61"/>
      <c r="BZ116" s="61"/>
      <c r="CA116" s="61"/>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6"/>
      <c r="CZ116" s="66"/>
      <c r="DA116" s="66"/>
      <c r="DB116" s="66"/>
      <c r="DC116" s="66"/>
      <c r="DD116" s="66"/>
      <c r="DE116" s="66"/>
      <c r="DF116" s="66"/>
      <c r="DG116" s="66"/>
      <c r="DH116" s="66"/>
      <c r="DI116" s="66"/>
      <c r="DJ116" s="66"/>
    </row>
    <row r="117" spans="2:114" ht="15.75" x14ac:dyDescent="0.25">
      <c r="B117" s="61"/>
      <c r="C117" s="61"/>
      <c r="D117" s="207">
        <v>112</v>
      </c>
      <c r="E117" s="125">
        <v>2.8559999999999999</v>
      </c>
      <c r="F117" s="61"/>
      <c r="G117" s="61"/>
      <c r="H117" s="61"/>
      <c r="I117" s="61"/>
      <c r="J117" s="19">
        <v>113</v>
      </c>
      <c r="K117" s="121">
        <v>0.37222222222222445</v>
      </c>
      <c r="L117" s="61"/>
      <c r="M117" s="294">
        <v>113</v>
      </c>
      <c r="N117" s="121">
        <v>3.4326789890578882</v>
      </c>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c r="AZ117" s="61"/>
      <c r="BA117" s="61"/>
      <c r="BB117" s="61"/>
      <c r="BC117" s="61"/>
      <c r="BD117" s="61"/>
      <c r="BE117" s="61"/>
      <c r="BF117" s="61"/>
      <c r="BG117" s="61"/>
      <c r="BH117" s="61"/>
      <c r="BI117" s="61"/>
      <c r="BJ117" s="61"/>
      <c r="BK117" s="61"/>
      <c r="BL117" s="61"/>
      <c r="BM117" s="61"/>
      <c r="BN117" s="61"/>
      <c r="BO117" s="61"/>
      <c r="BP117" s="61"/>
      <c r="BQ117" s="61"/>
      <c r="BR117" s="61"/>
      <c r="BS117" s="61"/>
      <c r="BT117" s="61"/>
      <c r="BU117" s="61"/>
      <c r="BV117" s="61"/>
      <c r="BW117" s="61"/>
      <c r="BX117" s="61"/>
      <c r="BY117" s="61"/>
      <c r="BZ117" s="61"/>
      <c r="CA117" s="61"/>
      <c r="CB117" s="61"/>
      <c r="CC117" s="61"/>
      <c r="CD117" s="61"/>
      <c r="CE117" s="61"/>
      <c r="CF117" s="61"/>
      <c r="CG117" s="61"/>
      <c r="CH117" s="61"/>
      <c r="CI117" s="61"/>
      <c r="CJ117" s="61"/>
      <c r="CK117" s="61"/>
      <c r="CL117" s="61"/>
      <c r="CM117" s="61"/>
      <c r="CN117" s="61"/>
      <c r="CO117" s="61"/>
      <c r="CP117" s="61"/>
      <c r="CQ117" s="61"/>
      <c r="CR117" s="61"/>
      <c r="CS117" s="61"/>
      <c r="CT117" s="61"/>
      <c r="CU117" s="61"/>
      <c r="CV117" s="61"/>
      <c r="CW117" s="61"/>
      <c r="CX117" s="61"/>
      <c r="CY117" s="66"/>
      <c r="CZ117" s="66"/>
      <c r="DA117" s="66"/>
      <c r="DB117" s="66"/>
      <c r="DC117" s="66"/>
      <c r="DD117" s="66"/>
      <c r="DE117" s="66"/>
      <c r="DF117" s="66"/>
      <c r="DG117" s="66"/>
      <c r="DH117" s="66"/>
      <c r="DI117" s="66"/>
      <c r="DJ117" s="66"/>
    </row>
    <row r="118" spans="2:114" ht="15.75" x14ac:dyDescent="0.25">
      <c r="B118" s="61"/>
      <c r="C118" s="61"/>
      <c r="D118" s="207">
        <v>113</v>
      </c>
      <c r="E118" s="125">
        <v>2.879</v>
      </c>
      <c r="F118" s="61"/>
      <c r="G118" s="61"/>
      <c r="H118" s="61"/>
      <c r="I118" s="61"/>
      <c r="J118" s="19">
        <v>114</v>
      </c>
      <c r="K118" s="121">
        <v>0.36666666666666892</v>
      </c>
      <c r="L118" s="61"/>
      <c r="M118" s="294">
        <v>114</v>
      </c>
      <c r="N118" s="121">
        <v>3.4770516680506001</v>
      </c>
      <c r="O118" s="61"/>
      <c r="P118" s="61"/>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c r="AZ118" s="61"/>
      <c r="BA118" s="61"/>
      <c r="BB118" s="61"/>
      <c r="BC118" s="61"/>
      <c r="BD118" s="61"/>
      <c r="BE118" s="61"/>
      <c r="BF118" s="61"/>
      <c r="BG118" s="61"/>
      <c r="BH118" s="61"/>
      <c r="BI118" s="61"/>
      <c r="BJ118" s="61"/>
      <c r="BK118" s="61"/>
      <c r="BL118" s="61"/>
      <c r="BM118" s="61"/>
      <c r="BN118" s="61"/>
      <c r="BO118" s="61"/>
      <c r="BP118" s="61"/>
      <c r="BQ118" s="61"/>
      <c r="BR118" s="61"/>
      <c r="BS118" s="61"/>
      <c r="BT118" s="61"/>
      <c r="BU118" s="61"/>
      <c r="BV118" s="61"/>
      <c r="BW118" s="61"/>
      <c r="BX118" s="61"/>
      <c r="BY118" s="61"/>
      <c r="BZ118" s="61"/>
      <c r="CA118" s="61"/>
      <c r="CB118" s="61"/>
      <c r="CC118" s="61"/>
      <c r="CD118" s="61"/>
      <c r="CE118" s="61"/>
      <c r="CF118" s="61"/>
      <c r="CG118" s="61"/>
      <c r="CH118" s="61"/>
      <c r="CI118" s="61"/>
      <c r="CJ118" s="61"/>
      <c r="CK118" s="61"/>
      <c r="CL118" s="61"/>
      <c r="CM118" s="61"/>
      <c r="CN118" s="61"/>
      <c r="CO118" s="61"/>
      <c r="CP118" s="61"/>
      <c r="CQ118" s="61"/>
      <c r="CR118" s="61"/>
      <c r="CS118" s="61"/>
      <c r="CT118" s="61"/>
      <c r="CU118" s="61"/>
      <c r="CV118" s="61"/>
      <c r="CW118" s="61"/>
      <c r="CX118" s="61"/>
      <c r="CY118" s="66"/>
      <c r="CZ118" s="66"/>
      <c r="DA118" s="66"/>
      <c r="DB118" s="66"/>
      <c r="DC118" s="66"/>
      <c r="DD118" s="66"/>
      <c r="DE118" s="66"/>
      <c r="DF118" s="66"/>
      <c r="DG118" s="66"/>
      <c r="DH118" s="66"/>
      <c r="DI118" s="66"/>
      <c r="DJ118" s="66"/>
    </row>
    <row r="119" spans="2:114" ht="15.75" x14ac:dyDescent="0.25">
      <c r="B119" s="61"/>
      <c r="C119" s="61"/>
      <c r="D119" s="207">
        <v>114</v>
      </c>
      <c r="E119" s="125">
        <v>2.9020000000000001</v>
      </c>
      <c r="F119" s="61"/>
      <c r="G119" s="61"/>
      <c r="H119" s="61"/>
      <c r="I119" s="61"/>
      <c r="J119" s="19">
        <v>115</v>
      </c>
      <c r="K119" s="121">
        <v>0.36111111111111338</v>
      </c>
      <c r="L119" s="61"/>
      <c r="M119" s="294">
        <v>115</v>
      </c>
      <c r="N119" s="121">
        <v>3.5214243470433129</v>
      </c>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c r="BB119" s="61"/>
      <c r="BC119" s="61"/>
      <c r="BD119" s="61"/>
      <c r="BE119" s="61"/>
      <c r="BF119" s="61"/>
      <c r="BG119" s="61"/>
      <c r="BH119" s="61"/>
      <c r="BI119" s="61"/>
      <c r="BJ119" s="61"/>
      <c r="BK119" s="61"/>
      <c r="BL119" s="61"/>
      <c r="BM119" s="61"/>
      <c r="BN119" s="61"/>
      <c r="BO119" s="61"/>
      <c r="BP119" s="61"/>
      <c r="BQ119" s="61"/>
      <c r="BR119" s="61"/>
      <c r="BS119" s="61"/>
      <c r="BT119" s="61"/>
      <c r="BU119" s="61"/>
      <c r="BV119" s="61"/>
      <c r="BW119" s="61"/>
      <c r="BX119" s="61"/>
      <c r="BY119" s="61"/>
      <c r="BZ119" s="61"/>
      <c r="CA119" s="61"/>
      <c r="CB119" s="61"/>
      <c r="CC119" s="61"/>
      <c r="CD119" s="61"/>
      <c r="CE119" s="61"/>
      <c r="CF119" s="61"/>
      <c r="CG119" s="61"/>
      <c r="CH119" s="61"/>
      <c r="CI119" s="61"/>
      <c r="CJ119" s="61"/>
      <c r="CK119" s="61"/>
      <c r="CL119" s="61"/>
      <c r="CM119" s="61"/>
      <c r="CN119" s="61"/>
      <c r="CO119" s="61"/>
      <c r="CP119" s="61"/>
      <c r="CQ119" s="61"/>
      <c r="CR119" s="61"/>
      <c r="CS119" s="61"/>
      <c r="CT119" s="61"/>
      <c r="CU119" s="61"/>
      <c r="CV119" s="61"/>
      <c r="CW119" s="61"/>
      <c r="CX119" s="61"/>
      <c r="CY119" s="66"/>
      <c r="CZ119" s="66"/>
      <c r="DA119" s="66"/>
      <c r="DB119" s="66"/>
      <c r="DC119" s="66"/>
      <c r="DD119" s="66"/>
      <c r="DE119" s="66"/>
      <c r="DF119" s="66"/>
      <c r="DG119" s="66"/>
      <c r="DH119" s="66"/>
      <c r="DI119" s="66"/>
      <c r="DJ119" s="66"/>
    </row>
    <row r="120" spans="2:114" ht="15.75" x14ac:dyDescent="0.25">
      <c r="B120" s="61"/>
      <c r="C120" s="61"/>
      <c r="D120" s="207">
        <v>115</v>
      </c>
      <c r="E120" s="125">
        <v>2.9249999999999998</v>
      </c>
      <c r="F120" s="61"/>
      <c r="G120" s="61"/>
      <c r="H120" s="61"/>
      <c r="I120" s="61"/>
      <c r="J120" s="19">
        <v>116</v>
      </c>
      <c r="K120" s="121">
        <v>0.35555555555555785</v>
      </c>
      <c r="L120" s="61"/>
      <c r="M120" s="294">
        <v>116</v>
      </c>
      <c r="N120" s="121">
        <v>3.5657970260360252</v>
      </c>
      <c r="O120" s="61"/>
      <c r="P120" s="61"/>
      <c r="Q120" s="61"/>
      <c r="R120" s="61"/>
      <c r="S120" s="61"/>
      <c r="T120" s="61"/>
      <c r="U120" s="61"/>
      <c r="V120" s="61"/>
      <c r="W120" s="61"/>
      <c r="X120" s="61"/>
      <c r="Y120" s="61"/>
      <c r="Z120" s="61"/>
      <c r="AA120" s="61"/>
      <c r="AB120" s="61"/>
      <c r="AC120" s="61"/>
      <c r="AD120" s="61"/>
      <c r="AE120" s="61"/>
      <c r="AF120" s="61"/>
      <c r="AG120" s="61"/>
      <c r="AH120" s="61"/>
      <c r="AI120" s="61"/>
      <c r="AJ120" s="61"/>
      <c r="AK120" s="61"/>
      <c r="AL120" s="61"/>
      <c r="AM120" s="61"/>
      <c r="AN120" s="61"/>
      <c r="AO120" s="61"/>
      <c r="AP120" s="61"/>
      <c r="AQ120" s="61"/>
      <c r="AR120" s="61"/>
      <c r="AS120" s="61"/>
      <c r="AT120" s="61"/>
      <c r="AU120" s="61"/>
      <c r="AV120" s="61"/>
      <c r="AW120" s="61"/>
      <c r="AX120" s="61"/>
      <c r="AY120" s="61"/>
      <c r="AZ120" s="61"/>
      <c r="BA120" s="61"/>
      <c r="BB120" s="61"/>
      <c r="BC120" s="61"/>
      <c r="BD120" s="61"/>
      <c r="BE120" s="61"/>
      <c r="BF120" s="61"/>
      <c r="BG120" s="61"/>
      <c r="BH120" s="61"/>
      <c r="BI120" s="61"/>
      <c r="BJ120" s="61"/>
      <c r="BK120" s="61"/>
      <c r="BL120" s="61"/>
      <c r="BM120" s="61"/>
      <c r="BN120" s="61"/>
      <c r="BO120" s="61"/>
      <c r="BP120" s="61"/>
      <c r="BQ120" s="61"/>
      <c r="BR120" s="61"/>
      <c r="BS120" s="61"/>
      <c r="BT120" s="61"/>
      <c r="BU120" s="61"/>
      <c r="BV120" s="61"/>
      <c r="BW120" s="61"/>
      <c r="BX120" s="61"/>
      <c r="BY120" s="61"/>
      <c r="BZ120" s="61"/>
      <c r="CA120" s="61"/>
      <c r="CB120" s="61"/>
      <c r="CC120" s="61"/>
      <c r="CD120" s="61"/>
      <c r="CE120" s="61"/>
      <c r="CF120" s="61"/>
      <c r="CG120" s="61"/>
      <c r="CH120" s="61"/>
      <c r="CI120" s="61"/>
      <c r="CJ120" s="61"/>
      <c r="CK120" s="61"/>
      <c r="CL120" s="61"/>
      <c r="CM120" s="61"/>
      <c r="CN120" s="61"/>
      <c r="CO120" s="61"/>
      <c r="CP120" s="61"/>
      <c r="CQ120" s="61"/>
      <c r="CR120" s="61"/>
      <c r="CS120" s="61"/>
      <c r="CT120" s="61"/>
      <c r="CU120" s="61"/>
      <c r="CV120" s="61"/>
      <c r="CW120" s="61"/>
      <c r="CX120" s="61"/>
      <c r="CY120" s="66"/>
      <c r="CZ120" s="66"/>
      <c r="DA120" s="66"/>
      <c r="DB120" s="66"/>
      <c r="DC120" s="66"/>
      <c r="DD120" s="66"/>
      <c r="DE120" s="66"/>
      <c r="DF120" s="66"/>
      <c r="DG120" s="66"/>
      <c r="DH120" s="66"/>
      <c r="DI120" s="66"/>
      <c r="DJ120" s="66"/>
    </row>
    <row r="121" spans="2:114" ht="15.75" x14ac:dyDescent="0.25">
      <c r="B121" s="61"/>
      <c r="C121" s="61"/>
      <c r="D121" s="207">
        <v>116</v>
      </c>
      <c r="E121" s="125">
        <v>2.948</v>
      </c>
      <c r="F121" s="61"/>
      <c r="G121" s="61"/>
      <c r="H121" s="61"/>
      <c r="I121" s="61"/>
      <c r="J121" s="19">
        <v>117</v>
      </c>
      <c r="K121" s="121">
        <v>0.35000000000000231</v>
      </c>
      <c r="L121" s="61"/>
      <c r="M121" s="294">
        <v>117</v>
      </c>
      <c r="N121" s="121">
        <v>3.6101697050287376</v>
      </c>
      <c r="O121" s="61"/>
      <c r="P121" s="61"/>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c r="AZ121" s="61"/>
      <c r="BA121" s="61"/>
      <c r="BB121" s="61"/>
      <c r="BC121" s="61"/>
      <c r="BD121" s="61"/>
      <c r="BE121" s="61"/>
      <c r="BF121" s="61"/>
      <c r="BG121" s="61"/>
      <c r="BH121" s="61"/>
      <c r="BI121" s="61"/>
      <c r="BJ121" s="61"/>
      <c r="BK121" s="61"/>
      <c r="BL121" s="61"/>
      <c r="BM121" s="61"/>
      <c r="BN121" s="61"/>
      <c r="BO121" s="61"/>
      <c r="BP121" s="61"/>
      <c r="BQ121" s="61"/>
      <c r="BR121" s="61"/>
      <c r="BS121" s="61"/>
      <c r="BT121" s="61"/>
      <c r="BU121" s="61"/>
      <c r="BV121" s="61"/>
      <c r="BW121" s="61"/>
      <c r="BX121" s="61"/>
      <c r="BY121" s="61"/>
      <c r="BZ121" s="61"/>
      <c r="CA121" s="61"/>
      <c r="CB121" s="61"/>
      <c r="CC121" s="61"/>
      <c r="CD121" s="61"/>
      <c r="CE121" s="61"/>
      <c r="CF121" s="61"/>
      <c r="CG121" s="61"/>
      <c r="CH121" s="61"/>
      <c r="CI121" s="61"/>
      <c r="CJ121" s="61"/>
      <c r="CK121" s="61"/>
      <c r="CL121" s="61"/>
      <c r="CM121" s="61"/>
      <c r="CN121" s="61"/>
      <c r="CO121" s="61"/>
      <c r="CP121" s="61"/>
      <c r="CQ121" s="61"/>
      <c r="CR121" s="61"/>
      <c r="CS121" s="61"/>
      <c r="CT121" s="61"/>
      <c r="CU121" s="61"/>
      <c r="CV121" s="61"/>
      <c r="CW121" s="61"/>
      <c r="CX121" s="61"/>
      <c r="CY121" s="66"/>
      <c r="CZ121" s="66"/>
      <c r="DA121" s="66"/>
      <c r="DB121" s="66"/>
      <c r="DC121" s="66"/>
      <c r="DD121" s="66"/>
      <c r="DE121" s="66"/>
      <c r="DF121" s="66"/>
      <c r="DG121" s="66"/>
      <c r="DH121" s="66"/>
      <c r="DI121" s="66"/>
      <c r="DJ121" s="66"/>
    </row>
    <row r="122" spans="2:114" ht="15.75" x14ac:dyDescent="0.25">
      <c r="B122" s="61"/>
      <c r="C122" s="61"/>
      <c r="D122" s="207">
        <v>117</v>
      </c>
      <c r="E122" s="125">
        <v>2.9710000000000001</v>
      </c>
      <c r="F122" s="61"/>
      <c r="G122" s="61"/>
      <c r="H122" s="61"/>
      <c r="I122" s="61"/>
      <c r="J122" s="19">
        <v>118</v>
      </c>
      <c r="K122" s="121">
        <v>0.34444444444444677</v>
      </c>
      <c r="L122" s="61"/>
      <c r="M122" s="294">
        <v>118</v>
      </c>
      <c r="N122" s="121">
        <v>3.6545423840214504</v>
      </c>
      <c r="O122" s="61"/>
      <c r="P122" s="61"/>
      <c r="Q122" s="61"/>
      <c r="R122" s="61"/>
      <c r="S122" s="61"/>
      <c r="T122" s="61"/>
      <c r="U122" s="61"/>
      <c r="V122" s="61"/>
      <c r="W122" s="61"/>
      <c r="X122" s="61"/>
      <c r="Y122" s="61"/>
      <c r="Z122" s="61"/>
      <c r="AA122" s="61"/>
      <c r="AB122" s="61"/>
      <c r="AC122" s="61"/>
      <c r="AD122" s="61"/>
      <c r="AE122" s="61"/>
      <c r="AF122" s="61"/>
      <c r="AG122" s="61"/>
      <c r="AH122" s="61"/>
      <c r="AI122" s="61"/>
      <c r="AJ122" s="61"/>
      <c r="AK122" s="61"/>
      <c r="AL122" s="61"/>
      <c r="AM122" s="61"/>
      <c r="AN122" s="61"/>
      <c r="AO122" s="61"/>
      <c r="AP122" s="61"/>
      <c r="AQ122" s="61"/>
      <c r="AR122" s="61"/>
      <c r="AS122" s="61"/>
      <c r="AT122" s="61"/>
      <c r="AU122" s="61"/>
      <c r="AV122" s="61"/>
      <c r="AW122" s="61"/>
      <c r="AX122" s="61"/>
      <c r="AY122" s="61"/>
      <c r="AZ122" s="61"/>
      <c r="BA122" s="61"/>
      <c r="BB122" s="61"/>
      <c r="BC122" s="61"/>
      <c r="BD122" s="61"/>
      <c r="BE122" s="61"/>
      <c r="BF122" s="61"/>
      <c r="BG122" s="61"/>
      <c r="BH122" s="61"/>
      <c r="BI122" s="61"/>
      <c r="BJ122" s="61"/>
      <c r="BK122" s="61"/>
      <c r="BL122" s="61"/>
      <c r="BM122" s="61"/>
      <c r="BN122" s="61"/>
      <c r="BO122" s="61"/>
      <c r="BP122" s="61"/>
      <c r="BQ122" s="61"/>
      <c r="BR122" s="61"/>
      <c r="BS122" s="61"/>
      <c r="BT122" s="61"/>
      <c r="BU122" s="61"/>
      <c r="BV122" s="61"/>
      <c r="BW122" s="61"/>
      <c r="BX122" s="61"/>
      <c r="BY122" s="61"/>
      <c r="BZ122" s="61"/>
      <c r="CA122" s="61"/>
      <c r="CB122" s="61"/>
      <c r="CC122" s="61"/>
      <c r="CD122" s="61"/>
      <c r="CE122" s="61"/>
      <c r="CF122" s="61"/>
      <c r="CG122" s="61"/>
      <c r="CH122" s="61"/>
      <c r="CI122" s="61"/>
      <c r="CJ122" s="61"/>
      <c r="CK122" s="61"/>
      <c r="CL122" s="61"/>
      <c r="CM122" s="61"/>
      <c r="CN122" s="61"/>
      <c r="CO122" s="61"/>
      <c r="CP122" s="61"/>
      <c r="CQ122" s="61"/>
      <c r="CR122" s="61"/>
      <c r="CS122" s="61"/>
      <c r="CT122" s="61"/>
      <c r="CU122" s="61"/>
      <c r="CV122" s="61"/>
      <c r="CW122" s="61"/>
      <c r="CX122" s="61"/>
      <c r="CY122" s="66"/>
      <c r="CZ122" s="66"/>
      <c r="DA122" s="66"/>
      <c r="DB122" s="66"/>
      <c r="DC122" s="66"/>
      <c r="DD122" s="66"/>
      <c r="DE122" s="66"/>
      <c r="DF122" s="66"/>
      <c r="DG122" s="66"/>
      <c r="DH122" s="66"/>
      <c r="DI122" s="66"/>
      <c r="DJ122" s="66"/>
    </row>
    <row r="123" spans="2:114" ht="15.75" x14ac:dyDescent="0.25">
      <c r="B123" s="61"/>
      <c r="C123" s="61"/>
      <c r="D123" s="207">
        <v>118</v>
      </c>
      <c r="E123" s="125">
        <v>2.9940000000000002</v>
      </c>
      <c r="F123" s="61"/>
      <c r="G123" s="61"/>
      <c r="H123" s="61"/>
      <c r="I123" s="61"/>
      <c r="J123" s="19">
        <v>119</v>
      </c>
      <c r="K123" s="121">
        <v>0.33888888888889124</v>
      </c>
      <c r="L123" s="61"/>
      <c r="M123" s="294">
        <v>119</v>
      </c>
      <c r="N123" s="121">
        <v>3.6989150630141627</v>
      </c>
      <c r="O123" s="61"/>
      <c r="P123" s="61"/>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61"/>
      <c r="AP123" s="61"/>
      <c r="AQ123" s="61"/>
      <c r="AR123" s="61"/>
      <c r="AS123" s="61"/>
      <c r="AT123" s="61"/>
      <c r="AU123" s="61"/>
      <c r="AV123" s="61"/>
      <c r="AW123" s="61"/>
      <c r="AX123" s="61"/>
      <c r="AY123" s="61"/>
      <c r="AZ123" s="61"/>
      <c r="BA123" s="61"/>
      <c r="BB123" s="61"/>
      <c r="BC123" s="61"/>
      <c r="BD123" s="61"/>
      <c r="BE123" s="61"/>
      <c r="BF123" s="61"/>
      <c r="BG123" s="61"/>
      <c r="BH123" s="61"/>
      <c r="BI123" s="61"/>
      <c r="BJ123" s="61"/>
      <c r="BK123" s="61"/>
      <c r="BL123" s="61"/>
      <c r="BM123" s="61"/>
      <c r="BN123" s="61"/>
      <c r="BO123" s="61"/>
      <c r="BP123" s="61"/>
      <c r="BQ123" s="61"/>
      <c r="BR123" s="61"/>
      <c r="BS123" s="61"/>
      <c r="BT123" s="61"/>
      <c r="BU123" s="61"/>
      <c r="BV123" s="61"/>
      <c r="BW123" s="61"/>
      <c r="BX123" s="61"/>
      <c r="BY123" s="61"/>
      <c r="BZ123" s="61"/>
      <c r="CA123" s="61"/>
      <c r="CB123" s="61"/>
      <c r="CC123" s="61"/>
      <c r="CD123" s="61"/>
      <c r="CE123" s="61"/>
      <c r="CF123" s="61"/>
      <c r="CG123" s="61"/>
      <c r="CH123" s="61"/>
      <c r="CI123" s="61"/>
      <c r="CJ123" s="61"/>
      <c r="CK123" s="61"/>
      <c r="CL123" s="61"/>
      <c r="CM123" s="61"/>
      <c r="CN123" s="61"/>
      <c r="CO123" s="61"/>
      <c r="CP123" s="61"/>
      <c r="CQ123" s="61"/>
      <c r="CR123" s="61"/>
      <c r="CS123" s="61"/>
      <c r="CT123" s="61"/>
      <c r="CU123" s="61"/>
      <c r="CV123" s="61"/>
      <c r="CW123" s="61"/>
      <c r="CX123" s="61"/>
      <c r="CY123" s="66"/>
      <c r="CZ123" s="66"/>
      <c r="DA123" s="66"/>
      <c r="DB123" s="66"/>
      <c r="DC123" s="66"/>
      <c r="DD123" s="66"/>
      <c r="DE123" s="66"/>
      <c r="DF123" s="66"/>
      <c r="DG123" s="66"/>
      <c r="DH123" s="66"/>
      <c r="DI123" s="66"/>
      <c r="DJ123" s="66"/>
    </row>
    <row r="124" spans="2:114" ht="16.5" thickBot="1" x14ac:dyDescent="0.3">
      <c r="B124" s="61"/>
      <c r="C124" s="61"/>
      <c r="D124" s="207">
        <v>119</v>
      </c>
      <c r="E124" s="125">
        <v>3.0169999999999999</v>
      </c>
      <c r="F124" s="61"/>
      <c r="G124" s="61"/>
      <c r="H124" s="61"/>
      <c r="I124" s="61"/>
      <c r="J124" s="235">
        <v>120</v>
      </c>
      <c r="K124" s="219">
        <v>0.3333333333333357</v>
      </c>
      <c r="L124" s="61"/>
      <c r="M124" s="295">
        <v>120</v>
      </c>
      <c r="N124" s="219">
        <v>3.7432877420068755</v>
      </c>
      <c r="O124" s="61"/>
      <c r="P124" s="61"/>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61"/>
      <c r="AP124" s="61"/>
      <c r="AQ124" s="61"/>
      <c r="AR124" s="61"/>
      <c r="AS124" s="61"/>
      <c r="AT124" s="61"/>
      <c r="AU124" s="61"/>
      <c r="AV124" s="61"/>
      <c r="AW124" s="61"/>
      <c r="AX124" s="61"/>
      <c r="AY124" s="61"/>
      <c r="AZ124" s="61"/>
      <c r="BA124" s="61"/>
      <c r="BB124" s="61"/>
      <c r="BC124" s="61"/>
      <c r="BD124" s="61"/>
      <c r="BE124" s="61"/>
      <c r="BF124" s="61"/>
      <c r="BG124" s="61"/>
      <c r="BH124" s="61"/>
      <c r="BI124" s="61"/>
      <c r="BJ124" s="61"/>
      <c r="BK124" s="61"/>
      <c r="BL124" s="61"/>
      <c r="BM124" s="61"/>
      <c r="BN124" s="61"/>
      <c r="BO124" s="61"/>
      <c r="BP124" s="61"/>
      <c r="BQ124" s="61"/>
      <c r="BR124" s="61"/>
      <c r="BS124" s="61"/>
      <c r="BT124" s="61"/>
      <c r="BU124" s="61"/>
      <c r="BV124" s="61"/>
      <c r="BW124" s="61"/>
      <c r="BX124" s="61"/>
      <c r="BY124" s="61"/>
      <c r="BZ124" s="61"/>
      <c r="CA124" s="61"/>
      <c r="CB124" s="61"/>
      <c r="CC124" s="61"/>
      <c r="CD124" s="61"/>
      <c r="CE124" s="61"/>
      <c r="CF124" s="61"/>
      <c r="CG124" s="61"/>
      <c r="CH124" s="61"/>
      <c r="CI124" s="61"/>
      <c r="CJ124" s="61"/>
      <c r="CK124" s="61"/>
      <c r="CL124" s="61"/>
      <c r="CM124" s="61"/>
      <c r="CN124" s="61"/>
      <c r="CO124" s="61"/>
      <c r="CP124" s="61"/>
      <c r="CQ124" s="61"/>
      <c r="CR124" s="61"/>
      <c r="CS124" s="61"/>
      <c r="CT124" s="61"/>
      <c r="CU124" s="61"/>
      <c r="CV124" s="61"/>
      <c r="CW124" s="61"/>
      <c r="CX124" s="61"/>
      <c r="CY124" s="66"/>
      <c r="CZ124" s="66"/>
      <c r="DA124" s="66"/>
      <c r="DB124" s="66"/>
      <c r="DC124" s="66"/>
      <c r="DD124" s="66"/>
      <c r="DE124" s="66"/>
      <c r="DF124" s="66"/>
      <c r="DG124" s="66"/>
      <c r="DH124" s="66"/>
      <c r="DI124" s="66"/>
      <c r="DJ124" s="66"/>
    </row>
    <row r="125" spans="2:114" ht="16.5" thickBot="1" x14ac:dyDescent="0.3">
      <c r="B125" s="61"/>
      <c r="C125" s="61"/>
      <c r="D125" s="109">
        <v>120</v>
      </c>
      <c r="E125" s="166">
        <v>3.04</v>
      </c>
      <c r="F125" s="61"/>
      <c r="G125" s="61"/>
      <c r="H125" s="61"/>
      <c r="I125" s="61"/>
      <c r="J125" s="61"/>
      <c r="K125" s="243"/>
      <c r="L125" s="243"/>
      <c r="M125" s="243"/>
      <c r="N125" s="243"/>
      <c r="O125" s="243"/>
      <c r="P125" s="243"/>
      <c r="Q125" s="243"/>
      <c r="R125" s="243"/>
      <c r="S125" s="243"/>
      <c r="T125" s="243"/>
      <c r="U125" s="243"/>
      <c r="V125" s="243"/>
      <c r="W125" s="243"/>
      <c r="X125" s="243"/>
      <c r="Y125" s="243"/>
      <c r="Z125" s="243"/>
      <c r="AA125" s="243"/>
      <c r="AB125" s="243"/>
      <c r="AC125" s="243"/>
      <c r="AD125" s="243"/>
      <c r="AE125" s="243"/>
      <c r="AF125" s="243"/>
      <c r="AG125" s="243"/>
      <c r="AH125" s="243"/>
      <c r="AI125" s="243"/>
      <c r="AJ125" s="243"/>
      <c r="AK125" s="243"/>
      <c r="AL125" s="243"/>
      <c r="AM125" s="243"/>
      <c r="AN125" s="243"/>
      <c r="AO125" s="243"/>
      <c r="AP125" s="243"/>
      <c r="AQ125" s="243"/>
      <c r="AR125" s="243"/>
      <c r="AS125" s="243"/>
      <c r="AT125" s="243"/>
      <c r="AU125" s="243"/>
      <c r="AV125" s="243"/>
      <c r="AW125" s="243"/>
      <c r="AX125" s="243"/>
      <c r="AY125" s="243"/>
      <c r="AZ125" s="243"/>
      <c r="BA125" s="243"/>
      <c r="BB125" s="243"/>
      <c r="BC125" s="243"/>
      <c r="BD125" s="243"/>
      <c r="BE125" s="243"/>
      <c r="BF125" s="243"/>
      <c r="BG125" s="243"/>
      <c r="BH125" s="243"/>
      <c r="BI125" s="243"/>
      <c r="BJ125" s="243"/>
      <c r="BK125" s="243"/>
      <c r="BL125" s="243"/>
      <c r="BM125" s="243"/>
      <c r="BN125" s="243"/>
      <c r="BO125" s="243"/>
      <c r="BP125" s="243"/>
      <c r="BQ125" s="243"/>
      <c r="BR125" s="243"/>
      <c r="BS125" s="243"/>
      <c r="BT125" s="243"/>
      <c r="BU125" s="243"/>
      <c r="BV125" s="243"/>
      <c r="BW125" s="243"/>
      <c r="BX125" s="243"/>
      <c r="BY125" s="243"/>
      <c r="BZ125" s="243"/>
      <c r="CA125" s="243"/>
      <c r="CB125" s="243"/>
      <c r="CC125" s="243"/>
      <c r="CD125" s="243"/>
      <c r="CE125" s="243"/>
      <c r="CF125" s="243"/>
      <c r="CG125" s="243"/>
      <c r="CH125" s="243"/>
      <c r="CI125" s="243"/>
      <c r="CJ125" s="243"/>
      <c r="CK125" s="243"/>
      <c r="CL125" s="243"/>
      <c r="CM125" s="243"/>
      <c r="CN125" s="243"/>
      <c r="CO125" s="243"/>
      <c r="CP125" s="243"/>
      <c r="CQ125" s="243"/>
      <c r="CR125" s="243"/>
      <c r="CS125" s="243"/>
      <c r="CT125" s="243"/>
      <c r="CU125" s="243"/>
      <c r="CV125" s="243"/>
      <c r="CW125" s="243"/>
      <c r="CX125" s="243"/>
      <c r="CY125" s="66"/>
      <c r="CZ125" s="66"/>
      <c r="DA125" s="66"/>
      <c r="DB125" s="66"/>
      <c r="DC125" s="66"/>
      <c r="DD125" s="66"/>
      <c r="DE125" s="66"/>
      <c r="DF125" s="66"/>
      <c r="DG125" s="66"/>
      <c r="DH125" s="66"/>
      <c r="DI125" s="66"/>
      <c r="DJ125" s="66"/>
    </row>
    <row r="126" spans="2:114" ht="16.5" thickTop="1" x14ac:dyDescent="0.25">
      <c r="K126" s="243"/>
      <c r="L126" s="243"/>
      <c r="M126" s="243"/>
      <c r="N126" s="243"/>
      <c r="O126" s="243"/>
      <c r="P126" s="243"/>
      <c r="Q126" s="243"/>
      <c r="R126" s="243"/>
      <c r="S126" s="243"/>
      <c r="T126" s="243"/>
      <c r="U126" s="243"/>
      <c r="V126" s="243"/>
      <c r="W126" s="243"/>
      <c r="X126" s="243"/>
      <c r="Y126" s="243"/>
      <c r="Z126" s="243"/>
      <c r="AA126" s="243"/>
      <c r="AB126" s="243"/>
      <c r="AC126" s="243"/>
      <c r="AD126" s="243"/>
      <c r="AE126" s="243"/>
      <c r="AF126" s="243"/>
      <c r="AG126" s="243"/>
      <c r="AH126" s="243"/>
      <c r="AI126" s="243"/>
      <c r="AJ126" s="243"/>
      <c r="AK126" s="243"/>
      <c r="AL126" s="243"/>
      <c r="AM126" s="243"/>
      <c r="AN126" s="243"/>
      <c r="AO126" s="243"/>
      <c r="AP126" s="243"/>
      <c r="AQ126" s="243"/>
      <c r="AR126" s="243"/>
      <c r="AS126" s="243"/>
      <c r="AT126" s="243"/>
      <c r="AU126" s="243"/>
      <c r="AV126" s="243"/>
      <c r="AW126" s="243"/>
      <c r="AX126" s="243"/>
      <c r="AY126" s="243"/>
      <c r="AZ126" s="243"/>
      <c r="BA126" s="243"/>
      <c r="BB126" s="243"/>
      <c r="BC126" s="243"/>
      <c r="BD126" s="243"/>
      <c r="BE126" s="243"/>
      <c r="BF126" s="243"/>
      <c r="BG126" s="243"/>
      <c r="BH126" s="243"/>
      <c r="BI126" s="243"/>
      <c r="BJ126" s="243"/>
      <c r="BK126" s="243"/>
      <c r="BL126" s="243"/>
      <c r="BM126" s="243"/>
      <c r="BN126" s="243"/>
      <c r="BO126" s="243"/>
      <c r="BP126" s="243"/>
      <c r="BQ126" s="243"/>
      <c r="BR126" s="243"/>
      <c r="BS126" s="243"/>
      <c r="BT126" s="243"/>
      <c r="BU126" s="243"/>
      <c r="BV126" s="243"/>
      <c r="BW126" s="243"/>
      <c r="BX126" s="243"/>
      <c r="BY126" s="243"/>
      <c r="BZ126" s="243"/>
      <c r="CA126" s="243"/>
      <c r="CB126" s="243"/>
      <c r="CC126" s="243"/>
      <c r="CD126" s="243"/>
      <c r="CE126" s="243"/>
      <c r="CF126" s="243"/>
      <c r="CG126" s="243"/>
      <c r="CH126" s="243"/>
      <c r="CI126" s="243"/>
      <c r="CJ126" s="243"/>
      <c r="CK126" s="243"/>
      <c r="CL126" s="243"/>
      <c r="CM126" s="243"/>
      <c r="CN126" s="243"/>
      <c r="CO126" s="243"/>
      <c r="CP126" s="243"/>
      <c r="CQ126" s="243"/>
      <c r="CR126" s="243"/>
      <c r="CS126" s="243"/>
      <c r="CT126" s="243"/>
      <c r="CU126" s="243"/>
      <c r="CV126" s="243"/>
      <c r="CW126" s="243"/>
      <c r="CX126" s="243"/>
      <c r="CY126" s="66"/>
      <c r="CZ126" s="66"/>
      <c r="DA126" s="66"/>
      <c r="DB126" s="66"/>
      <c r="DC126" s="66"/>
      <c r="DD126" s="66"/>
      <c r="DE126" s="66"/>
      <c r="DF126" s="66"/>
      <c r="DG126" s="66"/>
      <c r="DH126" s="66"/>
      <c r="DI126" s="66"/>
      <c r="DJ126" s="66"/>
    </row>
    <row r="127" spans="2:114" ht="15.75" x14ac:dyDescent="0.25">
      <c r="K127" s="243"/>
      <c r="L127" s="243"/>
      <c r="M127" s="243"/>
      <c r="N127" s="243"/>
      <c r="O127" s="243"/>
      <c r="P127" s="243"/>
      <c r="Q127" s="243"/>
      <c r="R127" s="243"/>
      <c r="S127" s="243"/>
      <c r="T127" s="243"/>
      <c r="U127" s="243"/>
      <c r="V127" s="243"/>
      <c r="W127" s="243"/>
      <c r="X127" s="243"/>
      <c r="Y127" s="243"/>
      <c r="Z127" s="243"/>
      <c r="AA127" s="243"/>
      <c r="AB127" s="243"/>
      <c r="AC127" s="243"/>
      <c r="AD127" s="243"/>
      <c r="AE127" s="243"/>
      <c r="AF127" s="243"/>
      <c r="AG127" s="243"/>
      <c r="AH127" s="243"/>
      <c r="AI127" s="243"/>
      <c r="AJ127" s="243"/>
      <c r="AK127" s="243"/>
      <c r="AL127" s="243"/>
      <c r="AM127" s="243"/>
      <c r="AN127" s="243"/>
      <c r="AO127" s="243"/>
      <c r="AP127" s="243"/>
      <c r="AQ127" s="243"/>
      <c r="AR127" s="243"/>
      <c r="AS127" s="243"/>
      <c r="AT127" s="243"/>
      <c r="AU127" s="243"/>
      <c r="AV127" s="243"/>
      <c r="AW127" s="243"/>
      <c r="AX127" s="243"/>
      <c r="AY127" s="243"/>
      <c r="AZ127" s="243"/>
      <c r="BA127" s="243"/>
      <c r="BB127" s="243"/>
      <c r="BC127" s="243"/>
      <c r="BD127" s="243"/>
      <c r="BE127" s="243"/>
      <c r="BF127" s="243"/>
      <c r="BG127" s="243"/>
      <c r="BH127" s="243"/>
      <c r="BI127" s="243"/>
      <c r="BJ127" s="243"/>
      <c r="BK127" s="243"/>
      <c r="BL127" s="243"/>
      <c r="BM127" s="243"/>
      <c r="BN127" s="243"/>
      <c r="BO127" s="243"/>
      <c r="BP127" s="243"/>
      <c r="BQ127" s="243"/>
      <c r="BR127" s="243"/>
      <c r="BS127" s="243"/>
      <c r="BT127" s="243"/>
      <c r="BU127" s="243"/>
      <c r="BV127" s="243"/>
      <c r="BW127" s="243"/>
      <c r="BX127" s="243"/>
      <c r="BY127" s="243"/>
      <c r="BZ127" s="243"/>
      <c r="CA127" s="243"/>
      <c r="CB127" s="243"/>
      <c r="CC127" s="243"/>
      <c r="CD127" s="243"/>
      <c r="CE127" s="243"/>
      <c r="CF127" s="243"/>
      <c r="CG127" s="243"/>
      <c r="CH127" s="243"/>
      <c r="CI127" s="243"/>
      <c r="CJ127" s="243"/>
      <c r="CK127" s="243"/>
      <c r="CL127" s="243"/>
      <c r="CM127" s="243"/>
      <c r="CN127" s="243"/>
      <c r="CO127" s="243"/>
      <c r="CP127" s="243"/>
      <c r="CQ127" s="243"/>
      <c r="CR127" s="243"/>
      <c r="CS127" s="243"/>
      <c r="CT127" s="243"/>
      <c r="CU127" s="243"/>
      <c r="CV127" s="243"/>
      <c r="CW127" s="243"/>
      <c r="CX127" s="243"/>
      <c r="CY127" s="66"/>
      <c r="CZ127" s="66"/>
      <c r="DA127" s="66"/>
      <c r="DB127" s="66"/>
      <c r="DC127" s="66"/>
      <c r="DD127" s="66"/>
      <c r="DE127" s="66"/>
      <c r="DF127" s="66"/>
      <c r="DG127" s="66"/>
      <c r="DH127" s="66"/>
      <c r="DI127" s="66"/>
      <c r="DJ127" s="66"/>
    </row>
    <row r="128" spans="2:114" ht="15.75" x14ac:dyDescent="0.25">
      <c r="K128" s="243"/>
      <c r="L128" s="243"/>
      <c r="M128" s="243"/>
      <c r="N128" s="243"/>
      <c r="O128" s="243"/>
      <c r="P128" s="243"/>
      <c r="Q128" s="243"/>
      <c r="R128" s="243"/>
      <c r="S128" s="243"/>
      <c r="T128" s="243"/>
      <c r="U128" s="243"/>
      <c r="V128" s="243"/>
      <c r="W128" s="243"/>
      <c r="X128" s="243"/>
      <c r="Y128" s="243"/>
      <c r="Z128" s="243"/>
      <c r="AA128" s="243"/>
      <c r="AB128" s="243"/>
      <c r="AC128" s="243"/>
      <c r="AD128" s="243"/>
      <c r="AE128" s="243"/>
      <c r="AF128" s="243"/>
      <c r="AG128" s="243"/>
      <c r="AH128" s="243"/>
      <c r="AI128" s="243"/>
      <c r="AJ128" s="243"/>
      <c r="AK128" s="243"/>
      <c r="AL128" s="243"/>
      <c r="AM128" s="243"/>
      <c r="AN128" s="243"/>
      <c r="AO128" s="243"/>
      <c r="AP128" s="243"/>
      <c r="AQ128" s="243"/>
      <c r="AR128" s="243"/>
      <c r="AS128" s="243"/>
      <c r="AT128" s="243"/>
      <c r="AU128" s="243"/>
      <c r="AV128" s="243"/>
      <c r="AW128" s="243"/>
      <c r="AX128" s="243"/>
      <c r="AY128" s="243"/>
      <c r="AZ128" s="243"/>
      <c r="BA128" s="243"/>
      <c r="BB128" s="243"/>
      <c r="BC128" s="243"/>
      <c r="BD128" s="243"/>
      <c r="BE128" s="243"/>
      <c r="BF128" s="243"/>
      <c r="BG128" s="243"/>
      <c r="BH128" s="243"/>
      <c r="BI128" s="243"/>
      <c r="BJ128" s="243"/>
      <c r="BK128" s="243"/>
      <c r="BL128" s="243"/>
      <c r="BM128" s="243"/>
      <c r="BN128" s="243"/>
      <c r="BO128" s="243"/>
      <c r="BP128" s="243"/>
      <c r="BQ128" s="243"/>
      <c r="BR128" s="243"/>
      <c r="BS128" s="243"/>
      <c r="BT128" s="243"/>
      <c r="BU128" s="243"/>
      <c r="BV128" s="243"/>
      <c r="BW128" s="243"/>
      <c r="BX128" s="243"/>
      <c r="BY128" s="243"/>
      <c r="BZ128" s="243"/>
      <c r="CA128" s="243"/>
      <c r="CB128" s="243"/>
      <c r="CC128" s="243"/>
      <c r="CD128" s="243"/>
      <c r="CE128" s="243"/>
      <c r="CF128" s="243"/>
      <c r="CG128" s="243"/>
      <c r="CH128" s="243"/>
      <c r="CI128" s="243"/>
      <c r="CJ128" s="243"/>
      <c r="CK128" s="243"/>
      <c r="CL128" s="243"/>
      <c r="CM128" s="243"/>
      <c r="CN128" s="243"/>
      <c r="CO128" s="243"/>
      <c r="CP128" s="243"/>
      <c r="CQ128" s="243"/>
      <c r="CR128" s="243"/>
      <c r="CS128" s="243"/>
      <c r="CT128" s="243"/>
      <c r="CU128" s="243"/>
      <c r="CV128" s="243"/>
      <c r="CW128" s="243"/>
      <c r="CX128" s="243"/>
      <c r="CY128" s="66"/>
      <c r="CZ128" s="66"/>
      <c r="DA128" s="66"/>
      <c r="DB128" s="66"/>
      <c r="DC128" s="66"/>
      <c r="DD128" s="66"/>
      <c r="DE128" s="66"/>
      <c r="DF128" s="66"/>
      <c r="DG128" s="66"/>
      <c r="DH128" s="66"/>
      <c r="DI128" s="66"/>
      <c r="DJ128" s="66"/>
    </row>
    <row r="129" spans="11:114" ht="15.75" x14ac:dyDescent="0.25">
      <c r="K129" s="243"/>
      <c r="L129" s="243"/>
      <c r="M129" s="243"/>
      <c r="N129" s="243"/>
      <c r="O129" s="243"/>
      <c r="P129" s="243"/>
      <c r="Q129" s="243"/>
      <c r="R129" s="243"/>
      <c r="S129" s="243"/>
      <c r="T129" s="243"/>
      <c r="U129" s="243"/>
      <c r="V129" s="243"/>
      <c r="W129" s="243"/>
      <c r="X129" s="243"/>
      <c r="Y129" s="243"/>
      <c r="Z129" s="243"/>
      <c r="AA129" s="243"/>
      <c r="AB129" s="243"/>
      <c r="AC129" s="243"/>
      <c r="AD129" s="243"/>
      <c r="AE129" s="243"/>
      <c r="AF129" s="243"/>
      <c r="AG129" s="243"/>
      <c r="AH129" s="243"/>
      <c r="AI129" s="243"/>
      <c r="AJ129" s="243"/>
      <c r="AK129" s="243"/>
      <c r="AL129" s="243"/>
      <c r="AM129" s="243"/>
      <c r="AN129" s="243"/>
      <c r="AO129" s="243"/>
      <c r="AP129" s="243"/>
      <c r="AQ129" s="243"/>
      <c r="AR129" s="243"/>
      <c r="AS129" s="243"/>
      <c r="AT129" s="243"/>
      <c r="AU129" s="243"/>
      <c r="AV129" s="243"/>
      <c r="AW129" s="243"/>
      <c r="AX129" s="243"/>
      <c r="AY129" s="243"/>
      <c r="AZ129" s="243"/>
      <c r="BA129" s="243"/>
      <c r="BB129" s="243"/>
      <c r="BC129" s="243"/>
      <c r="BD129" s="243"/>
      <c r="BE129" s="243"/>
      <c r="BF129" s="243"/>
      <c r="BG129" s="243"/>
      <c r="BH129" s="243"/>
      <c r="BI129" s="243"/>
      <c r="BJ129" s="243"/>
      <c r="BK129" s="243"/>
      <c r="BL129" s="243"/>
      <c r="BM129" s="243"/>
      <c r="BN129" s="243"/>
      <c r="BO129" s="243"/>
      <c r="BP129" s="243"/>
      <c r="BQ129" s="243"/>
      <c r="BR129" s="243"/>
      <c r="BS129" s="243"/>
      <c r="BT129" s="243"/>
      <c r="BU129" s="243"/>
      <c r="BV129" s="243"/>
      <c r="BW129" s="243"/>
      <c r="BX129" s="243"/>
      <c r="BY129" s="243"/>
      <c r="BZ129" s="243"/>
      <c r="CA129" s="243"/>
      <c r="CB129" s="243"/>
      <c r="CC129" s="243"/>
      <c r="CD129" s="243"/>
      <c r="CE129" s="243"/>
      <c r="CF129" s="243"/>
      <c r="CG129" s="243"/>
      <c r="CH129" s="243"/>
      <c r="CI129" s="243"/>
      <c r="CJ129" s="243"/>
      <c r="CK129" s="243"/>
      <c r="CL129" s="243"/>
      <c r="CM129" s="243"/>
      <c r="CN129" s="243"/>
      <c r="CO129" s="243"/>
      <c r="CP129" s="243"/>
      <c r="CQ129" s="243"/>
      <c r="CR129" s="243"/>
      <c r="CS129" s="243"/>
      <c r="CT129" s="243"/>
      <c r="CU129" s="243"/>
      <c r="CV129" s="243"/>
      <c r="CW129" s="243"/>
      <c r="CX129" s="243"/>
      <c r="CY129" s="66"/>
      <c r="CZ129" s="66"/>
      <c r="DA129" s="66"/>
      <c r="DB129" s="66"/>
      <c r="DC129" s="66"/>
      <c r="DD129" s="66"/>
      <c r="DE129" s="66"/>
      <c r="DF129" s="66"/>
      <c r="DG129" s="66"/>
      <c r="DH129" s="66"/>
      <c r="DI129" s="66"/>
      <c r="DJ129" s="66"/>
    </row>
    <row r="130" spans="11:114" ht="15.75" x14ac:dyDescent="0.25">
      <c r="K130" s="243"/>
      <c r="L130" s="243"/>
      <c r="M130" s="243"/>
      <c r="N130" s="243"/>
      <c r="O130" s="243"/>
      <c r="P130" s="243"/>
      <c r="Q130" s="243"/>
      <c r="R130" s="243"/>
      <c r="S130" s="243"/>
      <c r="T130" s="243"/>
      <c r="U130" s="243"/>
      <c r="V130" s="243"/>
      <c r="W130" s="243"/>
      <c r="X130" s="243"/>
      <c r="Y130" s="243"/>
      <c r="Z130" s="243"/>
      <c r="AA130" s="243"/>
      <c r="AB130" s="243"/>
      <c r="AC130" s="243"/>
      <c r="AD130" s="243"/>
      <c r="AE130" s="243"/>
      <c r="AF130" s="243"/>
      <c r="AG130" s="243"/>
      <c r="AH130" s="243"/>
      <c r="AI130" s="243"/>
      <c r="AJ130" s="243"/>
      <c r="AK130" s="243"/>
      <c r="AL130" s="243"/>
      <c r="AM130" s="243"/>
      <c r="AN130" s="243"/>
      <c r="AO130" s="243"/>
      <c r="AP130" s="243"/>
      <c r="AQ130" s="243"/>
      <c r="AR130" s="243"/>
      <c r="AS130" s="243"/>
      <c r="AT130" s="243"/>
      <c r="AU130" s="243"/>
      <c r="AV130" s="243"/>
      <c r="AW130" s="243"/>
      <c r="AX130" s="243"/>
      <c r="AY130" s="243"/>
      <c r="AZ130" s="243"/>
      <c r="BA130" s="243"/>
      <c r="BB130" s="243"/>
      <c r="BC130" s="243"/>
      <c r="BD130" s="243"/>
      <c r="BE130" s="243"/>
      <c r="BF130" s="243"/>
      <c r="BG130" s="243"/>
      <c r="BH130" s="243"/>
      <c r="BI130" s="243"/>
      <c r="BJ130" s="243"/>
      <c r="BK130" s="243"/>
      <c r="BL130" s="243"/>
      <c r="BM130" s="243"/>
      <c r="BN130" s="243"/>
      <c r="BO130" s="243"/>
      <c r="BP130" s="243"/>
      <c r="BQ130" s="243"/>
      <c r="BR130" s="243"/>
      <c r="BS130" s="243"/>
      <c r="BT130" s="243"/>
      <c r="BU130" s="243"/>
      <c r="BV130" s="243"/>
      <c r="BW130" s="243"/>
      <c r="BX130" s="243"/>
      <c r="BY130" s="243"/>
      <c r="BZ130" s="243"/>
      <c r="CA130" s="243"/>
      <c r="CB130" s="243"/>
      <c r="CC130" s="243"/>
      <c r="CD130" s="243"/>
      <c r="CE130" s="243"/>
      <c r="CF130" s="243"/>
      <c r="CG130" s="243"/>
      <c r="CH130" s="243"/>
      <c r="CI130" s="243"/>
      <c r="CJ130" s="243"/>
      <c r="CK130" s="243"/>
      <c r="CL130" s="243"/>
      <c r="CM130" s="243"/>
      <c r="CN130" s="243"/>
      <c r="CO130" s="243"/>
      <c r="CP130" s="243"/>
      <c r="CQ130" s="243"/>
      <c r="CR130" s="243"/>
      <c r="CS130" s="243"/>
      <c r="CT130" s="243"/>
      <c r="CU130" s="243"/>
      <c r="CV130" s="243"/>
      <c r="CW130" s="243"/>
      <c r="CX130" s="243"/>
      <c r="CY130" s="66"/>
      <c r="CZ130" s="66"/>
      <c r="DA130" s="66"/>
      <c r="DB130" s="66"/>
      <c r="DC130" s="66"/>
      <c r="DD130" s="66"/>
      <c r="DE130" s="66"/>
      <c r="DF130" s="66"/>
      <c r="DG130" s="66"/>
      <c r="DH130" s="66"/>
      <c r="DI130" s="66"/>
      <c r="DJ130" s="66"/>
    </row>
    <row r="131" spans="11:114" ht="15.75" x14ac:dyDescent="0.25">
      <c r="K131" s="243"/>
      <c r="L131" s="243"/>
      <c r="M131" s="243"/>
      <c r="N131" s="243"/>
      <c r="O131" s="243"/>
      <c r="P131" s="243"/>
      <c r="Q131" s="243"/>
      <c r="R131" s="243"/>
      <c r="S131" s="243"/>
      <c r="T131" s="243"/>
      <c r="U131" s="243"/>
      <c r="V131" s="243"/>
      <c r="W131" s="243"/>
      <c r="X131" s="243"/>
      <c r="Y131" s="243"/>
      <c r="Z131" s="243"/>
      <c r="AA131" s="243"/>
      <c r="AB131" s="243"/>
      <c r="AC131" s="243"/>
      <c r="AD131" s="243"/>
      <c r="AE131" s="243"/>
      <c r="AF131" s="243"/>
      <c r="AG131" s="243"/>
      <c r="AH131" s="243"/>
      <c r="AI131" s="243"/>
      <c r="AJ131" s="243"/>
      <c r="AK131" s="243"/>
      <c r="AL131" s="243"/>
      <c r="AM131" s="243"/>
      <c r="AN131" s="243"/>
      <c r="AO131" s="243"/>
      <c r="AP131" s="243"/>
      <c r="AQ131" s="243"/>
      <c r="AR131" s="243"/>
      <c r="AS131" s="243"/>
      <c r="AT131" s="243"/>
      <c r="AU131" s="243"/>
      <c r="AV131" s="243"/>
      <c r="AW131" s="243"/>
      <c r="AX131" s="243"/>
      <c r="AY131" s="243"/>
      <c r="AZ131" s="243"/>
      <c r="BA131" s="243"/>
      <c r="BB131" s="243"/>
      <c r="BC131" s="243"/>
      <c r="BD131" s="243"/>
      <c r="BE131" s="243"/>
      <c r="BF131" s="243"/>
      <c r="BG131" s="243"/>
      <c r="BH131" s="243"/>
      <c r="BI131" s="243"/>
      <c r="BJ131" s="243"/>
      <c r="BK131" s="243"/>
      <c r="BL131" s="243"/>
      <c r="BM131" s="243"/>
      <c r="BN131" s="243"/>
      <c r="BO131" s="243"/>
      <c r="BP131" s="243"/>
      <c r="BQ131" s="243"/>
      <c r="BR131" s="243"/>
      <c r="BS131" s="243"/>
      <c r="BT131" s="243"/>
      <c r="BU131" s="243"/>
      <c r="BV131" s="243"/>
      <c r="BW131" s="243"/>
      <c r="BX131" s="243"/>
      <c r="BY131" s="243"/>
      <c r="BZ131" s="243"/>
      <c r="CA131" s="243"/>
      <c r="CB131" s="243"/>
      <c r="CC131" s="243"/>
      <c r="CD131" s="243"/>
      <c r="CE131" s="243"/>
      <c r="CF131" s="243"/>
      <c r="CG131" s="243"/>
      <c r="CH131" s="243"/>
      <c r="CI131" s="243"/>
      <c r="CJ131" s="243"/>
      <c r="CK131" s="243"/>
      <c r="CL131" s="243"/>
      <c r="CM131" s="243"/>
      <c r="CN131" s="243"/>
      <c r="CO131" s="243"/>
      <c r="CP131" s="243"/>
      <c r="CQ131" s="243"/>
      <c r="CR131" s="243"/>
      <c r="CS131" s="243"/>
      <c r="CT131" s="243"/>
      <c r="CU131" s="243"/>
      <c r="CV131" s="243"/>
      <c r="CW131" s="243"/>
      <c r="CX131" s="243"/>
      <c r="CY131" s="66"/>
      <c r="CZ131" s="66"/>
      <c r="DA131" s="66"/>
      <c r="DB131" s="66"/>
      <c r="DC131" s="66"/>
      <c r="DD131" s="66"/>
      <c r="DE131" s="66"/>
      <c r="DF131" s="66"/>
      <c r="DG131" s="66"/>
      <c r="DH131" s="66"/>
      <c r="DI131" s="66"/>
      <c r="DJ131" s="66"/>
    </row>
    <row r="132" spans="11:114" ht="15.75" x14ac:dyDescent="0.25">
      <c r="K132" s="243"/>
      <c r="L132" s="243"/>
      <c r="M132" s="243"/>
      <c r="N132" s="243"/>
      <c r="O132" s="243"/>
      <c r="P132" s="243"/>
      <c r="Q132" s="243"/>
      <c r="R132" s="243"/>
      <c r="S132" s="243"/>
      <c r="T132" s="243"/>
      <c r="U132" s="243"/>
      <c r="V132" s="243"/>
      <c r="W132" s="243"/>
      <c r="X132" s="243"/>
      <c r="Y132" s="243"/>
      <c r="Z132" s="243"/>
      <c r="AA132" s="243"/>
      <c r="AB132" s="243"/>
      <c r="AC132" s="243"/>
      <c r="AD132" s="243"/>
      <c r="AE132" s="243"/>
      <c r="AF132" s="243"/>
      <c r="AG132" s="243"/>
      <c r="AH132" s="243"/>
      <c r="AI132" s="243"/>
      <c r="AJ132" s="243"/>
      <c r="AK132" s="243"/>
      <c r="AL132" s="243"/>
      <c r="AM132" s="243"/>
      <c r="AN132" s="243"/>
      <c r="AO132" s="243"/>
      <c r="AP132" s="243"/>
      <c r="AQ132" s="243"/>
      <c r="AR132" s="243"/>
      <c r="AS132" s="243"/>
      <c r="AT132" s="243"/>
      <c r="AU132" s="243"/>
      <c r="AV132" s="243"/>
      <c r="AW132" s="243"/>
      <c r="AX132" s="243"/>
      <c r="AY132" s="243"/>
      <c r="AZ132" s="243"/>
      <c r="BA132" s="243"/>
      <c r="BB132" s="243"/>
      <c r="BC132" s="243"/>
      <c r="BD132" s="243"/>
      <c r="BE132" s="243"/>
      <c r="BF132" s="243"/>
      <c r="BG132" s="243"/>
      <c r="BH132" s="243"/>
      <c r="BI132" s="243"/>
      <c r="BJ132" s="243"/>
      <c r="BK132" s="243"/>
      <c r="BL132" s="243"/>
      <c r="BM132" s="243"/>
      <c r="BN132" s="243"/>
      <c r="BO132" s="243"/>
      <c r="BP132" s="243"/>
      <c r="BQ132" s="243"/>
      <c r="BR132" s="243"/>
      <c r="BS132" s="243"/>
      <c r="BT132" s="243"/>
      <c r="BU132" s="243"/>
      <c r="BV132" s="243"/>
      <c r="BW132" s="243"/>
      <c r="BX132" s="243"/>
      <c r="BY132" s="243"/>
      <c r="BZ132" s="243"/>
      <c r="CA132" s="243"/>
      <c r="CB132" s="243"/>
      <c r="CC132" s="243"/>
      <c r="CD132" s="243"/>
      <c r="CE132" s="243"/>
      <c r="CF132" s="243"/>
      <c r="CG132" s="243"/>
      <c r="CH132" s="243"/>
      <c r="CI132" s="243"/>
      <c r="CJ132" s="243"/>
      <c r="CK132" s="243"/>
      <c r="CL132" s="243"/>
      <c r="CM132" s="243"/>
      <c r="CN132" s="243"/>
      <c r="CO132" s="243"/>
      <c r="CP132" s="243"/>
      <c r="CQ132" s="243"/>
      <c r="CR132" s="243"/>
      <c r="CS132" s="243"/>
      <c r="CT132" s="243"/>
      <c r="CU132" s="243"/>
      <c r="CV132" s="243"/>
      <c r="CW132" s="243"/>
      <c r="CX132" s="243"/>
      <c r="CY132" s="66"/>
      <c r="CZ132" s="66"/>
      <c r="DA132" s="66"/>
      <c r="DB132" s="66"/>
      <c r="DC132" s="66"/>
      <c r="DD132" s="66"/>
      <c r="DE132" s="66"/>
      <c r="DF132" s="66"/>
      <c r="DG132" s="66"/>
      <c r="DH132" s="66"/>
      <c r="DI132" s="66"/>
      <c r="DJ132" s="66"/>
    </row>
    <row r="133" spans="11:114" ht="15.75" x14ac:dyDescent="0.25">
      <c r="K133" s="243"/>
      <c r="L133" s="243"/>
      <c r="M133" s="243"/>
      <c r="N133" s="243"/>
      <c r="O133" s="243"/>
      <c r="P133" s="243"/>
      <c r="Q133" s="243"/>
      <c r="R133" s="243"/>
      <c r="S133" s="243"/>
      <c r="T133" s="243"/>
      <c r="U133" s="243"/>
      <c r="V133" s="243"/>
      <c r="W133" s="243"/>
      <c r="X133" s="243"/>
      <c r="Y133" s="243"/>
      <c r="Z133" s="243"/>
      <c r="AA133" s="243"/>
      <c r="AB133" s="243"/>
      <c r="AC133" s="243"/>
      <c r="AD133" s="243"/>
      <c r="AE133" s="243"/>
      <c r="AF133" s="243"/>
      <c r="AG133" s="243"/>
      <c r="AH133" s="243"/>
      <c r="AI133" s="243"/>
      <c r="AJ133" s="243"/>
      <c r="AK133" s="243"/>
      <c r="AL133" s="243"/>
      <c r="AM133" s="243"/>
      <c r="AN133" s="243"/>
      <c r="AO133" s="243"/>
      <c r="AP133" s="243"/>
      <c r="AQ133" s="243"/>
      <c r="AR133" s="243"/>
      <c r="AS133" s="243"/>
      <c r="AT133" s="243"/>
      <c r="AU133" s="243"/>
      <c r="AV133" s="243"/>
      <c r="AW133" s="243"/>
      <c r="AX133" s="243"/>
      <c r="AY133" s="243"/>
      <c r="AZ133" s="243"/>
      <c r="BA133" s="243"/>
      <c r="BB133" s="243"/>
      <c r="BC133" s="243"/>
      <c r="BD133" s="243"/>
      <c r="BE133" s="243"/>
      <c r="BF133" s="243"/>
      <c r="BG133" s="243"/>
      <c r="BH133" s="243"/>
      <c r="BI133" s="243"/>
      <c r="BJ133" s="243"/>
      <c r="BK133" s="243"/>
      <c r="BL133" s="243"/>
      <c r="BM133" s="243"/>
      <c r="BN133" s="243"/>
      <c r="BO133" s="243"/>
      <c r="BP133" s="243"/>
      <c r="BQ133" s="243"/>
      <c r="BR133" s="243"/>
      <c r="BS133" s="243"/>
      <c r="BT133" s="243"/>
      <c r="BU133" s="243"/>
      <c r="BV133" s="243"/>
      <c r="BW133" s="243"/>
      <c r="BX133" s="243"/>
      <c r="BY133" s="243"/>
      <c r="BZ133" s="243"/>
      <c r="CA133" s="243"/>
      <c r="CB133" s="243"/>
      <c r="CC133" s="243"/>
      <c r="CD133" s="243"/>
      <c r="CE133" s="243"/>
      <c r="CF133" s="243"/>
      <c r="CG133" s="243"/>
      <c r="CH133" s="243"/>
      <c r="CI133" s="243"/>
      <c r="CJ133" s="243"/>
      <c r="CK133" s="243"/>
      <c r="CL133" s="243"/>
      <c r="CM133" s="243"/>
      <c r="CN133" s="243"/>
      <c r="CO133" s="243"/>
      <c r="CP133" s="243"/>
      <c r="CQ133" s="243"/>
      <c r="CR133" s="243"/>
      <c r="CS133" s="243"/>
      <c r="CT133" s="243"/>
      <c r="CU133" s="243"/>
      <c r="CV133" s="243"/>
      <c r="CW133" s="243"/>
      <c r="CX133" s="243"/>
      <c r="CY133" s="66"/>
      <c r="CZ133" s="66"/>
      <c r="DA133" s="66"/>
      <c r="DB133" s="66"/>
      <c r="DC133" s="66"/>
      <c r="DD133" s="66"/>
      <c r="DE133" s="66"/>
      <c r="DF133" s="66"/>
      <c r="DG133" s="66"/>
      <c r="DH133" s="66"/>
      <c r="DI133" s="66"/>
      <c r="DJ133" s="66"/>
    </row>
    <row r="149" spans="11:104" x14ac:dyDescent="0.2">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c r="AG149" s="136"/>
      <c r="AH149" s="136"/>
      <c r="AI149" s="136"/>
      <c r="AJ149" s="136"/>
      <c r="AK149" s="136"/>
      <c r="AL149" s="136"/>
      <c r="AM149" s="136"/>
      <c r="AN149" s="136"/>
      <c r="AO149" s="136"/>
      <c r="AP149" s="136"/>
      <c r="AQ149" s="136"/>
      <c r="AR149" s="136"/>
      <c r="AS149" s="136"/>
      <c r="AT149" s="136"/>
      <c r="AU149" s="136"/>
      <c r="AV149" s="136"/>
      <c r="AW149" s="136"/>
      <c r="AX149" s="136"/>
      <c r="AY149" s="136"/>
      <c r="AZ149" s="136"/>
      <c r="BA149" s="136"/>
      <c r="BB149" s="136"/>
      <c r="BC149" s="136"/>
      <c r="BD149" s="136"/>
      <c r="BE149" s="136"/>
      <c r="BF149" s="136"/>
      <c r="BG149" s="136"/>
      <c r="BH149" s="136"/>
      <c r="BI149" s="136"/>
      <c r="BJ149" s="136"/>
      <c r="BK149" s="136"/>
      <c r="BL149" s="136"/>
      <c r="BM149" s="136"/>
      <c r="BN149" s="136"/>
      <c r="BO149" s="136"/>
      <c r="BP149" s="136"/>
      <c r="BQ149" s="136"/>
      <c r="BR149" s="136"/>
      <c r="BS149" s="136"/>
      <c r="BT149" s="136"/>
      <c r="BU149" s="136"/>
      <c r="BV149" s="136"/>
      <c r="BW149" s="136"/>
      <c r="BX149" s="136"/>
      <c r="BY149" s="136"/>
      <c r="BZ149" s="136"/>
      <c r="CA149" s="136"/>
      <c r="CB149" s="136"/>
      <c r="CC149" s="136"/>
      <c r="CD149" s="136"/>
      <c r="CE149" s="136"/>
      <c r="CF149" s="136"/>
      <c r="CG149" s="136"/>
      <c r="CH149" s="136"/>
      <c r="CI149" s="136"/>
      <c r="CJ149" s="136"/>
      <c r="CK149" s="136"/>
      <c r="CL149" s="136"/>
      <c r="CM149" s="136"/>
      <c r="CN149" s="136"/>
      <c r="CO149" s="136"/>
      <c r="CP149" s="136"/>
      <c r="CQ149" s="136"/>
      <c r="CR149" s="136"/>
      <c r="CS149" s="136"/>
      <c r="CT149" s="136"/>
      <c r="CU149" s="136"/>
      <c r="CV149" s="136"/>
      <c r="CW149" s="136"/>
      <c r="CX149" s="136"/>
    </row>
    <row r="150" spans="11:104" x14ac:dyDescent="0.2">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c r="AG150" s="136"/>
      <c r="AH150" s="136"/>
      <c r="AI150" s="136"/>
      <c r="AJ150" s="136"/>
      <c r="AK150" s="136"/>
      <c r="AL150" s="136"/>
      <c r="AM150" s="136"/>
      <c r="AN150" s="136"/>
      <c r="AO150" s="136"/>
      <c r="AP150" s="136"/>
      <c r="AQ150" s="136"/>
      <c r="AR150" s="136"/>
      <c r="AS150" s="136"/>
      <c r="AT150" s="136"/>
      <c r="AU150" s="136"/>
      <c r="AV150" s="136"/>
      <c r="AW150" s="136"/>
      <c r="AX150" s="136"/>
      <c r="AY150" s="136"/>
      <c r="AZ150" s="136"/>
      <c r="BA150" s="136"/>
      <c r="BB150" s="136"/>
      <c r="BC150" s="136"/>
      <c r="BD150" s="136"/>
      <c r="BE150" s="136"/>
      <c r="BF150" s="136"/>
      <c r="BG150" s="136"/>
      <c r="BH150" s="136"/>
      <c r="BI150" s="136"/>
      <c r="BJ150" s="136"/>
      <c r="BK150" s="136"/>
      <c r="BL150" s="136"/>
      <c r="BM150" s="136"/>
      <c r="BN150" s="136"/>
      <c r="BO150" s="136"/>
      <c r="BP150" s="136"/>
      <c r="BQ150" s="136"/>
      <c r="BR150" s="136"/>
      <c r="BS150" s="136"/>
      <c r="BT150" s="136"/>
      <c r="BU150" s="136"/>
      <c r="BV150" s="136"/>
      <c r="BW150" s="136"/>
      <c r="BX150" s="136"/>
      <c r="BY150" s="136"/>
      <c r="BZ150" s="136"/>
      <c r="CA150" s="136"/>
      <c r="CB150" s="136"/>
      <c r="CC150" s="136"/>
      <c r="CD150" s="136"/>
      <c r="CE150" s="136"/>
      <c r="CF150" s="136"/>
      <c r="CG150" s="136"/>
      <c r="CH150" s="136"/>
      <c r="CI150" s="136"/>
      <c r="CJ150" s="136"/>
      <c r="CK150" s="136"/>
      <c r="CL150" s="136"/>
      <c r="CM150" s="136"/>
      <c r="CN150" s="136"/>
      <c r="CO150" s="136"/>
      <c r="CP150" s="136"/>
      <c r="CQ150" s="136"/>
      <c r="CR150" s="136"/>
      <c r="CS150" s="136"/>
      <c r="CT150" s="136"/>
      <c r="CU150" s="136"/>
      <c r="CV150" s="136"/>
      <c r="CW150" s="136"/>
      <c r="CX150" s="136"/>
    </row>
    <row r="151" spans="11:104" x14ac:dyDescent="0.2">
      <c r="K151" s="136" t="s">
        <v>518</v>
      </c>
      <c r="L151" s="136"/>
      <c r="M151" s="136"/>
      <c r="N151" s="136"/>
      <c r="O151" s="136"/>
      <c r="P151" s="136"/>
      <c r="Q151" s="136"/>
      <c r="R151" s="136"/>
      <c r="S151" s="136"/>
      <c r="T151" s="136"/>
      <c r="U151" s="136"/>
      <c r="V151" s="136"/>
      <c r="W151" s="136"/>
      <c r="X151" s="136"/>
      <c r="Y151" s="136"/>
      <c r="Z151" s="136"/>
      <c r="AA151" s="136"/>
      <c r="AB151" s="136"/>
      <c r="AC151" s="136"/>
      <c r="AD151" s="136"/>
      <c r="AE151" s="136"/>
      <c r="AF151" s="136"/>
      <c r="AG151" s="136"/>
      <c r="AH151" s="136"/>
      <c r="AI151" s="136"/>
      <c r="AJ151" s="136"/>
      <c r="AK151" s="136"/>
      <c r="AL151" s="136"/>
      <c r="AM151" s="136"/>
      <c r="AN151" s="136"/>
      <c r="AO151" s="136"/>
      <c r="AP151" s="136"/>
      <c r="AQ151" s="136"/>
      <c r="AR151" s="136"/>
      <c r="AS151" s="136"/>
      <c r="AT151" s="136"/>
      <c r="AU151" s="136"/>
      <c r="AV151" s="136"/>
      <c r="AW151" s="136"/>
      <c r="AX151" s="136"/>
      <c r="AY151" s="136"/>
      <c r="AZ151" s="136"/>
      <c r="BA151" s="136"/>
      <c r="BB151" s="136"/>
      <c r="BC151" s="136"/>
      <c r="BD151" s="136"/>
      <c r="BE151" s="136"/>
      <c r="BF151" s="136"/>
      <c r="BG151" s="136"/>
      <c r="BH151" s="136"/>
      <c r="BI151" s="136"/>
      <c r="BJ151" s="136"/>
      <c r="BK151" s="136"/>
      <c r="BL151" s="136"/>
      <c r="BM151" s="136"/>
      <c r="BN151" s="136"/>
      <c r="BO151" s="136"/>
      <c r="BP151" s="136"/>
      <c r="BQ151" s="136"/>
      <c r="BR151" s="136"/>
      <c r="BS151" s="136"/>
      <c r="BT151" s="136"/>
      <c r="BU151" s="136"/>
      <c r="BV151" s="136"/>
      <c r="BW151" s="136"/>
      <c r="BX151" s="136"/>
      <c r="BY151" s="136"/>
      <c r="BZ151" s="136"/>
      <c r="CA151" s="136"/>
      <c r="CB151" s="136"/>
      <c r="CC151" s="136"/>
      <c r="CD151" s="136"/>
      <c r="CE151" s="136"/>
      <c r="CF151" s="136"/>
      <c r="CG151" s="136"/>
      <c r="CH151" s="136"/>
      <c r="CI151" s="136"/>
      <c r="CJ151" s="136"/>
      <c r="CK151" s="136"/>
      <c r="CL151" s="136"/>
      <c r="CM151" s="136"/>
      <c r="CN151" s="136"/>
      <c r="CO151" s="136"/>
      <c r="CP151" s="136"/>
      <c r="CQ151" s="136"/>
      <c r="CR151" s="136"/>
      <c r="CS151" s="136"/>
      <c r="CT151" s="136"/>
      <c r="CU151" s="136"/>
      <c r="CV151" s="136"/>
      <c r="CW151" s="136"/>
      <c r="CX151" s="136"/>
      <c r="CY151" s="1"/>
      <c r="CZ151" s="136"/>
    </row>
    <row r="152" spans="11:104" x14ac:dyDescent="0.2">
      <c r="K152" s="1" t="s">
        <v>225</v>
      </c>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36"/>
    </row>
    <row r="153" spans="11:104" ht="13.5" thickBot="1" x14ac:dyDescent="0.25">
      <c r="K153" s="238"/>
      <c r="L153" s="238"/>
      <c r="M153" s="238"/>
      <c r="N153" s="238"/>
      <c r="O153" s="238"/>
      <c r="P153" s="238"/>
      <c r="Q153" s="238"/>
      <c r="R153" s="238"/>
      <c r="S153" s="238"/>
      <c r="T153" s="238"/>
      <c r="U153" s="238"/>
      <c r="V153" s="238"/>
      <c r="W153" s="238"/>
      <c r="X153" s="238"/>
      <c r="Y153" s="238"/>
      <c r="Z153" s="238"/>
      <c r="AA153" s="238"/>
      <c r="AB153" s="238"/>
      <c r="AC153" s="238"/>
      <c r="AD153" s="238"/>
      <c r="AE153" s="238"/>
      <c r="AF153" s="238"/>
      <c r="AG153" s="238"/>
      <c r="AH153" s="238"/>
      <c r="AI153" s="238"/>
      <c r="AJ153" s="238"/>
      <c r="AK153" s="238"/>
      <c r="AL153" s="238"/>
      <c r="AM153" s="238"/>
      <c r="AN153" s="238"/>
      <c r="AO153" s="238"/>
      <c r="AP153" s="238"/>
      <c r="AQ153" s="238"/>
      <c r="AR153" s="238"/>
      <c r="AS153" s="238"/>
      <c r="AT153" s="238"/>
      <c r="AU153" s="238"/>
      <c r="AV153" s="238"/>
      <c r="AW153" s="238"/>
      <c r="AX153" s="238"/>
      <c r="AY153" s="238"/>
      <c r="AZ153" s="238"/>
      <c r="BA153" s="238"/>
      <c r="BB153" s="238"/>
      <c r="BC153" s="238"/>
      <c r="BD153" s="238"/>
      <c r="BE153" s="238"/>
      <c r="BF153" s="238"/>
      <c r="BG153" s="238"/>
      <c r="BH153" s="238"/>
      <c r="BI153" s="238"/>
      <c r="BJ153" s="238"/>
      <c r="BK153" s="238"/>
      <c r="BL153" s="238"/>
      <c r="BM153" s="238"/>
      <c r="BN153" s="238"/>
      <c r="BO153" s="238"/>
      <c r="BP153" s="238"/>
      <c r="BQ153" s="238"/>
      <c r="BR153" s="238"/>
      <c r="BS153" s="238"/>
      <c r="BT153" s="238"/>
      <c r="BU153" s="238"/>
      <c r="BV153" s="238"/>
      <c r="BW153" s="238"/>
      <c r="BX153" s="238"/>
      <c r="BY153" s="238"/>
      <c r="BZ153" s="238"/>
      <c r="CA153" s="238"/>
      <c r="CB153" s="238"/>
      <c r="CC153" s="238"/>
      <c r="CD153" s="238"/>
      <c r="CE153" s="238"/>
      <c r="CF153" s="238"/>
      <c r="CG153" s="238"/>
      <c r="CH153" s="238"/>
      <c r="CI153" s="238"/>
      <c r="CJ153" s="238"/>
      <c r="CK153" s="238"/>
      <c r="CL153" s="238"/>
      <c r="CM153" s="238"/>
      <c r="CN153" s="238"/>
      <c r="CO153" s="238"/>
      <c r="CP153" s="238"/>
      <c r="CQ153" s="238"/>
      <c r="CR153" s="238"/>
      <c r="CS153" s="238"/>
      <c r="CT153" s="238"/>
      <c r="CU153" s="238"/>
      <c r="CV153" s="238"/>
      <c r="CW153" s="238"/>
      <c r="CX153" s="238"/>
      <c r="CY153" s="1" t="s">
        <v>494</v>
      </c>
      <c r="CZ153" s="136"/>
    </row>
    <row r="154" spans="11:104" ht="13.5" thickTop="1" x14ac:dyDescent="0.2">
      <c r="K154" s="67">
        <v>22647</v>
      </c>
      <c r="L154" s="205"/>
      <c r="M154" s="205"/>
      <c r="N154" s="205"/>
      <c r="O154" s="205"/>
      <c r="P154" s="205"/>
      <c r="Q154" s="205"/>
      <c r="R154" s="205"/>
      <c r="S154" s="205"/>
      <c r="T154" s="205"/>
      <c r="U154" s="205"/>
      <c r="V154" s="205"/>
      <c r="W154" s="205"/>
      <c r="X154" s="205"/>
      <c r="Y154" s="205"/>
      <c r="Z154" s="205"/>
      <c r="AA154" s="205"/>
      <c r="AB154" s="205"/>
      <c r="AC154" s="205"/>
      <c r="AD154" s="205"/>
      <c r="AE154" s="205"/>
      <c r="AF154" s="205"/>
      <c r="AG154" s="205"/>
      <c r="AH154" s="205"/>
      <c r="AI154" s="205"/>
      <c r="AJ154" s="205"/>
      <c r="AK154" s="205"/>
      <c r="AL154" s="205"/>
      <c r="AM154" s="205"/>
      <c r="AN154" s="205"/>
      <c r="AO154" s="205"/>
      <c r="AP154" s="205"/>
      <c r="AQ154" s="205"/>
      <c r="AR154" s="205"/>
      <c r="AS154" s="205"/>
      <c r="AT154" s="205"/>
      <c r="AU154" s="205"/>
      <c r="AV154" s="205"/>
      <c r="AW154" s="205"/>
      <c r="AX154" s="205"/>
      <c r="AY154" s="205"/>
      <c r="AZ154" s="205"/>
      <c r="BA154" s="205"/>
      <c r="BB154" s="205"/>
      <c r="BC154" s="205"/>
      <c r="BD154" s="205"/>
      <c r="BE154" s="205"/>
      <c r="BF154" s="205"/>
      <c r="BG154" s="205"/>
      <c r="BH154" s="205"/>
      <c r="BI154" s="205"/>
      <c r="BJ154" s="205"/>
      <c r="BK154" s="205"/>
      <c r="BL154" s="205"/>
      <c r="BM154" s="205"/>
      <c r="BN154" s="205"/>
      <c r="BO154" s="205"/>
      <c r="BP154" s="205"/>
      <c r="BQ154" s="205"/>
      <c r="BR154" s="205"/>
      <c r="BS154" s="205"/>
      <c r="BT154" s="205"/>
      <c r="BU154" s="205"/>
      <c r="BV154" s="205"/>
      <c r="BW154" s="205"/>
      <c r="BX154" s="205"/>
      <c r="BY154" s="205"/>
      <c r="BZ154" s="205"/>
      <c r="CA154" s="205"/>
      <c r="CB154" s="205"/>
      <c r="CC154" s="205"/>
      <c r="CD154" s="205"/>
      <c r="CE154" s="205"/>
      <c r="CF154" s="205"/>
      <c r="CG154" s="205"/>
      <c r="CH154" s="205"/>
      <c r="CI154" s="205"/>
      <c r="CJ154" s="205"/>
      <c r="CK154" s="205"/>
      <c r="CL154" s="205"/>
      <c r="CM154" s="205"/>
      <c r="CN154" s="205"/>
      <c r="CO154" s="205"/>
      <c r="CP154" s="205"/>
      <c r="CQ154" s="205"/>
      <c r="CR154" s="205"/>
      <c r="CS154" s="205"/>
      <c r="CT154" s="205"/>
      <c r="CU154" s="205"/>
      <c r="CV154" s="205"/>
      <c r="CW154" s="205"/>
      <c r="CX154" s="205"/>
      <c r="CY154" s="81">
        <v>30</v>
      </c>
      <c r="CZ154" s="6"/>
    </row>
    <row r="155" spans="11:104" x14ac:dyDescent="0.2">
      <c r="K155" s="96">
        <v>24492</v>
      </c>
      <c r="L155" s="135"/>
      <c r="M155" s="135"/>
      <c r="N155" s="135"/>
      <c r="O155" s="135"/>
      <c r="P155" s="135"/>
      <c r="Q155" s="135"/>
      <c r="R155" s="135"/>
      <c r="S155" s="135"/>
      <c r="T155" s="135"/>
      <c r="U155" s="135"/>
      <c r="V155" s="135"/>
      <c r="W155" s="135"/>
      <c r="X155" s="135"/>
      <c r="Y155" s="135"/>
      <c r="Z155" s="135"/>
      <c r="AA155" s="135"/>
      <c r="AB155" s="135"/>
      <c r="AC155" s="135"/>
      <c r="AD155" s="135"/>
      <c r="AE155" s="135"/>
      <c r="AF155" s="135"/>
      <c r="AG155" s="135"/>
      <c r="AH155" s="135"/>
      <c r="AI155" s="135"/>
      <c r="AJ155" s="135"/>
      <c r="AK155" s="135"/>
      <c r="AL155" s="135"/>
      <c r="AM155" s="135"/>
      <c r="AN155" s="135"/>
      <c r="AO155" s="135"/>
      <c r="AP155" s="135"/>
      <c r="AQ155" s="135"/>
      <c r="AR155" s="135"/>
      <c r="AS155" s="135"/>
      <c r="AT155" s="135"/>
      <c r="AU155" s="135"/>
      <c r="AV155" s="135"/>
      <c r="AW155" s="135"/>
      <c r="AX155" s="135"/>
      <c r="AY155" s="135"/>
      <c r="AZ155" s="135"/>
      <c r="BA155" s="135"/>
      <c r="BB155" s="135"/>
      <c r="BC155" s="135"/>
      <c r="BD155" s="135"/>
      <c r="BE155" s="135"/>
      <c r="BF155" s="135"/>
      <c r="BG155" s="135"/>
      <c r="BH155" s="135"/>
      <c r="BI155" s="135"/>
      <c r="BJ155" s="135"/>
      <c r="BK155" s="135"/>
      <c r="BL155" s="135"/>
      <c r="BM155" s="135"/>
      <c r="BN155" s="135"/>
      <c r="BO155" s="135"/>
      <c r="BP155" s="135"/>
      <c r="BQ155" s="135"/>
      <c r="BR155" s="135"/>
      <c r="BS155" s="135"/>
      <c r="BT155" s="135"/>
      <c r="BU155" s="135"/>
      <c r="BV155" s="135"/>
      <c r="BW155" s="135"/>
      <c r="BX155" s="135"/>
      <c r="BY155" s="135"/>
      <c r="BZ155" s="135"/>
      <c r="CA155" s="135"/>
      <c r="CB155" s="135"/>
      <c r="CC155" s="135"/>
      <c r="CD155" s="135"/>
      <c r="CE155" s="135"/>
      <c r="CF155" s="135"/>
      <c r="CG155" s="135"/>
      <c r="CH155" s="135"/>
      <c r="CI155" s="135"/>
      <c r="CJ155" s="135"/>
      <c r="CK155" s="135"/>
      <c r="CL155" s="135"/>
      <c r="CM155" s="135"/>
      <c r="CN155" s="135"/>
      <c r="CO155" s="135"/>
      <c r="CP155" s="135"/>
      <c r="CQ155" s="135"/>
      <c r="CR155" s="135"/>
      <c r="CS155" s="135"/>
      <c r="CT155" s="135"/>
      <c r="CU155" s="135"/>
      <c r="CV155" s="135"/>
      <c r="CW155" s="135"/>
      <c r="CX155" s="135"/>
      <c r="CY155" s="186">
        <v>30</v>
      </c>
      <c r="CZ155" s="122"/>
    </row>
    <row r="156" spans="11:104" x14ac:dyDescent="0.2">
      <c r="K156" s="96">
        <v>25569</v>
      </c>
      <c r="L156" s="135"/>
      <c r="M156" s="135"/>
      <c r="N156" s="135"/>
      <c r="O156" s="135"/>
      <c r="P156" s="135"/>
      <c r="Q156" s="135"/>
      <c r="R156" s="135"/>
      <c r="S156" s="135"/>
      <c r="T156" s="135"/>
      <c r="U156" s="135"/>
      <c r="V156" s="135"/>
      <c r="W156" s="135"/>
      <c r="X156" s="135"/>
      <c r="Y156" s="135"/>
      <c r="Z156" s="135"/>
      <c r="AA156" s="135"/>
      <c r="AB156" s="135"/>
      <c r="AC156" s="135"/>
      <c r="AD156" s="135"/>
      <c r="AE156" s="135"/>
      <c r="AF156" s="135"/>
      <c r="AG156" s="135"/>
      <c r="AH156" s="135"/>
      <c r="AI156" s="135"/>
      <c r="AJ156" s="135"/>
      <c r="AK156" s="135"/>
      <c r="AL156" s="135"/>
      <c r="AM156" s="135"/>
      <c r="AN156" s="135"/>
      <c r="AO156" s="135"/>
      <c r="AP156" s="135"/>
      <c r="AQ156" s="135"/>
      <c r="AR156" s="135"/>
      <c r="AS156" s="135"/>
      <c r="AT156" s="135"/>
      <c r="AU156" s="135"/>
      <c r="AV156" s="135"/>
      <c r="AW156" s="135"/>
      <c r="AX156" s="135"/>
      <c r="AY156" s="135"/>
      <c r="AZ156" s="135"/>
      <c r="BA156" s="135"/>
      <c r="BB156" s="135"/>
      <c r="BC156" s="135"/>
      <c r="BD156" s="135"/>
      <c r="BE156" s="135"/>
      <c r="BF156" s="135"/>
      <c r="BG156" s="135"/>
      <c r="BH156" s="135"/>
      <c r="BI156" s="135"/>
      <c r="BJ156" s="135"/>
      <c r="BK156" s="135"/>
      <c r="BL156" s="135"/>
      <c r="BM156" s="135"/>
      <c r="BN156" s="135"/>
      <c r="BO156" s="135"/>
      <c r="BP156" s="135"/>
      <c r="BQ156" s="135"/>
      <c r="BR156" s="135"/>
      <c r="BS156" s="135"/>
      <c r="BT156" s="135"/>
      <c r="BU156" s="135"/>
      <c r="BV156" s="135"/>
      <c r="BW156" s="135"/>
      <c r="BX156" s="135"/>
      <c r="BY156" s="135"/>
      <c r="BZ156" s="135"/>
      <c r="CA156" s="135"/>
      <c r="CB156" s="135"/>
      <c r="CC156" s="135"/>
      <c r="CD156" s="135"/>
      <c r="CE156" s="135"/>
      <c r="CF156" s="135"/>
      <c r="CG156" s="135"/>
      <c r="CH156" s="135"/>
      <c r="CI156" s="135"/>
      <c r="CJ156" s="135"/>
      <c r="CK156" s="135"/>
      <c r="CL156" s="135"/>
      <c r="CM156" s="135"/>
      <c r="CN156" s="135"/>
      <c r="CO156" s="135"/>
      <c r="CP156" s="135"/>
      <c r="CQ156" s="135"/>
      <c r="CR156" s="135"/>
      <c r="CS156" s="135"/>
      <c r="CT156" s="135"/>
      <c r="CU156" s="135"/>
      <c r="CV156" s="135"/>
      <c r="CW156" s="135"/>
      <c r="CX156" s="135"/>
      <c r="CY156" s="186">
        <v>30</v>
      </c>
      <c r="CZ156" s="122"/>
    </row>
    <row r="157" spans="11:104" x14ac:dyDescent="0.2">
      <c r="K157" s="96">
        <v>26299</v>
      </c>
      <c r="L157" s="135"/>
      <c r="M157" s="135"/>
      <c r="N157" s="135"/>
      <c r="O157" s="135"/>
      <c r="P157" s="135"/>
      <c r="Q157" s="135"/>
      <c r="R157" s="135"/>
      <c r="S157" s="135"/>
      <c r="T157" s="135"/>
      <c r="U157" s="135"/>
      <c r="V157" s="135"/>
      <c r="W157" s="135"/>
      <c r="X157" s="135"/>
      <c r="Y157" s="135"/>
      <c r="Z157" s="135"/>
      <c r="AA157" s="135"/>
      <c r="AB157" s="135"/>
      <c r="AC157" s="135"/>
      <c r="AD157" s="135"/>
      <c r="AE157" s="135"/>
      <c r="AF157" s="135"/>
      <c r="AG157" s="135"/>
      <c r="AH157" s="135"/>
      <c r="AI157" s="135"/>
      <c r="AJ157" s="135"/>
      <c r="AK157" s="135"/>
      <c r="AL157" s="135"/>
      <c r="AM157" s="135"/>
      <c r="AN157" s="135"/>
      <c r="AO157" s="135"/>
      <c r="AP157" s="135"/>
      <c r="AQ157" s="135"/>
      <c r="AR157" s="135"/>
      <c r="AS157" s="135"/>
      <c r="AT157" s="135"/>
      <c r="AU157" s="135"/>
      <c r="AV157" s="135"/>
      <c r="AW157" s="135"/>
      <c r="AX157" s="135"/>
      <c r="AY157" s="135"/>
      <c r="AZ157" s="135"/>
      <c r="BA157" s="135"/>
      <c r="BB157" s="135"/>
      <c r="BC157" s="135"/>
      <c r="BD157" s="135"/>
      <c r="BE157" s="135"/>
      <c r="BF157" s="135"/>
      <c r="BG157" s="135"/>
      <c r="BH157" s="135"/>
      <c r="BI157" s="135"/>
      <c r="BJ157" s="135"/>
      <c r="BK157" s="135"/>
      <c r="BL157" s="135"/>
      <c r="BM157" s="135"/>
      <c r="BN157" s="135"/>
      <c r="BO157" s="135"/>
      <c r="BP157" s="135"/>
      <c r="BQ157" s="135"/>
      <c r="BR157" s="135"/>
      <c r="BS157" s="135"/>
      <c r="BT157" s="135"/>
      <c r="BU157" s="135"/>
      <c r="BV157" s="135"/>
      <c r="BW157" s="135"/>
      <c r="BX157" s="135"/>
      <c r="BY157" s="135"/>
      <c r="BZ157" s="135"/>
      <c r="CA157" s="135"/>
      <c r="CB157" s="135"/>
      <c r="CC157" s="135"/>
      <c r="CD157" s="135"/>
      <c r="CE157" s="135"/>
      <c r="CF157" s="135"/>
      <c r="CG157" s="135"/>
      <c r="CH157" s="135"/>
      <c r="CI157" s="135"/>
      <c r="CJ157" s="135"/>
      <c r="CK157" s="135"/>
      <c r="CL157" s="135"/>
      <c r="CM157" s="135"/>
      <c r="CN157" s="135"/>
      <c r="CO157" s="135"/>
      <c r="CP157" s="135"/>
      <c r="CQ157" s="135"/>
      <c r="CR157" s="135"/>
      <c r="CS157" s="135"/>
      <c r="CT157" s="135"/>
      <c r="CU157" s="135"/>
      <c r="CV157" s="135"/>
      <c r="CW157" s="135"/>
      <c r="CX157" s="135"/>
      <c r="CY157" s="186">
        <v>30</v>
      </c>
      <c r="CZ157" s="122"/>
    </row>
    <row r="158" spans="11:104" x14ac:dyDescent="0.2">
      <c r="K158" s="96">
        <v>27395</v>
      </c>
      <c r="L158" s="135"/>
      <c r="M158" s="135"/>
      <c r="N158" s="135"/>
      <c r="O158" s="135"/>
      <c r="P158" s="135"/>
      <c r="Q158" s="135"/>
      <c r="R158" s="135"/>
      <c r="S158" s="135"/>
      <c r="T158" s="135"/>
      <c r="U158" s="135"/>
      <c r="V158" s="135"/>
      <c r="W158" s="135"/>
      <c r="X158" s="135"/>
      <c r="Y158" s="135"/>
      <c r="Z158" s="135"/>
      <c r="AA158" s="135"/>
      <c r="AB158" s="135"/>
      <c r="AC158" s="135"/>
      <c r="AD158" s="135"/>
      <c r="AE158" s="135"/>
      <c r="AF158" s="135"/>
      <c r="AG158" s="135"/>
      <c r="AH158" s="135"/>
      <c r="AI158" s="135"/>
      <c r="AJ158" s="135"/>
      <c r="AK158" s="135"/>
      <c r="AL158" s="135"/>
      <c r="AM158" s="135"/>
      <c r="AN158" s="135"/>
      <c r="AO158" s="135"/>
      <c r="AP158" s="135"/>
      <c r="AQ158" s="135"/>
      <c r="AR158" s="135"/>
      <c r="AS158" s="135"/>
      <c r="AT158" s="135"/>
      <c r="AU158" s="135"/>
      <c r="AV158" s="135"/>
      <c r="AW158" s="135"/>
      <c r="AX158" s="135"/>
      <c r="AY158" s="135"/>
      <c r="AZ158" s="135"/>
      <c r="BA158" s="135"/>
      <c r="BB158" s="135"/>
      <c r="BC158" s="135"/>
      <c r="BD158" s="135"/>
      <c r="BE158" s="135"/>
      <c r="BF158" s="135"/>
      <c r="BG158" s="135"/>
      <c r="BH158" s="135"/>
      <c r="BI158" s="135"/>
      <c r="BJ158" s="135"/>
      <c r="BK158" s="135"/>
      <c r="BL158" s="135"/>
      <c r="BM158" s="135"/>
      <c r="BN158" s="135"/>
      <c r="BO158" s="135"/>
      <c r="BP158" s="135"/>
      <c r="BQ158" s="135"/>
      <c r="BR158" s="135"/>
      <c r="BS158" s="135"/>
      <c r="BT158" s="135"/>
      <c r="BU158" s="135"/>
      <c r="BV158" s="135"/>
      <c r="BW158" s="135"/>
      <c r="BX158" s="135"/>
      <c r="BY158" s="135"/>
      <c r="BZ158" s="135"/>
      <c r="CA158" s="135"/>
      <c r="CB158" s="135"/>
      <c r="CC158" s="135"/>
      <c r="CD158" s="135"/>
      <c r="CE158" s="135"/>
      <c r="CF158" s="135"/>
      <c r="CG158" s="135"/>
      <c r="CH158" s="135"/>
      <c r="CI158" s="135"/>
      <c r="CJ158" s="135"/>
      <c r="CK158" s="135"/>
      <c r="CL158" s="135"/>
      <c r="CM158" s="135"/>
      <c r="CN158" s="135"/>
      <c r="CO158" s="135"/>
      <c r="CP158" s="135"/>
      <c r="CQ158" s="135"/>
      <c r="CR158" s="135"/>
      <c r="CS158" s="135"/>
      <c r="CT158" s="135"/>
      <c r="CU158" s="135"/>
      <c r="CV158" s="135"/>
      <c r="CW158" s="135"/>
      <c r="CX158" s="135"/>
      <c r="CY158" s="186">
        <v>30</v>
      </c>
      <c r="CZ158" s="122"/>
    </row>
    <row r="159" spans="11:104" x14ac:dyDescent="0.2">
      <c r="K159" s="96">
        <v>27760</v>
      </c>
      <c r="L159" s="135"/>
      <c r="M159" s="135"/>
      <c r="N159" s="135"/>
      <c r="O159" s="135"/>
      <c r="P159" s="135"/>
      <c r="Q159" s="135"/>
      <c r="R159" s="135"/>
      <c r="S159" s="135"/>
      <c r="T159" s="135"/>
      <c r="U159" s="135"/>
      <c r="V159" s="135"/>
      <c r="W159" s="135"/>
      <c r="X159" s="135"/>
      <c r="Y159" s="135"/>
      <c r="Z159" s="135"/>
      <c r="AA159" s="135"/>
      <c r="AB159" s="135"/>
      <c r="AC159" s="135"/>
      <c r="AD159" s="135"/>
      <c r="AE159" s="135"/>
      <c r="AF159" s="135"/>
      <c r="AG159" s="135"/>
      <c r="AH159" s="135"/>
      <c r="AI159" s="135"/>
      <c r="AJ159" s="135"/>
      <c r="AK159" s="135"/>
      <c r="AL159" s="135"/>
      <c r="AM159" s="135"/>
      <c r="AN159" s="135"/>
      <c r="AO159" s="135"/>
      <c r="AP159" s="135"/>
      <c r="AQ159" s="135"/>
      <c r="AR159" s="135"/>
      <c r="AS159" s="135"/>
      <c r="AT159" s="135"/>
      <c r="AU159" s="135"/>
      <c r="AV159" s="135"/>
      <c r="AW159" s="135"/>
      <c r="AX159" s="135"/>
      <c r="AY159" s="135"/>
      <c r="AZ159" s="135"/>
      <c r="BA159" s="135"/>
      <c r="BB159" s="135"/>
      <c r="BC159" s="135"/>
      <c r="BD159" s="135"/>
      <c r="BE159" s="135"/>
      <c r="BF159" s="135"/>
      <c r="BG159" s="135"/>
      <c r="BH159" s="135"/>
      <c r="BI159" s="135"/>
      <c r="BJ159" s="135"/>
      <c r="BK159" s="135"/>
      <c r="BL159" s="135"/>
      <c r="BM159" s="135"/>
      <c r="BN159" s="135"/>
      <c r="BO159" s="135"/>
      <c r="BP159" s="135"/>
      <c r="BQ159" s="135"/>
      <c r="BR159" s="135"/>
      <c r="BS159" s="135"/>
      <c r="BT159" s="135"/>
      <c r="BU159" s="135"/>
      <c r="BV159" s="135"/>
      <c r="BW159" s="135"/>
      <c r="BX159" s="135"/>
      <c r="BY159" s="135"/>
      <c r="BZ159" s="135"/>
      <c r="CA159" s="135"/>
      <c r="CB159" s="135"/>
      <c r="CC159" s="135"/>
      <c r="CD159" s="135"/>
      <c r="CE159" s="135"/>
      <c r="CF159" s="135"/>
      <c r="CG159" s="135"/>
      <c r="CH159" s="135"/>
      <c r="CI159" s="135"/>
      <c r="CJ159" s="135"/>
      <c r="CK159" s="135"/>
      <c r="CL159" s="135"/>
      <c r="CM159" s="135"/>
      <c r="CN159" s="135"/>
      <c r="CO159" s="135"/>
      <c r="CP159" s="135"/>
      <c r="CQ159" s="135"/>
      <c r="CR159" s="135"/>
      <c r="CS159" s="135"/>
      <c r="CT159" s="135"/>
      <c r="CU159" s="135"/>
      <c r="CV159" s="135"/>
      <c r="CW159" s="135"/>
      <c r="CX159" s="135"/>
      <c r="CY159" s="186">
        <v>30</v>
      </c>
      <c r="CZ159" s="122"/>
    </row>
    <row r="160" spans="11:104" x14ac:dyDescent="0.2">
      <c r="K160" s="96">
        <v>28126</v>
      </c>
      <c r="L160" s="135"/>
      <c r="M160" s="135"/>
      <c r="N160" s="135"/>
      <c r="O160" s="135"/>
      <c r="P160" s="135"/>
      <c r="Q160" s="135"/>
      <c r="R160" s="135"/>
      <c r="S160" s="135"/>
      <c r="T160" s="135"/>
      <c r="U160" s="135"/>
      <c r="V160" s="135"/>
      <c r="W160" s="135"/>
      <c r="X160" s="135"/>
      <c r="Y160" s="135"/>
      <c r="Z160" s="135"/>
      <c r="AA160" s="135"/>
      <c r="AB160" s="135"/>
      <c r="AC160" s="135"/>
      <c r="AD160" s="135"/>
      <c r="AE160" s="135"/>
      <c r="AF160" s="135"/>
      <c r="AG160" s="135"/>
      <c r="AH160" s="135"/>
      <c r="AI160" s="135"/>
      <c r="AJ160" s="135"/>
      <c r="AK160" s="135"/>
      <c r="AL160" s="135"/>
      <c r="AM160" s="135"/>
      <c r="AN160" s="135"/>
      <c r="AO160" s="135"/>
      <c r="AP160" s="135"/>
      <c r="AQ160" s="135"/>
      <c r="AR160" s="135"/>
      <c r="AS160" s="135"/>
      <c r="AT160" s="135"/>
      <c r="AU160" s="135"/>
      <c r="AV160" s="135"/>
      <c r="AW160" s="135"/>
      <c r="AX160" s="135"/>
      <c r="AY160" s="135"/>
      <c r="AZ160" s="135"/>
      <c r="BA160" s="135"/>
      <c r="BB160" s="135"/>
      <c r="BC160" s="135"/>
      <c r="BD160" s="135"/>
      <c r="BE160" s="135"/>
      <c r="BF160" s="135"/>
      <c r="BG160" s="135"/>
      <c r="BH160" s="135"/>
      <c r="BI160" s="135"/>
      <c r="BJ160" s="135"/>
      <c r="BK160" s="135"/>
      <c r="BL160" s="135"/>
      <c r="BM160" s="135"/>
      <c r="BN160" s="135"/>
      <c r="BO160" s="135"/>
      <c r="BP160" s="135"/>
      <c r="BQ160" s="135"/>
      <c r="BR160" s="135"/>
      <c r="BS160" s="135"/>
      <c r="BT160" s="135"/>
      <c r="BU160" s="135"/>
      <c r="BV160" s="135"/>
      <c r="BW160" s="135"/>
      <c r="BX160" s="135"/>
      <c r="BY160" s="135"/>
      <c r="BZ160" s="135"/>
      <c r="CA160" s="135"/>
      <c r="CB160" s="135"/>
      <c r="CC160" s="135"/>
      <c r="CD160" s="135"/>
      <c r="CE160" s="135"/>
      <c r="CF160" s="135"/>
      <c r="CG160" s="135"/>
      <c r="CH160" s="135"/>
      <c r="CI160" s="135"/>
      <c r="CJ160" s="135"/>
      <c r="CK160" s="135"/>
      <c r="CL160" s="135"/>
      <c r="CM160" s="135"/>
      <c r="CN160" s="135"/>
      <c r="CO160" s="135"/>
      <c r="CP160" s="135"/>
      <c r="CQ160" s="135"/>
      <c r="CR160" s="135"/>
      <c r="CS160" s="135"/>
      <c r="CT160" s="135"/>
      <c r="CU160" s="135"/>
      <c r="CV160" s="135"/>
      <c r="CW160" s="135"/>
      <c r="CX160" s="135"/>
      <c r="CY160" s="186">
        <v>35</v>
      </c>
      <c r="CZ160" s="122"/>
    </row>
    <row r="161" spans="11:124" x14ac:dyDescent="0.2">
      <c r="K161" s="96">
        <v>28856</v>
      </c>
      <c r="L161" s="135"/>
      <c r="M161" s="135"/>
      <c r="N161" s="135"/>
      <c r="O161" s="135"/>
      <c r="P161" s="135"/>
      <c r="Q161" s="135"/>
      <c r="R161" s="135"/>
      <c r="S161" s="135"/>
      <c r="T161" s="135"/>
      <c r="U161" s="135"/>
      <c r="V161" s="135"/>
      <c r="W161" s="135"/>
      <c r="X161" s="135"/>
      <c r="Y161" s="135"/>
      <c r="Z161" s="135"/>
      <c r="AA161" s="135"/>
      <c r="AB161" s="135"/>
      <c r="AC161" s="135"/>
      <c r="AD161" s="135"/>
      <c r="AE161" s="135"/>
      <c r="AF161" s="135"/>
      <c r="AG161" s="135"/>
      <c r="AH161" s="135"/>
      <c r="AI161" s="135"/>
      <c r="AJ161" s="135"/>
      <c r="AK161" s="135"/>
      <c r="AL161" s="135"/>
      <c r="AM161" s="135"/>
      <c r="AN161" s="135"/>
      <c r="AO161" s="135"/>
      <c r="AP161" s="135"/>
      <c r="AQ161" s="135"/>
      <c r="AR161" s="135"/>
      <c r="AS161" s="135"/>
      <c r="AT161" s="135"/>
      <c r="AU161" s="135"/>
      <c r="AV161" s="135"/>
      <c r="AW161" s="135"/>
      <c r="AX161" s="135"/>
      <c r="AY161" s="135"/>
      <c r="AZ161" s="135"/>
      <c r="BA161" s="135"/>
      <c r="BB161" s="135"/>
      <c r="BC161" s="135"/>
      <c r="BD161" s="135"/>
      <c r="BE161" s="135"/>
      <c r="BF161" s="135"/>
      <c r="BG161" s="135"/>
      <c r="BH161" s="135"/>
      <c r="BI161" s="135"/>
      <c r="BJ161" s="135"/>
      <c r="BK161" s="135"/>
      <c r="BL161" s="135"/>
      <c r="BM161" s="135"/>
      <c r="BN161" s="135"/>
      <c r="BO161" s="135"/>
      <c r="BP161" s="135"/>
      <c r="BQ161" s="135"/>
      <c r="BR161" s="135"/>
      <c r="BS161" s="135"/>
      <c r="BT161" s="135"/>
      <c r="BU161" s="135"/>
      <c r="BV161" s="135"/>
      <c r="BW161" s="135"/>
      <c r="BX161" s="135"/>
      <c r="BY161" s="135"/>
      <c r="BZ161" s="135"/>
      <c r="CA161" s="135"/>
      <c r="CB161" s="135"/>
      <c r="CC161" s="135"/>
      <c r="CD161" s="135"/>
      <c r="CE161" s="135"/>
      <c r="CF161" s="135"/>
      <c r="CG161" s="135"/>
      <c r="CH161" s="135"/>
      <c r="CI161" s="135"/>
      <c r="CJ161" s="135"/>
      <c r="CK161" s="135"/>
      <c r="CL161" s="135"/>
      <c r="CM161" s="135"/>
      <c r="CN161" s="135"/>
      <c r="CO161" s="135"/>
      <c r="CP161" s="135"/>
      <c r="CQ161" s="135"/>
      <c r="CR161" s="135"/>
      <c r="CS161" s="135"/>
      <c r="CT161" s="135"/>
      <c r="CU161" s="135"/>
      <c r="CV161" s="135"/>
      <c r="CW161" s="135"/>
      <c r="CX161" s="135"/>
      <c r="CY161" s="186">
        <v>35</v>
      </c>
      <c r="CZ161" s="122"/>
      <c r="DT161" s="45"/>
    </row>
    <row r="162" spans="11:124" x14ac:dyDescent="0.2">
      <c r="K162" s="96">
        <v>29312</v>
      </c>
      <c r="L162" s="135"/>
      <c r="M162" s="135"/>
      <c r="N162" s="135"/>
      <c r="O162" s="135"/>
      <c r="P162" s="135"/>
      <c r="Q162" s="135"/>
      <c r="R162" s="135"/>
      <c r="S162" s="135"/>
      <c r="T162" s="135"/>
      <c r="U162" s="135"/>
      <c r="V162" s="135"/>
      <c r="W162" s="135"/>
      <c r="X162" s="135"/>
      <c r="Y162" s="135"/>
      <c r="Z162" s="135"/>
      <c r="AA162" s="135"/>
      <c r="AB162" s="135"/>
      <c r="AC162" s="135"/>
      <c r="AD162" s="135"/>
      <c r="AE162" s="135"/>
      <c r="AF162" s="135"/>
      <c r="AG162" s="135"/>
      <c r="AH162" s="135"/>
      <c r="AI162" s="135"/>
      <c r="AJ162" s="135"/>
      <c r="AK162" s="135"/>
      <c r="AL162" s="135"/>
      <c r="AM162" s="135"/>
      <c r="AN162" s="135"/>
      <c r="AO162" s="135"/>
      <c r="AP162" s="135"/>
      <c r="AQ162" s="135"/>
      <c r="AR162" s="135"/>
      <c r="AS162" s="135"/>
      <c r="AT162" s="135"/>
      <c r="AU162" s="135"/>
      <c r="AV162" s="135"/>
      <c r="AW162" s="135"/>
      <c r="AX162" s="135"/>
      <c r="AY162" s="135"/>
      <c r="AZ162" s="135"/>
      <c r="BA162" s="135"/>
      <c r="BB162" s="135"/>
      <c r="BC162" s="135"/>
      <c r="BD162" s="135"/>
      <c r="BE162" s="135"/>
      <c r="BF162" s="135"/>
      <c r="BG162" s="135"/>
      <c r="BH162" s="135"/>
      <c r="BI162" s="135"/>
      <c r="BJ162" s="135"/>
      <c r="BK162" s="135"/>
      <c r="BL162" s="135"/>
      <c r="BM162" s="135"/>
      <c r="BN162" s="135"/>
      <c r="BO162" s="135"/>
      <c r="BP162" s="135"/>
      <c r="BQ162" s="135"/>
      <c r="BR162" s="135"/>
      <c r="BS162" s="135"/>
      <c r="BT162" s="135"/>
      <c r="BU162" s="135"/>
      <c r="BV162" s="135"/>
      <c r="BW162" s="135"/>
      <c r="BX162" s="135"/>
      <c r="BY162" s="135"/>
      <c r="BZ162" s="135"/>
      <c r="CA162" s="135"/>
      <c r="CB162" s="135"/>
      <c r="CC162" s="135"/>
      <c r="CD162" s="135"/>
      <c r="CE162" s="135"/>
      <c r="CF162" s="135"/>
      <c r="CG162" s="135"/>
      <c r="CH162" s="135"/>
      <c r="CI162" s="135"/>
      <c r="CJ162" s="135"/>
      <c r="CK162" s="135"/>
      <c r="CL162" s="135"/>
      <c r="CM162" s="135"/>
      <c r="CN162" s="135"/>
      <c r="CO162" s="135"/>
      <c r="CP162" s="135"/>
      <c r="CQ162" s="135"/>
      <c r="CR162" s="135"/>
      <c r="CS162" s="135"/>
      <c r="CT162" s="135"/>
      <c r="CU162" s="135"/>
      <c r="CV162" s="135"/>
      <c r="CW162" s="135"/>
      <c r="CX162" s="135"/>
      <c r="CY162" s="186">
        <v>35</v>
      </c>
      <c r="CZ162" s="122"/>
    </row>
    <row r="163" spans="11:124" x14ac:dyDescent="0.2">
      <c r="K163" s="96">
        <v>29677</v>
      </c>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c r="AX163" s="135"/>
      <c r="AY163" s="135"/>
      <c r="AZ163" s="135"/>
      <c r="BA163" s="135"/>
      <c r="BB163" s="135"/>
      <c r="BC163" s="135"/>
      <c r="BD163" s="135"/>
      <c r="BE163" s="135"/>
      <c r="BF163" s="135"/>
      <c r="BG163" s="135"/>
      <c r="BH163" s="135"/>
      <c r="BI163" s="135"/>
      <c r="BJ163" s="135"/>
      <c r="BK163" s="135"/>
      <c r="BL163" s="135"/>
      <c r="BM163" s="135"/>
      <c r="BN163" s="135"/>
      <c r="BO163" s="135"/>
      <c r="BP163" s="135"/>
      <c r="BQ163" s="135"/>
      <c r="BR163" s="135"/>
      <c r="BS163" s="135"/>
      <c r="BT163" s="135"/>
      <c r="BU163" s="135"/>
      <c r="BV163" s="135"/>
      <c r="BW163" s="135"/>
      <c r="BX163" s="135"/>
      <c r="BY163" s="135"/>
      <c r="BZ163" s="135"/>
      <c r="CA163" s="135"/>
      <c r="CB163" s="135"/>
      <c r="CC163" s="135"/>
      <c r="CD163" s="135"/>
      <c r="CE163" s="135"/>
      <c r="CF163" s="135"/>
      <c r="CG163" s="135"/>
      <c r="CH163" s="135"/>
      <c r="CI163" s="135"/>
      <c r="CJ163" s="135"/>
      <c r="CK163" s="135"/>
      <c r="CL163" s="135"/>
      <c r="CM163" s="135"/>
      <c r="CN163" s="135"/>
      <c r="CO163" s="135"/>
      <c r="CP163" s="135"/>
      <c r="CQ163" s="135"/>
      <c r="CR163" s="135"/>
      <c r="CS163" s="135"/>
      <c r="CT163" s="135"/>
      <c r="CU163" s="135"/>
      <c r="CV163" s="135"/>
      <c r="CW163" s="135"/>
      <c r="CX163" s="135"/>
      <c r="CY163" s="186">
        <v>35</v>
      </c>
      <c r="CZ163" s="122"/>
    </row>
    <row r="164" spans="11:124" x14ac:dyDescent="0.2">
      <c r="K164" s="96">
        <v>30042</v>
      </c>
      <c r="L164" s="135"/>
      <c r="M164" s="135"/>
      <c r="N164" s="135"/>
      <c r="O164" s="135"/>
      <c r="P164" s="135"/>
      <c r="Q164" s="135"/>
      <c r="R164" s="135"/>
      <c r="S164" s="135"/>
      <c r="T164" s="135"/>
      <c r="U164" s="135"/>
      <c r="V164" s="135"/>
      <c r="W164" s="135"/>
      <c r="X164" s="135"/>
      <c r="Y164" s="135"/>
      <c r="Z164" s="135"/>
      <c r="AA164" s="135"/>
      <c r="AB164" s="135"/>
      <c r="AC164" s="135"/>
      <c r="AD164" s="135"/>
      <c r="AE164" s="135"/>
      <c r="AF164" s="135"/>
      <c r="AG164" s="135"/>
      <c r="AH164" s="135"/>
      <c r="AI164" s="135"/>
      <c r="AJ164" s="135"/>
      <c r="AK164" s="135"/>
      <c r="AL164" s="135"/>
      <c r="AM164" s="135"/>
      <c r="AN164" s="135"/>
      <c r="AO164" s="135"/>
      <c r="AP164" s="135"/>
      <c r="AQ164" s="135"/>
      <c r="AR164" s="135"/>
      <c r="AS164" s="135"/>
      <c r="AT164" s="135"/>
      <c r="AU164" s="135"/>
      <c r="AV164" s="135"/>
      <c r="AW164" s="135"/>
      <c r="AX164" s="135"/>
      <c r="AY164" s="135"/>
      <c r="AZ164" s="135"/>
      <c r="BA164" s="135"/>
      <c r="BB164" s="135"/>
      <c r="BC164" s="135"/>
      <c r="BD164" s="135"/>
      <c r="BE164" s="135"/>
      <c r="BF164" s="135"/>
      <c r="BG164" s="135"/>
      <c r="BH164" s="135"/>
      <c r="BI164" s="135"/>
      <c r="BJ164" s="135"/>
      <c r="BK164" s="135"/>
      <c r="BL164" s="135"/>
      <c r="BM164" s="135"/>
      <c r="BN164" s="135"/>
      <c r="BO164" s="135"/>
      <c r="BP164" s="135"/>
      <c r="BQ164" s="135"/>
      <c r="BR164" s="135"/>
      <c r="BS164" s="135"/>
      <c r="BT164" s="135"/>
      <c r="BU164" s="135"/>
      <c r="BV164" s="135"/>
      <c r="BW164" s="135"/>
      <c r="BX164" s="135"/>
      <c r="BY164" s="135"/>
      <c r="BZ164" s="135"/>
      <c r="CA164" s="135"/>
      <c r="CB164" s="135"/>
      <c r="CC164" s="135"/>
      <c r="CD164" s="135"/>
      <c r="CE164" s="135"/>
      <c r="CF164" s="135"/>
      <c r="CG164" s="135"/>
      <c r="CH164" s="135"/>
      <c r="CI164" s="135"/>
      <c r="CJ164" s="135"/>
      <c r="CK164" s="135"/>
      <c r="CL164" s="135"/>
      <c r="CM164" s="135"/>
      <c r="CN164" s="135"/>
      <c r="CO164" s="135"/>
      <c r="CP164" s="135"/>
      <c r="CQ164" s="135"/>
      <c r="CR164" s="135"/>
      <c r="CS164" s="135"/>
      <c r="CT164" s="135"/>
      <c r="CU164" s="135"/>
      <c r="CV164" s="135"/>
      <c r="CW164" s="135"/>
      <c r="CX164" s="135"/>
      <c r="CY164" s="186">
        <v>35</v>
      </c>
      <c r="CZ164" s="122"/>
    </row>
    <row r="165" spans="11:124" x14ac:dyDescent="0.2">
      <c r="K165" s="96">
        <v>30773</v>
      </c>
      <c r="L165" s="135"/>
      <c r="M165" s="135"/>
      <c r="N165" s="135"/>
      <c r="O165" s="135"/>
      <c r="P165" s="135"/>
      <c r="Q165" s="135"/>
      <c r="R165" s="135"/>
      <c r="S165" s="135"/>
      <c r="T165" s="135"/>
      <c r="U165" s="135"/>
      <c r="V165" s="135"/>
      <c r="W165" s="135"/>
      <c r="X165" s="135"/>
      <c r="Y165" s="135"/>
      <c r="Z165" s="135"/>
      <c r="AA165" s="135"/>
      <c r="AB165" s="135"/>
      <c r="AC165" s="135"/>
      <c r="AD165" s="135"/>
      <c r="AE165" s="135"/>
      <c r="AF165" s="135"/>
      <c r="AG165" s="135"/>
      <c r="AH165" s="135"/>
      <c r="AI165" s="135"/>
      <c r="AJ165" s="135"/>
      <c r="AK165" s="135"/>
      <c r="AL165" s="135"/>
      <c r="AM165" s="135"/>
      <c r="AN165" s="135"/>
      <c r="AO165" s="135"/>
      <c r="AP165" s="135"/>
      <c r="AQ165" s="135"/>
      <c r="AR165" s="135"/>
      <c r="AS165" s="135"/>
      <c r="AT165" s="135"/>
      <c r="AU165" s="135"/>
      <c r="AV165" s="135"/>
      <c r="AW165" s="135"/>
      <c r="AX165" s="135"/>
      <c r="AY165" s="135"/>
      <c r="AZ165" s="135"/>
      <c r="BA165" s="135"/>
      <c r="BB165" s="135"/>
      <c r="BC165" s="135"/>
      <c r="BD165" s="135"/>
      <c r="BE165" s="135"/>
      <c r="BF165" s="135"/>
      <c r="BG165" s="135"/>
      <c r="BH165" s="135"/>
      <c r="BI165" s="135"/>
      <c r="BJ165" s="135"/>
      <c r="BK165" s="135"/>
      <c r="BL165" s="135"/>
      <c r="BM165" s="135"/>
      <c r="BN165" s="135"/>
      <c r="BO165" s="135"/>
      <c r="BP165" s="135"/>
      <c r="BQ165" s="135"/>
      <c r="BR165" s="135"/>
      <c r="BS165" s="135"/>
      <c r="BT165" s="135"/>
      <c r="BU165" s="135"/>
      <c r="BV165" s="135"/>
      <c r="BW165" s="135"/>
      <c r="BX165" s="135"/>
      <c r="BY165" s="135"/>
      <c r="BZ165" s="135"/>
      <c r="CA165" s="135"/>
      <c r="CB165" s="135"/>
      <c r="CC165" s="135"/>
      <c r="CD165" s="135"/>
      <c r="CE165" s="135"/>
      <c r="CF165" s="135"/>
      <c r="CG165" s="135"/>
      <c r="CH165" s="135"/>
      <c r="CI165" s="135"/>
      <c r="CJ165" s="135"/>
      <c r="CK165" s="135"/>
      <c r="CL165" s="135"/>
      <c r="CM165" s="135"/>
      <c r="CN165" s="135"/>
      <c r="CO165" s="135"/>
      <c r="CP165" s="135"/>
      <c r="CQ165" s="135"/>
      <c r="CR165" s="135"/>
      <c r="CS165" s="135"/>
      <c r="CT165" s="135"/>
      <c r="CU165" s="135"/>
      <c r="CV165" s="135"/>
      <c r="CW165" s="135"/>
      <c r="CX165" s="135"/>
      <c r="CY165" s="186">
        <v>35</v>
      </c>
      <c r="CZ165" s="122"/>
    </row>
    <row r="166" spans="11:124" x14ac:dyDescent="0.2">
      <c r="K166" s="96">
        <v>31138</v>
      </c>
      <c r="L166" s="135"/>
      <c r="M166" s="135"/>
      <c r="N166" s="135"/>
      <c r="O166" s="135"/>
      <c r="P166" s="135"/>
      <c r="Q166" s="135"/>
      <c r="R166" s="135"/>
      <c r="S166" s="135"/>
      <c r="T166" s="135"/>
      <c r="U166" s="135"/>
      <c r="V166" s="135"/>
      <c r="W166" s="135"/>
      <c r="X166" s="135"/>
      <c r="Y166" s="135"/>
      <c r="Z166" s="135"/>
      <c r="AA166" s="135"/>
      <c r="AB166" s="135"/>
      <c r="AC166" s="135"/>
      <c r="AD166" s="135"/>
      <c r="AE166" s="135"/>
      <c r="AF166" s="135"/>
      <c r="AG166" s="135"/>
      <c r="AH166" s="135"/>
      <c r="AI166" s="135"/>
      <c r="AJ166" s="135"/>
      <c r="AK166" s="135"/>
      <c r="AL166" s="135"/>
      <c r="AM166" s="135"/>
      <c r="AN166" s="135"/>
      <c r="AO166" s="135"/>
      <c r="AP166" s="135"/>
      <c r="AQ166" s="135"/>
      <c r="AR166" s="135"/>
      <c r="AS166" s="135"/>
      <c r="AT166" s="135"/>
      <c r="AU166" s="135"/>
      <c r="AV166" s="135"/>
      <c r="AW166" s="135"/>
      <c r="AX166" s="135"/>
      <c r="AY166" s="135"/>
      <c r="AZ166" s="135"/>
      <c r="BA166" s="135"/>
      <c r="BB166" s="135"/>
      <c r="BC166" s="135"/>
      <c r="BD166" s="135"/>
      <c r="BE166" s="135"/>
      <c r="BF166" s="135"/>
      <c r="BG166" s="135"/>
      <c r="BH166" s="135"/>
      <c r="BI166" s="135"/>
      <c r="BJ166" s="135"/>
      <c r="BK166" s="135"/>
      <c r="BL166" s="135"/>
      <c r="BM166" s="135"/>
      <c r="BN166" s="135"/>
      <c r="BO166" s="135"/>
      <c r="BP166" s="135"/>
      <c r="BQ166" s="135"/>
      <c r="BR166" s="135"/>
      <c r="BS166" s="135"/>
      <c r="BT166" s="135"/>
      <c r="BU166" s="135"/>
      <c r="BV166" s="135"/>
      <c r="BW166" s="135"/>
      <c r="BX166" s="135"/>
      <c r="BY166" s="135"/>
      <c r="BZ166" s="135"/>
      <c r="CA166" s="135"/>
      <c r="CB166" s="135"/>
      <c r="CC166" s="135"/>
      <c r="CD166" s="135"/>
      <c r="CE166" s="135"/>
      <c r="CF166" s="135"/>
      <c r="CG166" s="135"/>
      <c r="CH166" s="135"/>
      <c r="CI166" s="135"/>
      <c r="CJ166" s="135"/>
      <c r="CK166" s="135"/>
      <c r="CL166" s="135"/>
      <c r="CM166" s="135"/>
      <c r="CN166" s="135"/>
      <c r="CO166" s="135"/>
      <c r="CP166" s="135"/>
      <c r="CQ166" s="135"/>
      <c r="CR166" s="135"/>
      <c r="CS166" s="135"/>
      <c r="CT166" s="135"/>
      <c r="CU166" s="135"/>
      <c r="CV166" s="135"/>
      <c r="CW166" s="135"/>
      <c r="CX166" s="135"/>
      <c r="CY166" s="186">
        <v>35</v>
      </c>
      <c r="CZ166" s="128"/>
    </row>
    <row r="167" spans="11:124" x14ac:dyDescent="0.2">
      <c r="K167" s="96">
        <v>31868</v>
      </c>
      <c r="L167" s="135"/>
      <c r="M167" s="135"/>
      <c r="N167" s="135"/>
      <c r="O167" s="135"/>
      <c r="P167" s="135"/>
      <c r="Q167" s="135"/>
      <c r="R167" s="135"/>
      <c r="S167" s="135"/>
      <c r="T167" s="135"/>
      <c r="U167" s="135"/>
      <c r="V167" s="135"/>
      <c r="W167" s="135"/>
      <c r="X167" s="135"/>
      <c r="Y167" s="135"/>
      <c r="Z167" s="135"/>
      <c r="AA167" s="135"/>
      <c r="AB167" s="135"/>
      <c r="AC167" s="135"/>
      <c r="AD167" s="135"/>
      <c r="AE167" s="135"/>
      <c r="AF167" s="135"/>
      <c r="AG167" s="135"/>
      <c r="AH167" s="135"/>
      <c r="AI167" s="135"/>
      <c r="AJ167" s="135"/>
      <c r="AK167" s="135"/>
      <c r="AL167" s="135"/>
      <c r="AM167" s="135"/>
      <c r="AN167" s="135"/>
      <c r="AO167" s="135"/>
      <c r="AP167" s="135"/>
      <c r="AQ167" s="135"/>
      <c r="AR167" s="135"/>
      <c r="AS167" s="135"/>
      <c r="AT167" s="135"/>
      <c r="AU167" s="135"/>
      <c r="AV167" s="135"/>
      <c r="AW167" s="135"/>
      <c r="AX167" s="135"/>
      <c r="AY167" s="135"/>
      <c r="AZ167" s="135"/>
      <c r="BA167" s="135"/>
      <c r="BB167" s="135"/>
      <c r="BC167" s="135"/>
      <c r="BD167" s="135"/>
      <c r="BE167" s="135"/>
      <c r="BF167" s="135"/>
      <c r="BG167" s="135"/>
      <c r="BH167" s="135"/>
      <c r="BI167" s="135"/>
      <c r="BJ167" s="135"/>
      <c r="BK167" s="135"/>
      <c r="BL167" s="135"/>
      <c r="BM167" s="135"/>
      <c r="BN167" s="135"/>
      <c r="BO167" s="135"/>
      <c r="BP167" s="135"/>
      <c r="BQ167" s="135"/>
      <c r="BR167" s="135"/>
      <c r="BS167" s="135"/>
      <c r="BT167" s="135"/>
      <c r="BU167" s="135"/>
      <c r="BV167" s="135"/>
      <c r="BW167" s="135"/>
      <c r="BX167" s="135"/>
      <c r="BY167" s="135"/>
      <c r="BZ167" s="135"/>
      <c r="CA167" s="135"/>
      <c r="CB167" s="135"/>
      <c r="CC167" s="135"/>
      <c r="CD167" s="135"/>
      <c r="CE167" s="135"/>
      <c r="CF167" s="135"/>
      <c r="CG167" s="135"/>
      <c r="CH167" s="135"/>
      <c r="CI167" s="135"/>
      <c r="CJ167" s="135"/>
      <c r="CK167" s="135"/>
      <c r="CL167" s="135"/>
      <c r="CM167" s="135"/>
      <c r="CN167" s="135"/>
      <c r="CO167" s="135"/>
      <c r="CP167" s="135"/>
      <c r="CQ167" s="135"/>
      <c r="CR167" s="135"/>
      <c r="CS167" s="135"/>
      <c r="CT167" s="135"/>
      <c r="CU167" s="135"/>
      <c r="CV167" s="135"/>
      <c r="CW167" s="135"/>
      <c r="CX167" s="135"/>
      <c r="CY167" s="186">
        <v>35</v>
      </c>
      <c r="CZ167" s="128" t="s">
        <v>86</v>
      </c>
    </row>
    <row r="168" spans="11:124" x14ac:dyDescent="0.2">
      <c r="K168" s="96">
        <v>32964</v>
      </c>
      <c r="L168" s="135"/>
      <c r="M168" s="135"/>
      <c r="N168" s="135"/>
      <c r="O168" s="135"/>
      <c r="P168" s="135"/>
      <c r="Q168" s="135"/>
      <c r="R168" s="135"/>
      <c r="S168" s="135"/>
      <c r="T168" s="135"/>
      <c r="U168" s="135"/>
      <c r="V168" s="135"/>
      <c r="W168" s="135"/>
      <c r="X168" s="135"/>
      <c r="Y168" s="135"/>
      <c r="Z168" s="135"/>
      <c r="AA168" s="135"/>
      <c r="AB168" s="135"/>
      <c r="AC168" s="135"/>
      <c r="AD168" s="135"/>
      <c r="AE168" s="135"/>
      <c r="AF168" s="135"/>
      <c r="AG168" s="135"/>
      <c r="AH168" s="135"/>
      <c r="AI168" s="135"/>
      <c r="AJ168" s="135"/>
      <c r="AK168" s="135"/>
      <c r="AL168" s="135"/>
      <c r="AM168" s="135"/>
      <c r="AN168" s="135"/>
      <c r="AO168" s="135"/>
      <c r="AP168" s="135"/>
      <c r="AQ168" s="135"/>
      <c r="AR168" s="135"/>
      <c r="AS168" s="135"/>
      <c r="AT168" s="135"/>
      <c r="AU168" s="135"/>
      <c r="AV168" s="135"/>
      <c r="AW168" s="135"/>
      <c r="AX168" s="135"/>
      <c r="AY168" s="135"/>
      <c r="AZ168" s="135"/>
      <c r="BA168" s="135"/>
      <c r="BB168" s="135"/>
      <c r="BC168" s="135"/>
      <c r="BD168" s="135"/>
      <c r="BE168" s="135"/>
      <c r="BF168" s="135"/>
      <c r="BG168" s="135"/>
      <c r="BH168" s="135"/>
      <c r="BI168" s="135"/>
      <c r="BJ168" s="135"/>
      <c r="BK168" s="135"/>
      <c r="BL168" s="135"/>
      <c r="BM168" s="135"/>
      <c r="BN168" s="135"/>
      <c r="BO168" s="135"/>
      <c r="BP168" s="135"/>
      <c r="BQ168" s="135"/>
      <c r="BR168" s="135"/>
      <c r="BS168" s="135"/>
      <c r="BT168" s="135"/>
      <c r="BU168" s="135"/>
      <c r="BV168" s="135"/>
      <c r="BW168" s="135"/>
      <c r="BX168" s="135"/>
      <c r="BY168" s="135"/>
      <c r="BZ168" s="135"/>
      <c r="CA168" s="135"/>
      <c r="CB168" s="135"/>
      <c r="CC168" s="135"/>
      <c r="CD168" s="135"/>
      <c r="CE168" s="135"/>
      <c r="CF168" s="135"/>
      <c r="CG168" s="135"/>
      <c r="CH168" s="135"/>
      <c r="CI168" s="135"/>
      <c r="CJ168" s="135"/>
      <c r="CK168" s="135"/>
      <c r="CL168" s="135"/>
      <c r="CM168" s="135"/>
      <c r="CN168" s="135"/>
      <c r="CO168" s="135"/>
      <c r="CP168" s="135"/>
      <c r="CQ168" s="135"/>
      <c r="CR168" s="135"/>
      <c r="CS168" s="135"/>
      <c r="CT168" s="135"/>
      <c r="CU168" s="135"/>
      <c r="CV168" s="135"/>
      <c r="CW168" s="135"/>
      <c r="CX168" s="135"/>
      <c r="CY168" s="186">
        <v>40</v>
      </c>
      <c r="CZ168" s="122"/>
    </row>
    <row r="169" spans="11:124" x14ac:dyDescent="0.2">
      <c r="K169" s="96">
        <v>33329</v>
      </c>
      <c r="L169" s="135"/>
      <c r="M169" s="135"/>
      <c r="N169" s="135"/>
      <c r="O169" s="135"/>
      <c r="P169" s="135"/>
      <c r="Q169" s="135"/>
      <c r="R169" s="135"/>
      <c r="S169" s="135"/>
      <c r="T169" s="135"/>
      <c r="U169" s="135"/>
      <c r="V169" s="135"/>
      <c r="W169" s="135"/>
      <c r="X169" s="135"/>
      <c r="Y169" s="135"/>
      <c r="Z169" s="135"/>
      <c r="AA169" s="135"/>
      <c r="AB169" s="135"/>
      <c r="AC169" s="135"/>
      <c r="AD169" s="135"/>
      <c r="AE169" s="135"/>
      <c r="AF169" s="135"/>
      <c r="AG169" s="135"/>
      <c r="AH169" s="135"/>
      <c r="AI169" s="135"/>
      <c r="AJ169" s="135"/>
      <c r="AK169" s="135"/>
      <c r="AL169" s="135"/>
      <c r="AM169" s="135"/>
      <c r="AN169" s="135"/>
      <c r="AO169" s="135"/>
      <c r="AP169" s="135"/>
      <c r="AQ169" s="135"/>
      <c r="AR169" s="135"/>
      <c r="AS169" s="135"/>
      <c r="AT169" s="135"/>
      <c r="AU169" s="135"/>
      <c r="AV169" s="135"/>
      <c r="AW169" s="135"/>
      <c r="AX169" s="135"/>
      <c r="AY169" s="135"/>
      <c r="AZ169" s="135"/>
      <c r="BA169" s="135"/>
      <c r="BB169" s="135"/>
      <c r="BC169" s="135"/>
      <c r="BD169" s="135"/>
      <c r="BE169" s="135"/>
      <c r="BF169" s="135"/>
      <c r="BG169" s="135"/>
      <c r="BH169" s="135"/>
      <c r="BI169" s="135"/>
      <c r="BJ169" s="135"/>
      <c r="BK169" s="135"/>
      <c r="BL169" s="135"/>
      <c r="BM169" s="135"/>
      <c r="BN169" s="135"/>
      <c r="BO169" s="135"/>
      <c r="BP169" s="135"/>
      <c r="BQ169" s="135"/>
      <c r="BR169" s="135"/>
      <c r="BS169" s="135"/>
      <c r="BT169" s="135"/>
      <c r="BU169" s="135"/>
      <c r="BV169" s="135"/>
      <c r="BW169" s="135"/>
      <c r="BX169" s="135"/>
      <c r="BY169" s="135"/>
      <c r="BZ169" s="135"/>
      <c r="CA169" s="135"/>
      <c r="CB169" s="135"/>
      <c r="CC169" s="135"/>
      <c r="CD169" s="135"/>
      <c r="CE169" s="135"/>
      <c r="CF169" s="135"/>
      <c r="CG169" s="135"/>
      <c r="CH169" s="135"/>
      <c r="CI169" s="135"/>
      <c r="CJ169" s="135"/>
      <c r="CK169" s="135"/>
      <c r="CL169" s="135"/>
      <c r="CM169" s="135"/>
      <c r="CN169" s="135"/>
      <c r="CO169" s="135"/>
      <c r="CP169" s="135"/>
      <c r="CQ169" s="135"/>
      <c r="CR169" s="135"/>
      <c r="CS169" s="135"/>
      <c r="CT169" s="135"/>
      <c r="CU169" s="135"/>
      <c r="CV169" s="135"/>
      <c r="CW169" s="135"/>
      <c r="CX169" s="135"/>
      <c r="CY169" s="186">
        <v>40</v>
      </c>
      <c r="CZ169" s="122"/>
    </row>
    <row r="170" spans="11:124" x14ac:dyDescent="0.2">
      <c r="K170" s="96">
        <v>33695</v>
      </c>
      <c r="L170" s="135"/>
      <c r="M170" s="135"/>
      <c r="N170" s="135"/>
      <c r="O170" s="135"/>
      <c r="P170" s="135"/>
      <c r="Q170" s="135"/>
      <c r="R170" s="135"/>
      <c r="S170" s="135"/>
      <c r="T170" s="135"/>
      <c r="U170" s="135"/>
      <c r="V170" s="135"/>
      <c r="W170" s="135"/>
      <c r="X170" s="135"/>
      <c r="Y170" s="135"/>
      <c r="Z170" s="135"/>
      <c r="AA170" s="135"/>
      <c r="AB170" s="135"/>
      <c r="AC170" s="135"/>
      <c r="AD170" s="135"/>
      <c r="AE170" s="135"/>
      <c r="AF170" s="135"/>
      <c r="AG170" s="135"/>
      <c r="AH170" s="135"/>
      <c r="AI170" s="135"/>
      <c r="AJ170" s="135"/>
      <c r="AK170" s="135"/>
      <c r="AL170" s="135"/>
      <c r="AM170" s="135"/>
      <c r="AN170" s="135"/>
      <c r="AO170" s="135"/>
      <c r="AP170" s="135"/>
      <c r="AQ170" s="135"/>
      <c r="AR170" s="135"/>
      <c r="AS170" s="135"/>
      <c r="AT170" s="135"/>
      <c r="AU170" s="135"/>
      <c r="AV170" s="135"/>
      <c r="AW170" s="135"/>
      <c r="AX170" s="135"/>
      <c r="AY170" s="135"/>
      <c r="AZ170" s="135"/>
      <c r="BA170" s="135"/>
      <c r="BB170" s="135"/>
      <c r="BC170" s="135"/>
      <c r="BD170" s="135"/>
      <c r="BE170" s="135"/>
      <c r="BF170" s="135"/>
      <c r="BG170" s="135"/>
      <c r="BH170" s="135"/>
      <c r="BI170" s="135"/>
      <c r="BJ170" s="135"/>
      <c r="BK170" s="135"/>
      <c r="BL170" s="135"/>
      <c r="BM170" s="135"/>
      <c r="BN170" s="135"/>
      <c r="BO170" s="135"/>
      <c r="BP170" s="135"/>
      <c r="BQ170" s="135"/>
      <c r="BR170" s="135"/>
      <c r="BS170" s="135"/>
      <c r="BT170" s="135"/>
      <c r="BU170" s="135"/>
      <c r="BV170" s="135"/>
      <c r="BW170" s="135"/>
      <c r="BX170" s="135"/>
      <c r="BY170" s="135"/>
      <c r="BZ170" s="135"/>
      <c r="CA170" s="135"/>
      <c r="CB170" s="135"/>
      <c r="CC170" s="135"/>
      <c r="CD170" s="135"/>
      <c r="CE170" s="135"/>
      <c r="CF170" s="135"/>
      <c r="CG170" s="135"/>
      <c r="CH170" s="135"/>
      <c r="CI170" s="135"/>
      <c r="CJ170" s="135"/>
      <c r="CK170" s="135"/>
      <c r="CL170" s="135"/>
      <c r="CM170" s="135"/>
      <c r="CN170" s="135"/>
      <c r="CO170" s="135"/>
      <c r="CP170" s="135"/>
      <c r="CQ170" s="135"/>
      <c r="CR170" s="135"/>
      <c r="CS170" s="135"/>
      <c r="CT170" s="135"/>
      <c r="CU170" s="135"/>
      <c r="CV170" s="135"/>
      <c r="CW170" s="135"/>
      <c r="CX170" s="135"/>
      <c r="CY170" s="186">
        <v>40</v>
      </c>
      <c r="CZ170" s="122"/>
    </row>
    <row r="171" spans="11:124" x14ac:dyDescent="0.2">
      <c r="K171" s="96">
        <v>34060</v>
      </c>
      <c r="L171" s="135"/>
      <c r="M171" s="135"/>
      <c r="N171" s="135"/>
      <c r="O171" s="135"/>
      <c r="P171" s="135"/>
      <c r="Q171" s="135"/>
      <c r="R171" s="135"/>
      <c r="S171" s="135"/>
      <c r="T171" s="135"/>
      <c r="U171" s="135"/>
      <c r="V171" s="135"/>
      <c r="W171" s="135"/>
      <c r="X171" s="135"/>
      <c r="Y171" s="135"/>
      <c r="Z171" s="135"/>
      <c r="AA171" s="135"/>
      <c r="AB171" s="135"/>
      <c r="AC171" s="135"/>
      <c r="AD171" s="135"/>
      <c r="AE171" s="135"/>
      <c r="AF171" s="135"/>
      <c r="AG171" s="135"/>
      <c r="AH171" s="135"/>
      <c r="AI171" s="135"/>
      <c r="AJ171" s="135"/>
      <c r="AK171" s="135"/>
      <c r="AL171" s="135"/>
      <c r="AM171" s="135"/>
      <c r="AN171" s="135"/>
      <c r="AO171" s="135"/>
      <c r="AP171" s="135"/>
      <c r="AQ171" s="135"/>
      <c r="AR171" s="135"/>
      <c r="AS171" s="135"/>
      <c r="AT171" s="135"/>
      <c r="AU171" s="135"/>
      <c r="AV171" s="135"/>
      <c r="AW171" s="135"/>
      <c r="AX171" s="135"/>
      <c r="AY171" s="135"/>
      <c r="AZ171" s="135"/>
      <c r="BA171" s="135"/>
      <c r="BB171" s="135"/>
      <c r="BC171" s="135"/>
      <c r="BD171" s="135"/>
      <c r="BE171" s="135"/>
      <c r="BF171" s="135"/>
      <c r="BG171" s="135"/>
      <c r="BH171" s="135"/>
      <c r="BI171" s="135"/>
      <c r="BJ171" s="135"/>
      <c r="BK171" s="135"/>
      <c r="BL171" s="135"/>
      <c r="BM171" s="135"/>
      <c r="BN171" s="135"/>
      <c r="BO171" s="135"/>
      <c r="BP171" s="135"/>
      <c r="BQ171" s="135"/>
      <c r="BR171" s="135"/>
      <c r="BS171" s="135"/>
      <c r="BT171" s="135"/>
      <c r="BU171" s="135"/>
      <c r="BV171" s="135"/>
      <c r="BW171" s="135"/>
      <c r="BX171" s="135"/>
      <c r="BY171" s="135"/>
      <c r="BZ171" s="135"/>
      <c r="CA171" s="135"/>
      <c r="CB171" s="135"/>
      <c r="CC171" s="135"/>
      <c r="CD171" s="135"/>
      <c r="CE171" s="135"/>
      <c r="CF171" s="135"/>
      <c r="CG171" s="135"/>
      <c r="CH171" s="135"/>
      <c r="CI171" s="135"/>
      <c r="CJ171" s="135"/>
      <c r="CK171" s="135"/>
      <c r="CL171" s="135"/>
      <c r="CM171" s="135"/>
      <c r="CN171" s="135"/>
      <c r="CO171" s="135"/>
      <c r="CP171" s="135"/>
      <c r="CQ171" s="135"/>
      <c r="CR171" s="135"/>
      <c r="CS171" s="135"/>
      <c r="CT171" s="135"/>
      <c r="CU171" s="135"/>
      <c r="CV171" s="135"/>
      <c r="CW171" s="135"/>
      <c r="CX171" s="135"/>
      <c r="CY171" s="186">
        <v>40</v>
      </c>
      <c r="CZ171" s="122"/>
    </row>
    <row r="172" spans="11:124" x14ac:dyDescent="0.2">
      <c r="K172" s="96">
        <v>34425</v>
      </c>
      <c r="L172" s="135"/>
      <c r="M172" s="135"/>
      <c r="N172" s="135"/>
      <c r="O172" s="135"/>
      <c r="P172" s="135"/>
      <c r="Q172" s="135"/>
      <c r="R172" s="135"/>
      <c r="S172" s="135"/>
      <c r="T172" s="135"/>
      <c r="U172" s="135"/>
      <c r="V172" s="135"/>
      <c r="W172" s="135"/>
      <c r="X172" s="135"/>
      <c r="Y172" s="135"/>
      <c r="Z172" s="135"/>
      <c r="AA172" s="135"/>
      <c r="AB172" s="135"/>
      <c r="AC172" s="135"/>
      <c r="AD172" s="135"/>
      <c r="AE172" s="135"/>
      <c r="AF172" s="135"/>
      <c r="AG172" s="135"/>
      <c r="AH172" s="135"/>
      <c r="AI172" s="135"/>
      <c r="AJ172" s="135"/>
      <c r="AK172" s="135"/>
      <c r="AL172" s="135"/>
      <c r="AM172" s="135"/>
      <c r="AN172" s="135"/>
      <c r="AO172" s="135"/>
      <c r="AP172" s="135"/>
      <c r="AQ172" s="135"/>
      <c r="AR172" s="135"/>
      <c r="AS172" s="135"/>
      <c r="AT172" s="135"/>
      <c r="AU172" s="135"/>
      <c r="AV172" s="135"/>
      <c r="AW172" s="135"/>
      <c r="AX172" s="135"/>
      <c r="AY172" s="135"/>
      <c r="AZ172" s="135"/>
      <c r="BA172" s="135"/>
      <c r="BB172" s="135"/>
      <c r="BC172" s="135"/>
      <c r="BD172" s="135"/>
      <c r="BE172" s="135"/>
      <c r="BF172" s="135"/>
      <c r="BG172" s="135"/>
      <c r="BH172" s="135"/>
      <c r="BI172" s="135"/>
      <c r="BJ172" s="135"/>
      <c r="BK172" s="135"/>
      <c r="BL172" s="135"/>
      <c r="BM172" s="135"/>
      <c r="BN172" s="135"/>
      <c r="BO172" s="135"/>
      <c r="BP172" s="135"/>
      <c r="BQ172" s="135"/>
      <c r="BR172" s="135"/>
      <c r="BS172" s="135"/>
      <c r="BT172" s="135"/>
      <c r="BU172" s="135"/>
      <c r="BV172" s="135"/>
      <c r="BW172" s="135"/>
      <c r="BX172" s="135"/>
      <c r="BY172" s="135"/>
      <c r="BZ172" s="135"/>
      <c r="CA172" s="135"/>
      <c r="CB172" s="135"/>
      <c r="CC172" s="135"/>
      <c r="CD172" s="135"/>
      <c r="CE172" s="135"/>
      <c r="CF172" s="135"/>
      <c r="CG172" s="135"/>
      <c r="CH172" s="135"/>
      <c r="CI172" s="135"/>
      <c r="CJ172" s="135"/>
      <c r="CK172" s="135"/>
      <c r="CL172" s="135"/>
      <c r="CM172" s="135"/>
      <c r="CN172" s="135"/>
      <c r="CO172" s="135"/>
      <c r="CP172" s="135"/>
      <c r="CQ172" s="135"/>
      <c r="CR172" s="135"/>
      <c r="CS172" s="135"/>
      <c r="CT172" s="135"/>
      <c r="CU172" s="135"/>
      <c r="CV172" s="135"/>
      <c r="CW172" s="135"/>
      <c r="CX172" s="135"/>
      <c r="CY172" s="186">
        <v>40</v>
      </c>
      <c r="CZ172" s="122"/>
    </row>
    <row r="173" spans="11:124" x14ac:dyDescent="0.2">
      <c r="K173" s="96">
        <v>35156</v>
      </c>
      <c r="L173" s="135"/>
      <c r="M173" s="135"/>
      <c r="N173" s="135"/>
      <c r="O173" s="135"/>
      <c r="P173" s="135"/>
      <c r="Q173" s="135"/>
      <c r="R173" s="135"/>
      <c r="S173" s="135"/>
      <c r="T173" s="135"/>
      <c r="U173" s="135"/>
      <c r="V173" s="135"/>
      <c r="W173" s="135"/>
      <c r="X173" s="135"/>
      <c r="Y173" s="135"/>
      <c r="Z173" s="135"/>
      <c r="AA173" s="135"/>
      <c r="AB173" s="135"/>
      <c r="AC173" s="135"/>
      <c r="AD173" s="135"/>
      <c r="AE173" s="135"/>
      <c r="AF173" s="135"/>
      <c r="AG173" s="135"/>
      <c r="AH173" s="135"/>
      <c r="AI173" s="135"/>
      <c r="AJ173" s="135"/>
      <c r="AK173" s="135"/>
      <c r="AL173" s="135"/>
      <c r="AM173" s="135"/>
      <c r="AN173" s="135"/>
      <c r="AO173" s="135"/>
      <c r="AP173" s="135"/>
      <c r="AQ173" s="135"/>
      <c r="AR173" s="135"/>
      <c r="AS173" s="135"/>
      <c r="AT173" s="135"/>
      <c r="AU173" s="135"/>
      <c r="AV173" s="135"/>
      <c r="AW173" s="135"/>
      <c r="AX173" s="135"/>
      <c r="AY173" s="135"/>
      <c r="AZ173" s="135"/>
      <c r="BA173" s="135"/>
      <c r="BB173" s="135"/>
      <c r="BC173" s="135"/>
      <c r="BD173" s="135"/>
      <c r="BE173" s="135"/>
      <c r="BF173" s="135"/>
      <c r="BG173" s="135"/>
      <c r="BH173" s="135"/>
      <c r="BI173" s="135"/>
      <c r="BJ173" s="135"/>
      <c r="BK173" s="135"/>
      <c r="BL173" s="135"/>
      <c r="BM173" s="135"/>
      <c r="BN173" s="135"/>
      <c r="BO173" s="135"/>
      <c r="BP173" s="135"/>
      <c r="BQ173" s="135"/>
      <c r="BR173" s="135"/>
      <c r="BS173" s="135"/>
      <c r="BT173" s="135"/>
      <c r="BU173" s="135"/>
      <c r="BV173" s="135"/>
      <c r="BW173" s="135"/>
      <c r="BX173" s="135"/>
      <c r="BY173" s="135"/>
      <c r="BZ173" s="135"/>
      <c r="CA173" s="135"/>
      <c r="CB173" s="135"/>
      <c r="CC173" s="135"/>
      <c r="CD173" s="135"/>
      <c r="CE173" s="135"/>
      <c r="CF173" s="135"/>
      <c r="CG173" s="135"/>
      <c r="CH173" s="135"/>
      <c r="CI173" s="135"/>
      <c r="CJ173" s="135"/>
      <c r="CK173" s="135"/>
      <c r="CL173" s="135"/>
      <c r="CM173" s="135"/>
      <c r="CN173" s="135"/>
      <c r="CO173" s="135"/>
      <c r="CP173" s="135"/>
      <c r="CQ173" s="135"/>
      <c r="CR173" s="135"/>
      <c r="CS173" s="135"/>
      <c r="CT173" s="135"/>
      <c r="CU173" s="135"/>
      <c r="CV173" s="135"/>
      <c r="CW173" s="135"/>
      <c r="CX173" s="135"/>
      <c r="CY173" s="186">
        <v>40</v>
      </c>
      <c r="CZ173" s="122"/>
    </row>
    <row r="174" spans="11:124" x14ac:dyDescent="0.2">
      <c r="K174" s="96">
        <v>36617</v>
      </c>
      <c r="L174" s="135"/>
      <c r="M174" s="135"/>
      <c r="N174" s="135"/>
      <c r="O174" s="135"/>
      <c r="P174" s="135"/>
      <c r="Q174" s="135"/>
      <c r="R174" s="135"/>
      <c r="S174" s="135"/>
      <c r="T174" s="135"/>
      <c r="U174" s="135"/>
      <c r="V174" s="135"/>
      <c r="W174" s="135"/>
      <c r="X174" s="135"/>
      <c r="Y174" s="135"/>
      <c r="Z174" s="135"/>
      <c r="AA174" s="135"/>
      <c r="AB174" s="135"/>
      <c r="AC174" s="135"/>
      <c r="AD174" s="135"/>
      <c r="AE174" s="135"/>
      <c r="AF174" s="135"/>
      <c r="AG174" s="135"/>
      <c r="AH174" s="135"/>
      <c r="AI174" s="135"/>
      <c r="AJ174" s="135"/>
      <c r="AK174" s="135"/>
      <c r="AL174" s="135"/>
      <c r="AM174" s="135"/>
      <c r="AN174" s="135"/>
      <c r="AO174" s="135"/>
      <c r="AP174" s="135"/>
      <c r="AQ174" s="135"/>
      <c r="AR174" s="135"/>
      <c r="AS174" s="135"/>
      <c r="AT174" s="135"/>
      <c r="AU174" s="135"/>
      <c r="AV174" s="135"/>
      <c r="AW174" s="135"/>
      <c r="AX174" s="135"/>
      <c r="AY174" s="135"/>
      <c r="AZ174" s="135"/>
      <c r="BA174" s="135"/>
      <c r="BB174" s="135"/>
      <c r="BC174" s="135"/>
      <c r="BD174" s="135"/>
      <c r="BE174" s="135"/>
      <c r="BF174" s="135"/>
      <c r="BG174" s="135"/>
      <c r="BH174" s="135"/>
      <c r="BI174" s="135"/>
      <c r="BJ174" s="135"/>
      <c r="BK174" s="135"/>
      <c r="BL174" s="135"/>
      <c r="BM174" s="135"/>
      <c r="BN174" s="135"/>
      <c r="BO174" s="135"/>
      <c r="BP174" s="135"/>
      <c r="BQ174" s="135"/>
      <c r="BR174" s="135"/>
      <c r="BS174" s="135"/>
      <c r="BT174" s="135"/>
      <c r="BU174" s="135"/>
      <c r="BV174" s="135"/>
      <c r="BW174" s="135"/>
      <c r="BX174" s="135"/>
      <c r="BY174" s="135"/>
      <c r="BZ174" s="135"/>
      <c r="CA174" s="135"/>
      <c r="CB174" s="135"/>
      <c r="CC174" s="135"/>
      <c r="CD174" s="135"/>
      <c r="CE174" s="135"/>
      <c r="CF174" s="135"/>
      <c r="CG174" s="135"/>
      <c r="CH174" s="135"/>
      <c r="CI174" s="135"/>
      <c r="CJ174" s="135"/>
      <c r="CK174" s="135"/>
      <c r="CL174" s="135"/>
      <c r="CM174" s="135"/>
      <c r="CN174" s="135"/>
      <c r="CO174" s="135"/>
      <c r="CP174" s="135"/>
      <c r="CQ174" s="135"/>
      <c r="CR174" s="135"/>
      <c r="CS174" s="135"/>
      <c r="CT174" s="135"/>
      <c r="CU174" s="135"/>
      <c r="CV174" s="135"/>
      <c r="CW174" s="135"/>
      <c r="CX174" s="135"/>
      <c r="CY174" s="186">
        <v>40</v>
      </c>
      <c r="CZ174" s="122"/>
    </row>
    <row r="175" spans="11:124" x14ac:dyDescent="0.2">
      <c r="K175" s="96"/>
      <c r="L175" s="135"/>
      <c r="M175" s="135"/>
      <c r="N175" s="135"/>
      <c r="O175" s="135"/>
      <c r="P175" s="135"/>
      <c r="Q175" s="135"/>
      <c r="R175" s="135"/>
      <c r="S175" s="135"/>
      <c r="T175" s="135"/>
      <c r="U175" s="135"/>
      <c r="V175" s="135"/>
      <c r="W175" s="135"/>
      <c r="X175" s="135"/>
      <c r="Y175" s="135"/>
      <c r="Z175" s="135"/>
      <c r="AA175" s="135"/>
      <c r="AB175" s="135"/>
      <c r="AC175" s="135"/>
      <c r="AD175" s="135"/>
      <c r="AE175" s="135"/>
      <c r="AF175" s="135"/>
      <c r="AG175" s="135"/>
      <c r="AH175" s="135"/>
      <c r="AI175" s="135"/>
      <c r="AJ175" s="135"/>
      <c r="AK175" s="135"/>
      <c r="AL175" s="135"/>
      <c r="AM175" s="135"/>
      <c r="AN175" s="135"/>
      <c r="AO175" s="135"/>
      <c r="AP175" s="135"/>
      <c r="AQ175" s="135"/>
      <c r="AR175" s="135"/>
      <c r="AS175" s="135"/>
      <c r="AT175" s="135"/>
      <c r="AU175" s="135"/>
      <c r="AV175" s="135"/>
      <c r="AW175" s="135"/>
      <c r="AX175" s="135"/>
      <c r="AY175" s="135"/>
      <c r="AZ175" s="135"/>
      <c r="BA175" s="135"/>
      <c r="BB175" s="135"/>
      <c r="BC175" s="135"/>
      <c r="BD175" s="135"/>
      <c r="BE175" s="135"/>
      <c r="BF175" s="135"/>
      <c r="BG175" s="135"/>
      <c r="BH175" s="135"/>
      <c r="BI175" s="135"/>
      <c r="BJ175" s="135"/>
      <c r="BK175" s="135"/>
      <c r="BL175" s="135"/>
      <c r="BM175" s="135"/>
      <c r="BN175" s="135"/>
      <c r="BO175" s="135"/>
      <c r="BP175" s="135"/>
      <c r="BQ175" s="135"/>
      <c r="BR175" s="135"/>
      <c r="BS175" s="135"/>
      <c r="BT175" s="135"/>
      <c r="BU175" s="135"/>
      <c r="BV175" s="135"/>
      <c r="BW175" s="135"/>
      <c r="BX175" s="135"/>
      <c r="BY175" s="135"/>
      <c r="BZ175" s="135"/>
      <c r="CA175" s="135"/>
      <c r="CB175" s="135"/>
      <c r="CC175" s="135"/>
      <c r="CD175" s="135"/>
      <c r="CE175" s="135"/>
      <c r="CF175" s="135"/>
      <c r="CG175" s="135"/>
      <c r="CH175" s="135"/>
      <c r="CI175" s="135"/>
      <c r="CJ175" s="135"/>
      <c r="CK175" s="135"/>
      <c r="CL175" s="135"/>
      <c r="CM175" s="135"/>
      <c r="CN175" s="135"/>
      <c r="CO175" s="135"/>
      <c r="CP175" s="135"/>
      <c r="CQ175" s="135"/>
      <c r="CR175" s="135"/>
      <c r="CS175" s="135"/>
      <c r="CT175" s="135"/>
      <c r="CU175" s="135"/>
      <c r="CV175" s="135"/>
      <c r="CW175" s="135"/>
      <c r="CX175" s="135"/>
      <c r="CY175" s="153" t="s">
        <v>301</v>
      </c>
      <c r="CZ175" s="122"/>
    </row>
    <row r="176" spans="11:124" ht="13.5" thickBot="1" x14ac:dyDescent="0.25">
      <c r="K176" s="28"/>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c r="BH176" s="160"/>
      <c r="BI176" s="160"/>
      <c r="BJ176" s="160"/>
      <c r="BK176" s="160"/>
      <c r="BL176" s="160"/>
      <c r="BM176" s="160"/>
      <c r="BN176" s="160"/>
      <c r="BO176" s="160"/>
      <c r="BP176" s="160"/>
      <c r="BQ176" s="160"/>
      <c r="BR176" s="160"/>
      <c r="BS176" s="160"/>
      <c r="BT176" s="160"/>
      <c r="BU176" s="160"/>
      <c r="BV176" s="160"/>
      <c r="BW176" s="160"/>
      <c r="BX176" s="160"/>
      <c r="BY176" s="160"/>
      <c r="BZ176" s="160"/>
      <c r="CA176" s="160"/>
      <c r="CB176" s="160"/>
      <c r="CC176" s="160"/>
      <c r="CD176" s="160"/>
      <c r="CE176" s="160"/>
      <c r="CF176" s="160"/>
      <c r="CG176" s="160"/>
      <c r="CH176" s="160"/>
      <c r="CI176" s="160"/>
      <c r="CJ176" s="160"/>
      <c r="CK176" s="160"/>
      <c r="CL176" s="160"/>
      <c r="CM176" s="160"/>
      <c r="CN176" s="160"/>
      <c r="CO176" s="160"/>
      <c r="CP176" s="160"/>
      <c r="CQ176" s="160"/>
      <c r="CR176" s="160"/>
      <c r="CS176" s="160"/>
      <c r="CT176" s="160"/>
      <c r="CU176" s="160"/>
      <c r="CV176" s="160"/>
      <c r="CW176" s="160"/>
      <c r="CX176" s="160"/>
      <c r="CY176" s="63" t="s">
        <v>303</v>
      </c>
      <c r="CZ176" s="191"/>
    </row>
    <row r="177" ht="13.5" thickTop="1" x14ac:dyDescent="0.2"/>
  </sheetData>
  <sortState xmlns:xlrd2="http://schemas.microsoft.com/office/spreadsheetml/2017/richdata2" ref="DT1:DT16384">
    <sortCondition ref="DT1"/>
  </sortState>
  <mergeCells count="14">
    <mergeCell ref="EN1:EN2"/>
    <mergeCell ref="EX1:FK1"/>
    <mergeCell ref="CY58:DJ58"/>
    <mergeCell ref="DW1:DW2"/>
    <mergeCell ref="DX1:EK1"/>
    <mergeCell ref="CY21:CZ21"/>
    <mergeCell ref="CY1:CZ1"/>
    <mergeCell ref="CY3:CZ3"/>
    <mergeCell ref="CY6:CZ6"/>
    <mergeCell ref="CY46:DA46"/>
    <mergeCell ref="CY12:CZ12"/>
    <mergeCell ref="CY32:CZ32"/>
    <mergeCell ref="CY39:CZ39"/>
    <mergeCell ref="CY43:DA43"/>
  </mergeCells>
  <pageMargins left="0.5" right="0.5" top="0.5" bottom="0.5" header="0.5" footer="0.5"/>
  <pageSetup scale="67"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396"/>
  <sheetViews>
    <sheetView workbookViewId="0"/>
  </sheetViews>
  <sheetFormatPr defaultRowHeight="12.75" x14ac:dyDescent="0.2"/>
  <sheetData>
    <row r="1" spans="1:1" x14ac:dyDescent="0.2">
      <c r="A1" t="s">
        <v>471</v>
      </c>
    </row>
    <row r="2" spans="1:1" x14ac:dyDescent="0.2">
      <c r="A2" t="s">
        <v>396</v>
      </c>
    </row>
    <row r="3" spans="1:1" x14ac:dyDescent="0.2">
      <c r="A3" t="s">
        <v>413</v>
      </c>
    </row>
    <row r="4" spans="1:1" x14ac:dyDescent="0.2">
      <c r="A4" t="s">
        <v>356</v>
      </c>
    </row>
    <row r="5" spans="1:1" x14ac:dyDescent="0.2">
      <c r="A5" t="s">
        <v>51</v>
      </c>
    </row>
    <row r="6" spans="1:1" x14ac:dyDescent="0.2">
      <c r="A6" t="s">
        <v>542</v>
      </c>
    </row>
    <row r="7" spans="1:1" x14ac:dyDescent="0.2">
      <c r="A7" t="s">
        <v>432</v>
      </c>
    </row>
    <row r="8" spans="1:1" x14ac:dyDescent="0.2">
      <c r="A8" t="s">
        <v>566</v>
      </c>
    </row>
    <row r="9" spans="1:1" x14ac:dyDescent="0.2">
      <c r="A9" t="s">
        <v>126</v>
      </c>
    </row>
    <row r="10" spans="1:1" x14ac:dyDescent="0.2">
      <c r="A10" t="s">
        <v>66</v>
      </c>
    </row>
    <row r="11" spans="1:1" x14ac:dyDescent="0.2">
      <c r="A11" t="s">
        <v>567</v>
      </c>
    </row>
    <row r="12" spans="1:1" x14ac:dyDescent="0.2">
      <c r="A12" t="s">
        <v>291</v>
      </c>
    </row>
    <row r="13" spans="1:1" x14ac:dyDescent="0.2">
      <c r="A13" t="s">
        <v>298</v>
      </c>
    </row>
    <row r="14" spans="1:1" x14ac:dyDescent="0.2">
      <c r="A14" t="s">
        <v>93</v>
      </c>
    </row>
    <row r="15" spans="1:1" x14ac:dyDescent="0.2">
      <c r="A15" t="s">
        <v>571</v>
      </c>
    </row>
    <row r="16" spans="1:1" x14ac:dyDescent="0.2">
      <c r="A16" t="s">
        <v>341</v>
      </c>
    </row>
    <row r="17" spans="1:1" x14ac:dyDescent="0.2">
      <c r="A17" t="s">
        <v>48</v>
      </c>
    </row>
    <row r="18" spans="1:1" x14ac:dyDescent="0.2">
      <c r="A18" t="s">
        <v>358</v>
      </c>
    </row>
    <row r="19" spans="1:1" x14ac:dyDescent="0.2">
      <c r="A19" t="s">
        <v>185</v>
      </c>
    </row>
    <row r="20" spans="1:1" x14ac:dyDescent="0.2">
      <c r="A20" t="s">
        <v>363</v>
      </c>
    </row>
    <row r="21" spans="1:1" x14ac:dyDescent="0.2">
      <c r="A21" t="s">
        <v>395</v>
      </c>
    </row>
    <row r="22" spans="1:1" x14ac:dyDescent="0.2">
      <c r="A22" t="s">
        <v>499</v>
      </c>
    </row>
    <row r="23" spans="1:1" x14ac:dyDescent="0.2">
      <c r="A23" t="s">
        <v>367</v>
      </c>
    </row>
    <row r="24" spans="1:1" x14ac:dyDescent="0.2">
      <c r="A24" t="s">
        <v>182</v>
      </c>
    </row>
    <row r="25" spans="1:1" x14ac:dyDescent="0.2">
      <c r="A25" t="s">
        <v>654</v>
      </c>
    </row>
    <row r="26" spans="1:1" x14ac:dyDescent="0.2">
      <c r="A26" t="s">
        <v>302</v>
      </c>
    </row>
    <row r="27" spans="1:1" x14ac:dyDescent="0.2">
      <c r="A27" t="s">
        <v>400</v>
      </c>
    </row>
    <row r="28" spans="1:1" x14ac:dyDescent="0.2">
      <c r="A28" t="s">
        <v>510</v>
      </c>
    </row>
    <row r="29" spans="1:1" x14ac:dyDescent="0.2">
      <c r="A29" t="s">
        <v>67</v>
      </c>
    </row>
    <row r="30" spans="1:1" x14ac:dyDescent="0.2">
      <c r="A30" t="s">
        <v>590</v>
      </c>
    </row>
    <row r="31" spans="1:1" x14ac:dyDescent="0.2">
      <c r="A31" t="s">
        <v>592</v>
      </c>
    </row>
    <row r="32" spans="1:1" x14ac:dyDescent="0.2">
      <c r="A32" t="s">
        <v>593</v>
      </c>
    </row>
    <row r="33" spans="1:1" x14ac:dyDescent="0.2">
      <c r="A33" t="s">
        <v>594</v>
      </c>
    </row>
    <row r="34" spans="1:1" x14ac:dyDescent="0.2">
      <c r="A34" t="s">
        <v>595</v>
      </c>
    </row>
    <row r="35" spans="1:1" x14ac:dyDescent="0.2">
      <c r="A35" t="s">
        <v>596</v>
      </c>
    </row>
    <row r="36" spans="1:1" x14ac:dyDescent="0.2">
      <c r="A36" t="s">
        <v>348</v>
      </c>
    </row>
    <row r="37" spans="1:1" x14ac:dyDescent="0.2">
      <c r="A37" t="s">
        <v>244</v>
      </c>
    </row>
    <row r="38" spans="1:1" x14ac:dyDescent="0.2">
      <c r="A38" t="s">
        <v>289</v>
      </c>
    </row>
    <row r="39" spans="1:1" x14ac:dyDescent="0.2">
      <c r="A39" t="s">
        <v>308</v>
      </c>
    </row>
    <row r="40" spans="1:1" x14ac:dyDescent="0.2">
      <c r="A40" t="s">
        <v>411</v>
      </c>
    </row>
    <row r="41" spans="1:1" x14ac:dyDescent="0.2">
      <c r="A41" t="s">
        <v>425</v>
      </c>
    </row>
    <row r="42" spans="1:1" x14ac:dyDescent="0.2">
      <c r="A42" t="s">
        <v>445</v>
      </c>
    </row>
    <row r="43" spans="1:1" x14ac:dyDescent="0.2">
      <c r="A43" t="s">
        <v>707</v>
      </c>
    </row>
    <row r="44" spans="1:1" x14ac:dyDescent="0.2">
      <c r="A44" t="s">
        <v>666</v>
      </c>
    </row>
    <row r="45" spans="1:1" x14ac:dyDescent="0.2">
      <c r="A45" t="s">
        <v>520</v>
      </c>
    </row>
    <row r="46" spans="1:1" x14ac:dyDescent="0.2">
      <c r="A46" t="s">
        <v>696</v>
      </c>
    </row>
    <row r="47" spans="1:1" x14ac:dyDescent="0.2">
      <c r="A47" t="s">
        <v>551</v>
      </c>
    </row>
    <row r="48" spans="1:1" x14ac:dyDescent="0.2">
      <c r="A48" t="s">
        <v>111</v>
      </c>
    </row>
    <row r="49" spans="1:1" x14ac:dyDescent="0.2">
      <c r="A49" t="s">
        <v>431</v>
      </c>
    </row>
    <row r="50" spans="1:1" x14ac:dyDescent="0.2">
      <c r="A50" t="s">
        <v>565</v>
      </c>
    </row>
    <row r="51" spans="1:1" x14ac:dyDescent="0.2">
      <c r="A51" t="s">
        <v>15</v>
      </c>
    </row>
    <row r="52" spans="1:1" x14ac:dyDescent="0.2">
      <c r="A52" t="s">
        <v>35</v>
      </c>
    </row>
    <row r="53" spans="1:1" x14ac:dyDescent="0.2">
      <c r="A53" t="s">
        <v>283</v>
      </c>
    </row>
    <row r="54" spans="1:1" x14ac:dyDescent="0.2">
      <c r="A54" t="s">
        <v>576</v>
      </c>
    </row>
    <row r="55" spans="1:1" x14ac:dyDescent="0.2">
      <c r="A55" t="s">
        <v>585</v>
      </c>
    </row>
    <row r="56" spans="1:1" x14ac:dyDescent="0.2">
      <c r="A56" t="s">
        <v>752</v>
      </c>
    </row>
    <row r="57" spans="1:1" x14ac:dyDescent="0.2">
      <c r="A57" t="s">
        <v>254</v>
      </c>
    </row>
    <row r="58" spans="1:1" x14ac:dyDescent="0.2">
      <c r="A58" t="s">
        <v>509</v>
      </c>
    </row>
    <row r="59" spans="1:1" x14ac:dyDescent="0.2">
      <c r="A59" t="s">
        <v>55</v>
      </c>
    </row>
    <row r="60" spans="1:1" x14ac:dyDescent="0.2">
      <c r="A60" t="s">
        <v>751</v>
      </c>
    </row>
    <row r="61" spans="1:1" x14ac:dyDescent="0.2">
      <c r="A61" t="s">
        <v>310</v>
      </c>
    </row>
    <row r="62" spans="1:1" x14ac:dyDescent="0.2">
      <c r="A62" t="s">
        <v>513</v>
      </c>
    </row>
    <row r="63" spans="1:1" x14ac:dyDescent="0.2">
      <c r="A63" t="s">
        <v>133</v>
      </c>
    </row>
    <row r="64" spans="1:1" x14ac:dyDescent="0.2">
      <c r="A64" t="s">
        <v>434</v>
      </c>
    </row>
    <row r="65" spans="1:1" x14ac:dyDescent="0.2">
      <c r="A65" t="s">
        <v>490</v>
      </c>
    </row>
    <row r="66" spans="1:1" x14ac:dyDescent="0.2">
      <c r="A66" t="s">
        <v>547</v>
      </c>
    </row>
    <row r="67" spans="1:1" x14ac:dyDescent="0.2">
      <c r="A67" t="s">
        <v>657</v>
      </c>
    </row>
    <row r="68" spans="1:1" x14ac:dyDescent="0.2">
      <c r="A68" t="s">
        <v>648</v>
      </c>
    </row>
    <row r="69" spans="1:1" x14ac:dyDescent="0.2">
      <c r="A69" t="s">
        <v>670</v>
      </c>
    </row>
    <row r="70" spans="1:1" x14ac:dyDescent="0.2">
      <c r="A70" t="s">
        <v>87</v>
      </c>
    </row>
    <row r="71" spans="1:1" x14ac:dyDescent="0.2">
      <c r="A71" t="s">
        <v>191</v>
      </c>
    </row>
    <row r="72" spans="1:1" x14ac:dyDescent="0.2">
      <c r="A72" t="s">
        <v>150</v>
      </c>
    </row>
    <row r="73" spans="1:1" x14ac:dyDescent="0.2">
      <c r="A73" t="s">
        <v>371</v>
      </c>
    </row>
    <row r="74" spans="1:1" x14ac:dyDescent="0.2">
      <c r="A74" t="s">
        <v>517</v>
      </c>
    </row>
    <row r="75" spans="1:1" x14ac:dyDescent="0.2">
      <c r="A75" t="s">
        <v>325</v>
      </c>
    </row>
    <row r="76" spans="1:1" x14ac:dyDescent="0.2">
      <c r="A76" t="s">
        <v>531</v>
      </c>
    </row>
    <row r="77" spans="1:1" x14ac:dyDescent="0.2">
      <c r="A77" t="s">
        <v>710</v>
      </c>
    </row>
    <row r="78" spans="1:1" x14ac:dyDescent="0.2">
      <c r="A78" t="s">
        <v>269</v>
      </c>
    </row>
    <row r="79" spans="1:1" x14ac:dyDescent="0.2">
      <c r="A79" t="s">
        <v>318</v>
      </c>
    </row>
    <row r="80" spans="1:1" x14ac:dyDescent="0.2">
      <c r="A80" t="s">
        <v>353</v>
      </c>
    </row>
    <row r="81" spans="1:1" x14ac:dyDescent="0.2">
      <c r="A81" t="s">
        <v>118</v>
      </c>
    </row>
    <row r="82" spans="1:1" x14ac:dyDescent="0.2">
      <c r="A82" t="s">
        <v>320</v>
      </c>
    </row>
    <row r="83" spans="1:1" x14ac:dyDescent="0.2">
      <c r="A83" t="s">
        <v>568</v>
      </c>
    </row>
    <row r="84" spans="1:1" x14ac:dyDescent="0.2">
      <c r="A84" t="s">
        <v>186</v>
      </c>
    </row>
    <row r="85" spans="1:1" x14ac:dyDescent="0.2">
      <c r="A85" t="s">
        <v>105</v>
      </c>
    </row>
    <row r="86" spans="1:1" x14ac:dyDescent="0.2">
      <c r="A86" t="s">
        <v>409</v>
      </c>
    </row>
    <row r="87" spans="1:1" x14ac:dyDescent="0.2">
      <c r="A87" t="s">
        <v>56</v>
      </c>
    </row>
    <row r="88" spans="1:1" x14ac:dyDescent="0.2">
      <c r="A88" t="s">
        <v>661</v>
      </c>
    </row>
    <row r="89" spans="1:1" x14ac:dyDescent="0.2">
      <c r="A89" t="s">
        <v>649</v>
      </c>
    </row>
    <row r="90" spans="1:1" x14ac:dyDescent="0.2">
      <c r="A90" t="s">
        <v>54</v>
      </c>
    </row>
    <row r="91" spans="1:1" x14ac:dyDescent="0.2">
      <c r="A91" t="s">
        <v>200</v>
      </c>
    </row>
    <row r="92" spans="1:1" x14ac:dyDescent="0.2">
      <c r="A92" t="s">
        <v>108</v>
      </c>
    </row>
    <row r="93" spans="1:1" x14ac:dyDescent="0.2">
      <c r="A93" t="s">
        <v>699</v>
      </c>
    </row>
    <row r="94" spans="1:1" x14ac:dyDescent="0.2">
      <c r="A94" t="s">
        <v>131</v>
      </c>
    </row>
    <row r="95" spans="1:1" x14ac:dyDescent="0.2">
      <c r="A95" t="s">
        <v>437</v>
      </c>
    </row>
    <row r="96" spans="1:1" x14ac:dyDescent="0.2">
      <c r="A96" t="s">
        <v>712</v>
      </c>
    </row>
    <row r="97" spans="1:1" x14ac:dyDescent="0.2">
      <c r="A97" t="s">
        <v>708</v>
      </c>
    </row>
    <row r="98" spans="1:1" x14ac:dyDescent="0.2">
      <c r="A98" t="s">
        <v>742</v>
      </c>
    </row>
    <row r="99" spans="1:1" x14ac:dyDescent="0.2">
      <c r="A99" t="s">
        <v>156</v>
      </c>
    </row>
    <row r="100" spans="1:1" x14ac:dyDescent="0.2">
      <c r="A100" t="s">
        <v>369</v>
      </c>
    </row>
    <row r="101" spans="1:1" x14ac:dyDescent="0.2">
      <c r="A101" t="s">
        <v>412</v>
      </c>
    </row>
    <row r="102" spans="1:1" x14ac:dyDescent="0.2">
      <c r="A102" t="s">
        <v>345</v>
      </c>
    </row>
    <row r="103" spans="1:1" x14ac:dyDescent="0.2">
      <c r="A103" t="s">
        <v>397</v>
      </c>
    </row>
    <row r="104" spans="1:1" x14ac:dyDescent="0.2">
      <c r="A104" t="s">
        <v>250</v>
      </c>
    </row>
    <row r="105" spans="1:1" x14ac:dyDescent="0.2">
      <c r="A105" t="s">
        <v>11</v>
      </c>
    </row>
    <row r="106" spans="1:1" x14ac:dyDescent="0.2">
      <c r="A106" t="s">
        <v>577</v>
      </c>
    </row>
    <row r="107" spans="1:1" x14ac:dyDescent="0.2">
      <c r="A107" t="s">
        <v>463</v>
      </c>
    </row>
    <row r="108" spans="1:1" x14ac:dyDescent="0.2">
      <c r="A108" t="s">
        <v>14</v>
      </c>
    </row>
    <row r="109" spans="1:1" x14ac:dyDescent="0.2">
      <c r="A109" t="s">
        <v>294</v>
      </c>
    </row>
    <row r="110" spans="1:1" x14ac:dyDescent="0.2">
      <c r="A110" t="s">
        <v>450</v>
      </c>
    </row>
    <row r="111" spans="1:1" x14ac:dyDescent="0.2">
      <c r="A111" t="s">
        <v>172</v>
      </c>
    </row>
    <row r="112" spans="1:1" x14ac:dyDescent="0.2">
      <c r="A112" t="s">
        <v>113</v>
      </c>
    </row>
    <row r="113" spans="1:1" x14ac:dyDescent="0.2">
      <c r="A113" t="s">
        <v>267</v>
      </c>
    </row>
    <row r="114" spans="1:1" x14ac:dyDescent="0.2">
      <c r="A114" t="s">
        <v>13</v>
      </c>
    </row>
    <row r="115" spans="1:1" x14ac:dyDescent="0.2">
      <c r="A115" t="s">
        <v>24</v>
      </c>
    </row>
    <row r="116" spans="1:1" x14ac:dyDescent="0.2">
      <c r="A116" t="s">
        <v>488</v>
      </c>
    </row>
    <row r="117" spans="1:1" x14ac:dyDescent="0.2">
      <c r="A117" t="s">
        <v>679</v>
      </c>
    </row>
    <row r="118" spans="1:1" x14ac:dyDescent="0.2">
      <c r="A118" t="s">
        <v>680</v>
      </c>
    </row>
    <row r="119" spans="1:1" x14ac:dyDescent="0.2">
      <c r="A119" t="s">
        <v>678</v>
      </c>
    </row>
    <row r="120" spans="1:1" x14ac:dyDescent="0.2">
      <c r="A120" t="s">
        <v>504</v>
      </c>
    </row>
    <row r="121" spans="1:1" x14ac:dyDescent="0.2">
      <c r="A121" t="s">
        <v>447</v>
      </c>
    </row>
    <row r="122" spans="1:1" x14ac:dyDescent="0.2">
      <c r="A122" t="s">
        <v>681</v>
      </c>
    </row>
    <row r="123" spans="1:1" x14ac:dyDescent="0.2">
      <c r="A123" t="s">
        <v>300</v>
      </c>
    </row>
    <row r="124" spans="1:1" x14ac:dyDescent="0.2">
      <c r="A124" t="s">
        <v>299</v>
      </c>
    </row>
    <row r="125" spans="1:1" x14ac:dyDescent="0.2">
      <c r="A125" t="s">
        <v>370</v>
      </c>
    </row>
    <row r="126" spans="1:1" x14ac:dyDescent="0.2">
      <c r="A126" t="s">
        <v>257</v>
      </c>
    </row>
    <row r="127" spans="1:1" x14ac:dyDescent="0.2">
      <c r="A127" t="s">
        <v>711</v>
      </c>
    </row>
    <row r="128" spans="1:1" x14ac:dyDescent="0.2">
      <c r="A128" t="s">
        <v>323</v>
      </c>
    </row>
    <row r="129" spans="1:1" x14ac:dyDescent="0.2">
      <c r="A129" t="s">
        <v>421</v>
      </c>
    </row>
    <row r="130" spans="1:1" x14ac:dyDescent="0.2">
      <c r="A130" t="s">
        <v>164</v>
      </c>
    </row>
    <row r="131" spans="1:1" x14ac:dyDescent="0.2">
      <c r="A131" t="s">
        <v>21</v>
      </c>
    </row>
    <row r="132" spans="1:1" x14ac:dyDescent="0.2">
      <c r="A132" t="s">
        <v>483</v>
      </c>
    </row>
    <row r="133" spans="1:1" x14ac:dyDescent="0.2">
      <c r="A133" t="s">
        <v>201</v>
      </c>
    </row>
    <row r="134" spans="1:1" x14ac:dyDescent="0.2">
      <c r="A134" t="s">
        <v>388</v>
      </c>
    </row>
    <row r="135" spans="1:1" x14ac:dyDescent="0.2">
      <c r="A135" t="s">
        <v>207</v>
      </c>
    </row>
    <row r="136" spans="1:1" x14ac:dyDescent="0.2">
      <c r="A136" t="s">
        <v>286</v>
      </c>
    </row>
    <row r="137" spans="1:1" x14ac:dyDescent="0.2">
      <c r="A137" t="s">
        <v>19</v>
      </c>
    </row>
    <row r="138" spans="1:1" x14ac:dyDescent="0.2">
      <c r="A138" t="s">
        <v>491</v>
      </c>
    </row>
    <row r="139" spans="1:1" x14ac:dyDescent="0.2">
      <c r="A139" t="s">
        <v>558</v>
      </c>
    </row>
    <row r="140" spans="1:1" x14ac:dyDescent="0.2">
      <c r="A140" t="s">
        <v>127</v>
      </c>
    </row>
    <row r="141" spans="1:1" x14ac:dyDescent="0.2">
      <c r="A141" t="s">
        <v>408</v>
      </c>
    </row>
    <row r="142" spans="1:1" x14ac:dyDescent="0.2">
      <c r="A142" t="s">
        <v>405</v>
      </c>
    </row>
    <row r="143" spans="1:1" x14ac:dyDescent="0.2">
      <c r="A143" t="s">
        <v>563</v>
      </c>
    </row>
    <row r="144" spans="1:1" x14ac:dyDescent="0.2">
      <c r="A144" t="s">
        <v>173</v>
      </c>
    </row>
    <row r="145" spans="1:1" x14ac:dyDescent="0.2">
      <c r="A145" t="s">
        <v>552</v>
      </c>
    </row>
    <row r="146" spans="1:1" x14ac:dyDescent="0.2">
      <c r="A146" t="s">
        <v>500</v>
      </c>
    </row>
    <row r="147" spans="1:1" x14ac:dyDescent="0.2">
      <c r="A147" t="s">
        <v>319</v>
      </c>
    </row>
    <row r="148" spans="1:1" x14ac:dyDescent="0.2">
      <c r="A148" t="s">
        <v>479</v>
      </c>
    </row>
    <row r="149" spans="1:1" x14ac:dyDescent="0.2">
      <c r="A149" t="s">
        <v>194</v>
      </c>
    </row>
    <row r="150" spans="1:1" x14ac:dyDescent="0.2">
      <c r="A150" t="s">
        <v>327</v>
      </c>
    </row>
    <row r="151" spans="1:1" x14ac:dyDescent="0.2">
      <c r="A151" t="s">
        <v>501</v>
      </c>
    </row>
    <row r="152" spans="1:1" x14ac:dyDescent="0.2">
      <c r="A152" t="s">
        <v>522</v>
      </c>
    </row>
    <row r="153" spans="1:1" x14ac:dyDescent="0.2">
      <c r="A153" t="s">
        <v>604</v>
      </c>
    </row>
    <row r="154" spans="1:1" x14ac:dyDescent="0.2">
      <c r="A154" t="s">
        <v>180</v>
      </c>
    </row>
    <row r="155" spans="1:1" x14ac:dyDescent="0.2">
      <c r="A155" t="s">
        <v>112</v>
      </c>
    </row>
    <row r="156" spans="1:1" x14ac:dyDescent="0.2">
      <c r="A156" t="s">
        <v>72</v>
      </c>
    </row>
    <row r="157" spans="1:1" x14ac:dyDescent="0.2">
      <c r="A157" t="s">
        <v>539</v>
      </c>
    </row>
    <row r="158" spans="1:1" x14ac:dyDescent="0.2">
      <c r="A158" t="s">
        <v>279</v>
      </c>
    </row>
    <row r="159" spans="1:1" x14ac:dyDescent="0.2">
      <c r="A159" t="s">
        <v>354</v>
      </c>
    </row>
    <row r="160" spans="1:1" x14ac:dyDescent="0.2">
      <c r="A160" t="s">
        <v>469</v>
      </c>
    </row>
    <row r="161" spans="1:1" x14ac:dyDescent="0.2">
      <c r="A161" t="s">
        <v>9</v>
      </c>
    </row>
    <row r="162" spans="1:1" x14ac:dyDescent="0.2">
      <c r="A162" t="s">
        <v>144</v>
      </c>
    </row>
    <row r="163" spans="1:1" x14ac:dyDescent="0.2">
      <c r="A163" t="s">
        <v>96</v>
      </c>
    </row>
    <row r="164" spans="1:1" x14ac:dyDescent="0.2">
      <c r="A164" t="s">
        <v>429</v>
      </c>
    </row>
    <row r="165" spans="1:1" x14ac:dyDescent="0.2">
      <c r="A165" t="s">
        <v>232</v>
      </c>
    </row>
    <row r="166" spans="1:1" x14ac:dyDescent="0.2">
      <c r="A166" t="s">
        <v>659</v>
      </c>
    </row>
    <row r="167" spans="1:1" x14ac:dyDescent="0.2">
      <c r="A167" t="s">
        <v>554</v>
      </c>
    </row>
    <row r="168" spans="1:1" x14ac:dyDescent="0.2">
      <c r="A168" t="s">
        <v>163</v>
      </c>
    </row>
    <row r="169" spans="1:1" x14ac:dyDescent="0.2">
      <c r="A169" t="s">
        <v>209</v>
      </c>
    </row>
    <row r="170" spans="1:1" x14ac:dyDescent="0.2">
      <c r="A170" t="s">
        <v>403</v>
      </c>
    </row>
    <row r="171" spans="1:1" x14ac:dyDescent="0.2">
      <c r="A171" t="s">
        <v>168</v>
      </c>
    </row>
    <row r="172" spans="1:1" x14ac:dyDescent="0.2">
      <c r="A172" t="s">
        <v>228</v>
      </c>
    </row>
    <row r="173" spans="1:1" x14ac:dyDescent="0.2">
      <c r="A173" t="s">
        <v>152</v>
      </c>
    </row>
    <row r="174" spans="1:1" x14ac:dyDescent="0.2">
      <c r="A174" t="s">
        <v>603</v>
      </c>
    </row>
    <row r="175" spans="1:1" x14ac:dyDescent="0.2">
      <c r="A175" t="s">
        <v>650</v>
      </c>
    </row>
    <row r="176" spans="1:1" x14ac:dyDescent="0.2">
      <c r="A176" t="s">
        <v>121</v>
      </c>
    </row>
    <row r="177" spans="1:1" x14ac:dyDescent="0.2">
      <c r="A177" t="s">
        <v>251</v>
      </c>
    </row>
    <row r="178" spans="1:1" x14ac:dyDescent="0.2">
      <c r="A178" t="s">
        <v>465</v>
      </c>
    </row>
    <row r="179" spans="1:1" x14ac:dyDescent="0.2">
      <c r="A179" t="s">
        <v>65</v>
      </c>
    </row>
    <row r="180" spans="1:1" x14ac:dyDescent="0.2">
      <c r="A180" t="s">
        <v>242</v>
      </c>
    </row>
    <row r="181" spans="1:1" x14ac:dyDescent="0.2">
      <c r="A181" t="s">
        <v>75</v>
      </c>
    </row>
    <row r="182" spans="1:1" x14ac:dyDescent="0.2">
      <c r="A182" t="s">
        <v>64</v>
      </c>
    </row>
    <row r="183" spans="1:1" x14ac:dyDescent="0.2">
      <c r="A183" t="s">
        <v>580</v>
      </c>
    </row>
    <row r="184" spans="1:1" x14ac:dyDescent="0.2">
      <c r="A184" t="s">
        <v>119</v>
      </c>
    </row>
    <row r="185" spans="1:1" x14ac:dyDescent="0.2">
      <c r="A185" t="s">
        <v>198</v>
      </c>
    </row>
    <row r="186" spans="1:1" x14ac:dyDescent="0.2">
      <c r="A186" t="s">
        <v>249</v>
      </c>
    </row>
    <row r="187" spans="1:1" x14ac:dyDescent="0.2">
      <c r="A187" t="s">
        <v>262</v>
      </c>
    </row>
    <row r="188" spans="1:1" x14ac:dyDescent="0.2">
      <c r="A188" t="s">
        <v>528</v>
      </c>
    </row>
    <row r="189" spans="1:1" x14ac:dyDescent="0.2">
      <c r="A189" t="s">
        <v>255</v>
      </c>
    </row>
    <row r="190" spans="1:1" x14ac:dyDescent="0.2">
      <c r="A190" t="s">
        <v>366</v>
      </c>
    </row>
    <row r="191" spans="1:1" x14ac:dyDescent="0.2">
      <c r="A191" t="s">
        <v>497</v>
      </c>
    </row>
    <row r="192" spans="1:1" x14ac:dyDescent="0.2">
      <c r="A192" t="s">
        <v>541</v>
      </c>
    </row>
    <row r="193" spans="1:1" x14ac:dyDescent="0.2">
      <c r="A193" t="s">
        <v>262</v>
      </c>
    </row>
    <row r="194" spans="1:1" x14ac:dyDescent="0.2">
      <c r="A194" t="s">
        <v>528</v>
      </c>
    </row>
    <row r="195" spans="1:1" x14ac:dyDescent="0.2">
      <c r="A195" t="s">
        <v>255</v>
      </c>
    </row>
    <row r="196" spans="1:1" x14ac:dyDescent="0.2">
      <c r="A196" t="s">
        <v>366</v>
      </c>
    </row>
    <row r="197" spans="1:1" x14ac:dyDescent="0.2">
      <c r="A197" t="s">
        <v>497</v>
      </c>
    </row>
    <row r="198" spans="1:1" x14ac:dyDescent="0.2">
      <c r="A198" t="s">
        <v>541</v>
      </c>
    </row>
    <row r="199" spans="1:1" x14ac:dyDescent="0.2">
      <c r="A199" t="s">
        <v>366</v>
      </c>
    </row>
    <row r="200" spans="1:1" x14ac:dyDescent="0.2">
      <c r="A200" t="s">
        <v>497</v>
      </c>
    </row>
    <row r="201" spans="1:1" x14ac:dyDescent="0.2">
      <c r="A201" t="s">
        <v>541</v>
      </c>
    </row>
    <row r="202" spans="1:1" x14ac:dyDescent="0.2">
      <c r="A202" t="s">
        <v>541</v>
      </c>
    </row>
    <row r="203" spans="1:1" x14ac:dyDescent="0.2">
      <c r="A203" t="s">
        <v>152</v>
      </c>
    </row>
    <row r="204" spans="1:1" x14ac:dyDescent="0.2">
      <c r="A204" t="s">
        <v>246</v>
      </c>
    </row>
    <row r="205" spans="1:1" x14ac:dyDescent="0.2">
      <c r="A205" t="s">
        <v>603</v>
      </c>
    </row>
    <row r="206" spans="1:1" x14ac:dyDescent="0.2">
      <c r="A206" t="s">
        <v>664</v>
      </c>
    </row>
    <row r="207" spans="1:1" x14ac:dyDescent="0.2">
      <c r="A207" t="s">
        <v>650</v>
      </c>
    </row>
    <row r="208" spans="1:1" x14ac:dyDescent="0.2">
      <c r="A208" t="s">
        <v>121</v>
      </c>
    </row>
    <row r="209" spans="1:1" x14ac:dyDescent="0.2">
      <c r="A209" t="s">
        <v>251</v>
      </c>
    </row>
    <row r="210" spans="1:1" x14ac:dyDescent="0.2">
      <c r="A210" t="s">
        <v>465</v>
      </c>
    </row>
    <row r="211" spans="1:1" x14ac:dyDescent="0.2">
      <c r="A211" t="s">
        <v>663</v>
      </c>
    </row>
    <row r="212" spans="1:1" x14ac:dyDescent="0.2">
      <c r="A212" t="s">
        <v>65</v>
      </c>
    </row>
    <row r="213" spans="1:1" x14ac:dyDescent="0.2">
      <c r="A213" t="s">
        <v>208</v>
      </c>
    </row>
    <row r="214" spans="1:1" x14ac:dyDescent="0.2">
      <c r="A214" t="s">
        <v>242</v>
      </c>
    </row>
    <row r="215" spans="1:1" x14ac:dyDescent="0.2">
      <c r="A215" t="s">
        <v>75</v>
      </c>
    </row>
    <row r="216" spans="1:1" x14ac:dyDescent="0.2">
      <c r="A216" t="s">
        <v>64</v>
      </c>
    </row>
    <row r="217" spans="1:1" x14ac:dyDescent="0.2">
      <c r="A217" t="s">
        <v>580</v>
      </c>
    </row>
    <row r="218" spans="1:1" x14ac:dyDescent="0.2">
      <c r="A218" t="s">
        <v>119</v>
      </c>
    </row>
    <row r="219" spans="1:1" x14ac:dyDescent="0.2">
      <c r="A219" t="s">
        <v>198</v>
      </c>
    </row>
    <row r="220" spans="1:1" x14ac:dyDescent="0.2">
      <c r="A220" t="s">
        <v>249</v>
      </c>
    </row>
    <row r="221" spans="1:1" x14ac:dyDescent="0.2">
      <c r="A221" t="s">
        <v>262</v>
      </c>
    </row>
    <row r="222" spans="1:1" x14ac:dyDescent="0.2">
      <c r="A222" t="s">
        <v>528</v>
      </c>
    </row>
    <row r="223" spans="1:1" x14ac:dyDescent="0.2">
      <c r="A223" t="s">
        <v>255</v>
      </c>
    </row>
    <row r="224" spans="1:1" x14ac:dyDescent="0.2">
      <c r="A224" t="s">
        <v>366</v>
      </c>
    </row>
    <row r="225" spans="1:1" x14ac:dyDescent="0.2">
      <c r="A225" t="s">
        <v>497</v>
      </c>
    </row>
    <row r="226" spans="1:1" x14ac:dyDescent="0.2">
      <c r="A226" t="s">
        <v>541</v>
      </c>
    </row>
    <row r="227" spans="1:1" x14ac:dyDescent="0.2">
      <c r="A227" t="s">
        <v>75</v>
      </c>
    </row>
    <row r="228" spans="1:1" x14ac:dyDescent="0.2">
      <c r="A228" t="s">
        <v>64</v>
      </c>
    </row>
    <row r="229" spans="1:1" x14ac:dyDescent="0.2">
      <c r="A229" t="s">
        <v>580</v>
      </c>
    </row>
    <row r="230" spans="1:1" x14ac:dyDescent="0.2">
      <c r="A230" t="s">
        <v>119</v>
      </c>
    </row>
    <row r="231" spans="1:1" x14ac:dyDescent="0.2">
      <c r="A231" t="s">
        <v>198</v>
      </c>
    </row>
    <row r="232" spans="1:1" x14ac:dyDescent="0.2">
      <c r="A232" t="s">
        <v>249</v>
      </c>
    </row>
    <row r="233" spans="1:1" x14ac:dyDescent="0.2">
      <c r="A233" t="s">
        <v>262</v>
      </c>
    </row>
    <row r="234" spans="1:1" x14ac:dyDescent="0.2">
      <c r="A234" t="s">
        <v>528</v>
      </c>
    </row>
    <row r="235" spans="1:1" x14ac:dyDescent="0.2">
      <c r="A235" t="s">
        <v>255</v>
      </c>
    </row>
    <row r="236" spans="1:1" x14ac:dyDescent="0.2">
      <c r="A236" t="s">
        <v>366</v>
      </c>
    </row>
    <row r="237" spans="1:1" x14ac:dyDescent="0.2">
      <c r="A237" t="s">
        <v>497</v>
      </c>
    </row>
    <row r="238" spans="1:1" x14ac:dyDescent="0.2">
      <c r="A238" t="s">
        <v>541</v>
      </c>
    </row>
    <row r="239" spans="1:1" x14ac:dyDescent="0.2">
      <c r="A239" t="s">
        <v>541</v>
      </c>
    </row>
    <row r="240" spans="1:1" x14ac:dyDescent="0.2">
      <c r="A240" t="s">
        <v>255</v>
      </c>
    </row>
    <row r="241" spans="1:1" x14ac:dyDescent="0.2">
      <c r="A241" t="s">
        <v>366</v>
      </c>
    </row>
    <row r="242" spans="1:1" x14ac:dyDescent="0.2">
      <c r="A242" t="s">
        <v>497</v>
      </c>
    </row>
    <row r="243" spans="1:1" x14ac:dyDescent="0.2">
      <c r="A243" t="s">
        <v>541</v>
      </c>
    </row>
    <row r="244" spans="1:1" x14ac:dyDescent="0.2">
      <c r="A244" t="s">
        <v>647</v>
      </c>
    </row>
    <row r="245" spans="1:1" x14ac:dyDescent="0.2">
      <c r="A245" t="s">
        <v>255</v>
      </c>
    </row>
    <row r="246" spans="1:1" x14ac:dyDescent="0.2">
      <c r="A246" t="s">
        <v>366</v>
      </c>
    </row>
    <row r="247" spans="1:1" x14ac:dyDescent="0.2">
      <c r="A247" t="s">
        <v>497</v>
      </c>
    </row>
    <row r="248" spans="1:1" x14ac:dyDescent="0.2">
      <c r="A248" t="s">
        <v>541</v>
      </c>
    </row>
    <row r="249" spans="1:1" x14ac:dyDescent="0.2">
      <c r="A249" t="s">
        <v>541</v>
      </c>
    </row>
    <row r="250" spans="1:1" x14ac:dyDescent="0.2">
      <c r="A250" t="s">
        <v>541</v>
      </c>
    </row>
    <row r="251" spans="1:1" x14ac:dyDescent="0.2">
      <c r="A251" t="s">
        <v>18</v>
      </c>
    </row>
    <row r="252" spans="1:1" x14ac:dyDescent="0.2">
      <c r="A252" t="s">
        <v>123</v>
      </c>
    </row>
    <row r="253" spans="1:1" x14ac:dyDescent="0.2">
      <c r="A253" t="s">
        <v>138</v>
      </c>
    </row>
    <row r="254" spans="1:1" x14ac:dyDescent="0.2">
      <c r="A254" t="s">
        <v>158</v>
      </c>
    </row>
    <row r="255" spans="1:1" x14ac:dyDescent="0.2">
      <c r="A255" t="s">
        <v>175</v>
      </c>
    </row>
    <row r="256" spans="1:1" x14ac:dyDescent="0.2">
      <c r="A256" t="s">
        <v>297</v>
      </c>
    </row>
    <row r="257" spans="1:1" x14ac:dyDescent="0.2">
      <c r="A257" t="s">
        <v>486</v>
      </c>
    </row>
    <row r="258" spans="1:1" x14ac:dyDescent="0.2">
      <c r="A258" t="s">
        <v>508</v>
      </c>
    </row>
    <row r="259" spans="1:1" x14ac:dyDescent="0.2">
      <c r="A259" t="s">
        <v>25</v>
      </c>
    </row>
    <row r="260" spans="1:1" x14ac:dyDescent="0.2">
      <c r="A260" t="s">
        <v>37</v>
      </c>
    </row>
    <row r="261" spans="1:1" x14ac:dyDescent="0.2">
      <c r="A261" t="s">
        <v>57</v>
      </c>
    </row>
    <row r="262" spans="1:1" x14ac:dyDescent="0.2">
      <c r="A262" t="s">
        <v>80</v>
      </c>
    </row>
    <row r="263" spans="1:1" x14ac:dyDescent="0.2">
      <c r="A263" t="s">
        <v>183</v>
      </c>
    </row>
    <row r="264" spans="1:1" x14ac:dyDescent="0.2">
      <c r="A264" t="s">
        <v>202</v>
      </c>
    </row>
    <row r="265" spans="1:1" x14ac:dyDescent="0.2">
      <c r="A265" t="s">
        <v>215</v>
      </c>
    </row>
    <row r="266" spans="1:1" x14ac:dyDescent="0.2">
      <c r="A266" t="s">
        <v>234</v>
      </c>
    </row>
    <row r="267" spans="1:1" x14ac:dyDescent="0.2">
      <c r="A267" t="s">
        <v>365</v>
      </c>
    </row>
    <row r="268" spans="1:1" x14ac:dyDescent="0.2">
      <c r="A268" t="s">
        <v>560</v>
      </c>
    </row>
    <row r="269" spans="1:1" x14ac:dyDescent="0.2">
      <c r="A269" t="s">
        <v>575</v>
      </c>
    </row>
    <row r="270" spans="1:1" x14ac:dyDescent="0.2">
      <c r="A270" t="s">
        <v>156</v>
      </c>
    </row>
    <row r="271" spans="1:1" x14ac:dyDescent="0.2">
      <c r="A271" t="s">
        <v>369</v>
      </c>
    </row>
    <row r="272" spans="1:1" x14ac:dyDescent="0.2">
      <c r="A272" t="s">
        <v>412</v>
      </c>
    </row>
    <row r="273" spans="1:1" x14ac:dyDescent="0.2">
      <c r="A273" t="s">
        <v>7</v>
      </c>
    </row>
    <row r="274" spans="1:1" x14ac:dyDescent="0.2">
      <c r="A274" t="s">
        <v>397</v>
      </c>
    </row>
    <row r="275" spans="1:1" x14ac:dyDescent="0.2">
      <c r="A275" t="s">
        <v>231</v>
      </c>
    </row>
    <row r="276" spans="1:1" x14ac:dyDescent="0.2">
      <c r="A276" t="s">
        <v>250</v>
      </c>
    </row>
    <row r="277" spans="1:1" x14ac:dyDescent="0.2">
      <c r="A277" t="s">
        <v>11</v>
      </c>
    </row>
    <row r="278" spans="1:1" x14ac:dyDescent="0.2">
      <c r="A278" t="s">
        <v>577</v>
      </c>
    </row>
    <row r="279" spans="1:1" x14ac:dyDescent="0.2">
      <c r="A279" t="s">
        <v>463</v>
      </c>
    </row>
    <row r="280" spans="1:1" x14ac:dyDescent="0.2">
      <c r="A280" t="s">
        <v>14</v>
      </c>
    </row>
    <row r="281" spans="1:1" x14ac:dyDescent="0.2">
      <c r="A281" t="s">
        <v>294</v>
      </c>
    </row>
    <row r="282" spans="1:1" x14ac:dyDescent="0.2">
      <c r="A282" t="s">
        <v>450</v>
      </c>
    </row>
    <row r="283" spans="1:1" x14ac:dyDescent="0.2">
      <c r="A283" t="s">
        <v>172</v>
      </c>
    </row>
    <row r="284" spans="1:1" x14ac:dyDescent="0.2">
      <c r="A284" t="s">
        <v>113</v>
      </c>
    </row>
    <row r="285" spans="1:1" x14ac:dyDescent="0.2">
      <c r="A285" t="s">
        <v>267</v>
      </c>
    </row>
    <row r="286" spans="1:1" x14ac:dyDescent="0.2">
      <c r="A286" t="s">
        <v>13</v>
      </c>
    </row>
    <row r="287" spans="1:1" x14ac:dyDescent="0.2">
      <c r="A287" t="s">
        <v>278</v>
      </c>
    </row>
    <row r="288" spans="1:1" x14ac:dyDescent="0.2">
      <c r="A288" t="s">
        <v>503</v>
      </c>
    </row>
    <row r="289" spans="1:1" x14ac:dyDescent="0.2">
      <c r="A289" t="s">
        <v>488</v>
      </c>
    </row>
    <row r="290" spans="1:1" x14ac:dyDescent="0.2">
      <c r="A290" t="s">
        <v>317</v>
      </c>
    </row>
    <row r="291" spans="1:1" x14ac:dyDescent="0.2">
      <c r="A291" t="s">
        <v>217</v>
      </c>
    </row>
    <row r="292" spans="1:1" x14ac:dyDescent="0.2">
      <c r="A292" t="s">
        <v>132</v>
      </c>
    </row>
    <row r="293" spans="1:1" x14ac:dyDescent="0.2">
      <c r="A293" t="s">
        <v>287</v>
      </c>
    </row>
    <row r="294" spans="1:1" x14ac:dyDescent="0.2">
      <c r="A294" t="s">
        <v>326</v>
      </c>
    </row>
    <row r="295" spans="1:1" x14ac:dyDescent="0.2">
      <c r="A295" t="s">
        <v>299</v>
      </c>
    </row>
    <row r="296" spans="1:1" x14ac:dyDescent="0.2">
      <c r="A296" t="s">
        <v>370</v>
      </c>
    </row>
    <row r="297" spans="1:1" x14ac:dyDescent="0.2">
      <c r="A297" t="s">
        <v>257</v>
      </c>
    </row>
    <row r="298" spans="1:1" x14ac:dyDescent="0.2">
      <c r="A298" t="s">
        <v>470</v>
      </c>
    </row>
    <row r="299" spans="1:1" x14ac:dyDescent="0.2">
      <c r="A299" t="s">
        <v>164</v>
      </c>
    </row>
    <row r="300" spans="1:1" x14ac:dyDescent="0.2">
      <c r="A300" t="s">
        <v>327</v>
      </c>
    </row>
    <row r="301" spans="1:1" x14ac:dyDescent="0.2">
      <c r="A301" t="s">
        <v>344</v>
      </c>
    </row>
    <row r="302" spans="1:1" x14ac:dyDescent="0.2">
      <c r="A302" t="s">
        <v>167</v>
      </c>
    </row>
    <row r="303" spans="1:1" x14ac:dyDescent="0.2">
      <c r="A303" t="s">
        <v>179</v>
      </c>
    </row>
    <row r="304" spans="1:1" x14ac:dyDescent="0.2">
      <c r="A304" t="s">
        <v>304</v>
      </c>
    </row>
    <row r="305" spans="1:1" x14ac:dyDescent="0.2">
      <c r="A305" t="s">
        <v>322</v>
      </c>
    </row>
    <row r="306" spans="1:1" x14ac:dyDescent="0.2">
      <c r="A306" t="s">
        <v>334</v>
      </c>
    </row>
    <row r="307" spans="1:1" x14ac:dyDescent="0.2">
      <c r="A307" t="s">
        <v>351</v>
      </c>
    </row>
    <row r="308" spans="1:1" x14ac:dyDescent="0.2">
      <c r="A308" t="s">
        <v>459</v>
      </c>
    </row>
    <row r="309" spans="1:1" x14ac:dyDescent="0.2">
      <c r="A309" t="s">
        <v>467</v>
      </c>
    </row>
    <row r="310" spans="1:1" x14ac:dyDescent="0.2">
      <c r="A310" t="s">
        <v>480</v>
      </c>
    </row>
    <row r="311" spans="1:1" x14ac:dyDescent="0.2">
      <c r="A311" t="s">
        <v>187</v>
      </c>
    </row>
    <row r="312" spans="1:1" x14ac:dyDescent="0.2">
      <c r="A312" t="s">
        <v>206</v>
      </c>
    </row>
    <row r="313" spans="1:1" x14ac:dyDescent="0.2">
      <c r="A313" t="s">
        <v>220</v>
      </c>
    </row>
    <row r="314" spans="1:1" x14ac:dyDescent="0.2">
      <c r="A314" t="s">
        <v>240</v>
      </c>
    </row>
    <row r="315" spans="1:1" x14ac:dyDescent="0.2">
      <c r="A315" t="s">
        <v>360</v>
      </c>
    </row>
    <row r="316" spans="1:1" x14ac:dyDescent="0.2">
      <c r="A316" t="s">
        <v>72</v>
      </c>
    </row>
    <row r="317" spans="1:1" x14ac:dyDescent="0.2">
      <c r="A317" t="s">
        <v>539</v>
      </c>
    </row>
    <row r="318" spans="1:1" x14ac:dyDescent="0.2">
      <c r="A318" t="s">
        <v>583</v>
      </c>
    </row>
    <row r="319" spans="1:1" x14ac:dyDescent="0.2">
      <c r="A319" t="s">
        <v>469</v>
      </c>
    </row>
    <row r="320" spans="1:1" x14ac:dyDescent="0.2">
      <c r="A320" t="s">
        <v>9</v>
      </c>
    </row>
    <row r="321" spans="1:1" x14ac:dyDescent="0.2">
      <c r="A321" t="s">
        <v>237</v>
      </c>
    </row>
    <row r="322" spans="1:1" x14ac:dyDescent="0.2">
      <c r="A322" t="s">
        <v>144</v>
      </c>
    </row>
    <row r="323" spans="1:1" x14ac:dyDescent="0.2">
      <c r="A323" t="s">
        <v>429</v>
      </c>
    </row>
    <row r="324" spans="1:1" x14ac:dyDescent="0.2">
      <c r="A324" t="s">
        <v>232</v>
      </c>
    </row>
    <row r="325" spans="1:1" x14ac:dyDescent="0.2">
      <c r="A325" t="s">
        <v>163</v>
      </c>
    </row>
    <row r="326" spans="1:1" x14ac:dyDescent="0.2">
      <c r="A326" t="s">
        <v>209</v>
      </c>
    </row>
    <row r="327" spans="1:1" x14ac:dyDescent="0.2">
      <c r="A327" t="s">
        <v>474</v>
      </c>
    </row>
    <row r="328" spans="1:1" x14ac:dyDescent="0.2">
      <c r="A328" t="s">
        <v>403</v>
      </c>
    </row>
    <row r="329" spans="1:1" x14ac:dyDescent="0.2">
      <c r="A329" t="s">
        <v>168</v>
      </c>
    </row>
    <row r="330" spans="1:1" x14ac:dyDescent="0.2">
      <c r="A330" t="s">
        <v>228</v>
      </c>
    </row>
    <row r="331" spans="1:1" x14ac:dyDescent="0.2">
      <c r="A331" t="s">
        <v>152</v>
      </c>
    </row>
    <row r="332" spans="1:1" x14ac:dyDescent="0.2">
      <c r="A332" t="s">
        <v>246</v>
      </c>
    </row>
    <row r="333" spans="1:1" x14ac:dyDescent="0.2">
      <c r="A333" t="s">
        <v>151</v>
      </c>
    </row>
    <row r="334" spans="1:1" x14ac:dyDescent="0.2">
      <c r="A334" t="s">
        <v>65</v>
      </c>
    </row>
    <row r="335" spans="1:1" x14ac:dyDescent="0.2">
      <c r="A335" t="s">
        <v>433</v>
      </c>
    </row>
    <row r="336" spans="1:1" x14ac:dyDescent="0.2">
      <c r="A336" t="s">
        <v>75</v>
      </c>
    </row>
    <row r="337" spans="1:1" x14ac:dyDescent="0.2">
      <c r="A337" t="s">
        <v>64</v>
      </c>
    </row>
    <row r="338" spans="1:1" x14ac:dyDescent="0.2">
      <c r="A338" t="s">
        <v>580</v>
      </c>
    </row>
    <row r="339" spans="1:1" x14ac:dyDescent="0.2">
      <c r="A339" t="s">
        <v>119</v>
      </c>
    </row>
    <row r="340" spans="1:1" x14ac:dyDescent="0.2">
      <c r="A340" t="s">
        <v>198</v>
      </c>
    </row>
    <row r="341" spans="1:1" x14ac:dyDescent="0.2">
      <c r="A341" t="s">
        <v>319</v>
      </c>
    </row>
    <row r="342" spans="1:1" x14ac:dyDescent="0.2">
      <c r="A342" t="s">
        <v>479</v>
      </c>
    </row>
    <row r="343" spans="1:1" x14ac:dyDescent="0.2">
      <c r="A343" t="s">
        <v>194</v>
      </c>
    </row>
    <row r="344" spans="1:1" x14ac:dyDescent="0.2">
      <c r="A344" t="s">
        <v>327</v>
      </c>
    </row>
    <row r="345" spans="1:1" x14ac:dyDescent="0.2">
      <c r="A345" t="s">
        <v>501</v>
      </c>
    </row>
    <row r="346" spans="1:1" x14ac:dyDescent="0.2">
      <c r="A346" t="s">
        <v>344</v>
      </c>
    </row>
    <row r="347" spans="1:1" x14ac:dyDescent="0.2">
      <c r="A347" t="s">
        <v>180</v>
      </c>
    </row>
    <row r="348" spans="1:1" x14ac:dyDescent="0.2">
      <c r="A348" t="s">
        <v>112</v>
      </c>
    </row>
    <row r="349" spans="1:1" x14ac:dyDescent="0.2">
      <c r="A349" t="s">
        <v>167</v>
      </c>
    </row>
    <row r="350" spans="1:1" x14ac:dyDescent="0.2">
      <c r="A350" t="s">
        <v>179</v>
      </c>
    </row>
    <row r="351" spans="1:1" x14ac:dyDescent="0.2">
      <c r="A351" t="s">
        <v>304</v>
      </c>
    </row>
    <row r="352" spans="1:1" x14ac:dyDescent="0.2">
      <c r="A352" t="s">
        <v>322</v>
      </c>
    </row>
    <row r="353" spans="1:1" x14ac:dyDescent="0.2">
      <c r="A353" t="s">
        <v>334</v>
      </c>
    </row>
    <row r="354" spans="1:1" x14ac:dyDescent="0.2">
      <c r="A354" t="s">
        <v>351</v>
      </c>
    </row>
    <row r="355" spans="1:1" x14ac:dyDescent="0.2">
      <c r="A355" t="s">
        <v>459</v>
      </c>
    </row>
    <row r="356" spans="1:1" x14ac:dyDescent="0.2">
      <c r="A356" t="s">
        <v>467</v>
      </c>
    </row>
    <row r="357" spans="1:1" x14ac:dyDescent="0.2">
      <c r="A357" t="s">
        <v>480</v>
      </c>
    </row>
    <row r="358" spans="1:1" x14ac:dyDescent="0.2">
      <c r="A358" t="s">
        <v>187</v>
      </c>
    </row>
    <row r="359" spans="1:1" x14ac:dyDescent="0.2">
      <c r="A359" t="s">
        <v>206</v>
      </c>
    </row>
    <row r="360" spans="1:1" x14ac:dyDescent="0.2">
      <c r="A360" t="s">
        <v>220</v>
      </c>
    </row>
    <row r="361" spans="1:1" x14ac:dyDescent="0.2">
      <c r="A361" t="s">
        <v>240</v>
      </c>
    </row>
    <row r="362" spans="1:1" x14ac:dyDescent="0.2">
      <c r="A362" t="s">
        <v>360</v>
      </c>
    </row>
    <row r="363" spans="1:1" x14ac:dyDescent="0.2">
      <c r="A363" t="s">
        <v>72</v>
      </c>
    </row>
    <row r="364" spans="1:1" x14ac:dyDescent="0.2">
      <c r="A364" t="s">
        <v>539</v>
      </c>
    </row>
    <row r="365" spans="1:1" x14ac:dyDescent="0.2">
      <c r="A365" t="s">
        <v>279</v>
      </c>
    </row>
    <row r="366" spans="1:1" x14ac:dyDescent="0.2">
      <c r="A366" t="s">
        <v>469</v>
      </c>
    </row>
    <row r="367" spans="1:1" x14ac:dyDescent="0.2">
      <c r="A367" t="s">
        <v>9</v>
      </c>
    </row>
    <row r="368" spans="1:1" x14ac:dyDescent="0.2">
      <c r="A368" t="s">
        <v>237</v>
      </c>
    </row>
    <row r="369" spans="1:1" x14ac:dyDescent="0.2">
      <c r="A369" t="s">
        <v>144</v>
      </c>
    </row>
    <row r="370" spans="1:1" x14ac:dyDescent="0.2">
      <c r="A370" t="s">
        <v>96</v>
      </c>
    </row>
    <row r="371" spans="1:1" x14ac:dyDescent="0.2">
      <c r="A371" t="s">
        <v>429</v>
      </c>
    </row>
    <row r="372" spans="1:1" x14ac:dyDescent="0.2">
      <c r="A372" t="s">
        <v>554</v>
      </c>
    </row>
    <row r="373" spans="1:1" x14ac:dyDescent="0.2">
      <c r="A373" t="s">
        <v>163</v>
      </c>
    </row>
    <row r="374" spans="1:1" x14ac:dyDescent="0.2">
      <c r="A374" t="s">
        <v>209</v>
      </c>
    </row>
    <row r="375" spans="1:1" x14ac:dyDescent="0.2">
      <c r="A375" t="s">
        <v>474</v>
      </c>
    </row>
    <row r="376" spans="1:1" x14ac:dyDescent="0.2">
      <c r="A376" t="s">
        <v>403</v>
      </c>
    </row>
    <row r="377" spans="1:1" x14ac:dyDescent="0.2">
      <c r="A377" t="s">
        <v>168</v>
      </c>
    </row>
    <row r="378" spans="1:1" x14ac:dyDescent="0.2">
      <c r="A378" t="s">
        <v>228</v>
      </c>
    </row>
    <row r="379" spans="1:1" x14ac:dyDescent="0.2">
      <c r="A379" t="s">
        <v>152</v>
      </c>
    </row>
    <row r="380" spans="1:1" x14ac:dyDescent="0.2">
      <c r="A380" t="s">
        <v>121</v>
      </c>
    </row>
    <row r="381" spans="1:1" x14ac:dyDescent="0.2">
      <c r="A381" t="s">
        <v>251</v>
      </c>
    </row>
    <row r="382" spans="1:1" x14ac:dyDescent="0.2">
      <c r="A382" t="s">
        <v>465</v>
      </c>
    </row>
    <row r="383" spans="1:1" x14ac:dyDescent="0.2">
      <c r="A383" t="s">
        <v>65</v>
      </c>
    </row>
    <row r="384" spans="1:1" x14ac:dyDescent="0.2">
      <c r="A384" t="s">
        <v>242</v>
      </c>
    </row>
    <row r="385" spans="1:1" x14ac:dyDescent="0.2">
      <c r="A385" t="s">
        <v>75</v>
      </c>
    </row>
    <row r="386" spans="1:1" x14ac:dyDescent="0.2">
      <c r="A386" t="s">
        <v>64</v>
      </c>
    </row>
    <row r="387" spans="1:1" x14ac:dyDescent="0.2">
      <c r="A387" t="s">
        <v>580</v>
      </c>
    </row>
    <row r="388" spans="1:1" x14ac:dyDescent="0.2">
      <c r="A388" t="s">
        <v>119</v>
      </c>
    </row>
    <row r="389" spans="1:1" x14ac:dyDescent="0.2">
      <c r="A389" t="s">
        <v>198</v>
      </c>
    </row>
    <row r="390" spans="1:1" x14ac:dyDescent="0.2">
      <c r="A390" t="s">
        <v>249</v>
      </c>
    </row>
    <row r="391" spans="1:1" x14ac:dyDescent="0.2">
      <c r="A391" t="s">
        <v>262</v>
      </c>
    </row>
    <row r="392" spans="1:1" x14ac:dyDescent="0.2">
      <c r="A392" t="s">
        <v>528</v>
      </c>
    </row>
    <row r="393" spans="1:1" x14ac:dyDescent="0.2">
      <c r="A393" t="s">
        <v>255</v>
      </c>
    </row>
    <row r="394" spans="1:1" x14ac:dyDescent="0.2">
      <c r="A394" t="s">
        <v>366</v>
      </c>
    </row>
    <row r="395" spans="1:1" x14ac:dyDescent="0.2">
      <c r="A395" t="s">
        <v>497</v>
      </c>
    </row>
    <row r="396" spans="1:1" x14ac:dyDescent="0.2">
      <c r="A396" t="s">
        <v>541</v>
      </c>
    </row>
  </sheetData>
  <sortState xmlns:xlrd2="http://schemas.microsoft.com/office/spreadsheetml/2017/richdata2" ref="A1:A19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952D5-8C07-419A-960A-EC67D7EA4129}">
  <sheetPr codeName="Sheet8"/>
  <dimension ref="A1:F2622"/>
  <sheetViews>
    <sheetView workbookViewId="0"/>
  </sheetViews>
  <sheetFormatPr defaultRowHeight="12.75" x14ac:dyDescent="0.2"/>
  <cols>
    <col min="1" max="1" width="17.7109375" style="325" bestFit="1" customWidth="1"/>
    <col min="2" max="2" width="15.7109375" style="325" bestFit="1" customWidth="1"/>
    <col min="3" max="3" width="10" style="325" bestFit="1" customWidth="1"/>
    <col min="4" max="4" width="31.7109375" style="325" bestFit="1" customWidth="1"/>
    <col min="5" max="5" width="5.42578125" style="325" bestFit="1" customWidth="1"/>
    <col min="6" max="6" width="105.42578125" style="325" bestFit="1" customWidth="1"/>
  </cols>
  <sheetData>
    <row r="1" spans="1:6" s="183" customFormat="1" x14ac:dyDescent="0.2">
      <c r="A1" s="324" t="s">
        <v>996</v>
      </c>
      <c r="B1" s="324" t="s">
        <v>791</v>
      </c>
      <c r="C1" s="324" t="s">
        <v>786</v>
      </c>
      <c r="D1" s="324" t="s">
        <v>792</v>
      </c>
      <c r="E1" s="324" t="s">
        <v>117</v>
      </c>
      <c r="F1" s="324" t="s">
        <v>992</v>
      </c>
    </row>
    <row r="2" spans="1:6" x14ac:dyDescent="0.2">
      <c r="A2" s="325" t="s">
        <v>178</v>
      </c>
      <c r="B2" s="325" t="s">
        <v>793</v>
      </c>
      <c r="C2" s="325" t="s">
        <v>991</v>
      </c>
      <c r="D2" s="325" t="s">
        <v>654</v>
      </c>
      <c r="E2" s="325" t="s">
        <v>265</v>
      </c>
      <c r="F2" s="325" t="s">
        <v>998</v>
      </c>
    </row>
    <row r="3" spans="1:6" x14ac:dyDescent="0.2">
      <c r="A3" s="325" t="s">
        <v>178</v>
      </c>
      <c r="B3" s="325" t="s">
        <v>794</v>
      </c>
      <c r="C3" s="325" t="s">
        <v>991</v>
      </c>
      <c r="D3" s="325" t="s">
        <v>510</v>
      </c>
      <c r="E3" s="325" t="s">
        <v>265</v>
      </c>
      <c r="F3" s="325" t="s">
        <v>999</v>
      </c>
    </row>
    <row r="4" spans="1:6" x14ac:dyDescent="0.2">
      <c r="A4" s="325" t="s">
        <v>178</v>
      </c>
      <c r="B4" s="325" t="s">
        <v>795</v>
      </c>
      <c r="C4" s="325" t="s">
        <v>991</v>
      </c>
      <c r="D4" s="325" t="s">
        <v>302</v>
      </c>
      <c r="E4" s="325" t="s">
        <v>265</v>
      </c>
      <c r="F4" s="325" t="s">
        <v>1000</v>
      </c>
    </row>
    <row r="5" spans="1:6" x14ac:dyDescent="0.2">
      <c r="A5" s="325" t="s">
        <v>178</v>
      </c>
      <c r="B5" s="325" t="s">
        <v>796</v>
      </c>
      <c r="C5" s="325" t="s">
        <v>991</v>
      </c>
      <c r="D5" s="325" t="s">
        <v>400</v>
      </c>
      <c r="E5" s="325" t="s">
        <v>265</v>
      </c>
      <c r="F5" s="325" t="s">
        <v>1001</v>
      </c>
    </row>
    <row r="6" spans="1:6" x14ac:dyDescent="0.2">
      <c r="A6" s="325" t="s">
        <v>178</v>
      </c>
      <c r="B6" s="325" t="s">
        <v>797</v>
      </c>
      <c r="C6" s="325" t="s">
        <v>991</v>
      </c>
      <c r="D6" s="325" t="s">
        <v>168</v>
      </c>
      <c r="E6" s="325" t="s">
        <v>265</v>
      </c>
      <c r="F6" s="325" t="s">
        <v>145</v>
      </c>
    </row>
    <row r="7" spans="1:6" x14ac:dyDescent="0.2">
      <c r="A7" s="325" t="s">
        <v>178</v>
      </c>
      <c r="B7" s="325" t="s">
        <v>798</v>
      </c>
      <c r="C7" s="325" t="s">
        <v>991</v>
      </c>
      <c r="D7" s="325" t="s">
        <v>310</v>
      </c>
      <c r="E7" s="325" t="s">
        <v>265</v>
      </c>
      <c r="F7" s="325" t="s">
        <v>350</v>
      </c>
    </row>
    <row r="8" spans="1:6" x14ac:dyDescent="0.2">
      <c r="A8" s="325" t="s">
        <v>178</v>
      </c>
      <c r="B8" s="325" t="s">
        <v>799</v>
      </c>
      <c r="C8" s="325" t="s">
        <v>991</v>
      </c>
      <c r="D8" s="325" t="s">
        <v>87</v>
      </c>
      <c r="E8" s="325" t="s">
        <v>265</v>
      </c>
      <c r="F8" s="325" t="s">
        <v>79</v>
      </c>
    </row>
    <row r="9" spans="1:6" x14ac:dyDescent="0.2">
      <c r="A9" s="325" t="s">
        <v>178</v>
      </c>
      <c r="B9" s="325" t="s">
        <v>800</v>
      </c>
      <c r="C9" s="325" t="s">
        <v>991</v>
      </c>
      <c r="D9" s="325" t="s">
        <v>228</v>
      </c>
      <c r="E9" s="325" t="s">
        <v>265</v>
      </c>
      <c r="F9" s="325" t="s">
        <v>331</v>
      </c>
    </row>
    <row r="10" spans="1:6" x14ac:dyDescent="0.2">
      <c r="A10" s="325" t="s">
        <v>178</v>
      </c>
      <c r="B10" s="325" t="s">
        <v>801</v>
      </c>
      <c r="C10" s="325" t="s">
        <v>991</v>
      </c>
      <c r="D10" s="325" t="s">
        <v>144</v>
      </c>
      <c r="E10" s="325" t="s">
        <v>265</v>
      </c>
      <c r="F10" s="325" t="s">
        <v>340</v>
      </c>
    </row>
    <row r="11" spans="1:6" x14ac:dyDescent="0.2">
      <c r="A11" s="325" t="s">
        <v>178</v>
      </c>
      <c r="B11" s="325" t="s">
        <v>802</v>
      </c>
      <c r="C11" s="325" t="s">
        <v>991</v>
      </c>
      <c r="D11" s="325" t="s">
        <v>429</v>
      </c>
      <c r="E11" s="325" t="s">
        <v>265</v>
      </c>
      <c r="F11" s="325" t="s">
        <v>263</v>
      </c>
    </row>
    <row r="12" spans="1:6" x14ac:dyDescent="0.2">
      <c r="A12" s="325" t="s">
        <v>178</v>
      </c>
      <c r="B12" s="325" t="s">
        <v>803</v>
      </c>
      <c r="C12" s="325" t="s">
        <v>991</v>
      </c>
      <c r="D12" s="325" t="s">
        <v>182</v>
      </c>
      <c r="E12" s="325" t="s">
        <v>265</v>
      </c>
      <c r="F12" s="325" t="s">
        <v>223</v>
      </c>
    </row>
    <row r="13" spans="1:6" x14ac:dyDescent="0.2">
      <c r="A13" s="325" t="s">
        <v>178</v>
      </c>
      <c r="B13" s="325" t="s">
        <v>804</v>
      </c>
      <c r="C13" s="325" t="s">
        <v>991</v>
      </c>
      <c r="D13" s="325" t="s">
        <v>298</v>
      </c>
      <c r="E13" s="325" t="s">
        <v>265</v>
      </c>
      <c r="F13" s="325" t="s">
        <v>423</v>
      </c>
    </row>
    <row r="14" spans="1:6" x14ac:dyDescent="0.2">
      <c r="A14" s="325" t="s">
        <v>178</v>
      </c>
      <c r="B14" s="325" t="s">
        <v>805</v>
      </c>
      <c r="C14" s="325" t="s">
        <v>991</v>
      </c>
      <c r="D14" s="325" t="s">
        <v>571</v>
      </c>
      <c r="E14" s="325" t="s">
        <v>265</v>
      </c>
      <c r="F14" s="325" t="s">
        <v>258</v>
      </c>
    </row>
    <row r="15" spans="1:6" x14ac:dyDescent="0.2">
      <c r="A15" s="325" t="s">
        <v>178</v>
      </c>
      <c r="B15" s="325" t="s">
        <v>806</v>
      </c>
      <c r="C15" s="325" t="s">
        <v>991</v>
      </c>
      <c r="D15" s="325" t="s">
        <v>156</v>
      </c>
      <c r="E15" s="325" t="s">
        <v>265</v>
      </c>
      <c r="F15" s="325" t="s">
        <v>226</v>
      </c>
    </row>
    <row r="16" spans="1:6" x14ac:dyDescent="0.2">
      <c r="A16" s="325" t="s">
        <v>178</v>
      </c>
      <c r="B16" s="325" t="s">
        <v>807</v>
      </c>
      <c r="C16" s="325" t="s">
        <v>991</v>
      </c>
      <c r="D16" s="325" t="s">
        <v>299</v>
      </c>
      <c r="E16" s="325" t="s">
        <v>265</v>
      </c>
      <c r="F16" s="325" t="s">
        <v>3</v>
      </c>
    </row>
    <row r="17" spans="1:6" x14ac:dyDescent="0.2">
      <c r="A17" s="325" t="s">
        <v>178</v>
      </c>
      <c r="B17" s="325" t="s">
        <v>808</v>
      </c>
      <c r="C17" s="325" t="s">
        <v>991</v>
      </c>
      <c r="D17" s="325" t="s">
        <v>164</v>
      </c>
      <c r="E17" s="325" t="s">
        <v>265</v>
      </c>
      <c r="F17" s="325" t="s">
        <v>524</v>
      </c>
    </row>
    <row r="18" spans="1:6" x14ac:dyDescent="0.2">
      <c r="A18" s="325" t="s">
        <v>178</v>
      </c>
      <c r="B18" s="325" t="s">
        <v>809</v>
      </c>
      <c r="C18" s="325" t="s">
        <v>991</v>
      </c>
      <c r="D18" s="325" t="s">
        <v>403</v>
      </c>
      <c r="E18" s="325" t="s">
        <v>265</v>
      </c>
      <c r="F18" s="325" t="s">
        <v>195</v>
      </c>
    </row>
    <row r="19" spans="1:6" x14ac:dyDescent="0.2">
      <c r="A19" s="325" t="s">
        <v>178</v>
      </c>
      <c r="B19" s="325" t="s">
        <v>810</v>
      </c>
      <c r="C19" s="325" t="s">
        <v>991</v>
      </c>
      <c r="D19" s="325" t="s">
        <v>367</v>
      </c>
      <c r="E19" s="325" t="s">
        <v>265</v>
      </c>
      <c r="F19" s="325" t="s">
        <v>461</v>
      </c>
    </row>
    <row r="20" spans="1:6" x14ac:dyDescent="0.2">
      <c r="A20" s="325" t="s">
        <v>178</v>
      </c>
      <c r="B20" s="325" t="s">
        <v>811</v>
      </c>
      <c r="C20" s="325" t="s">
        <v>991</v>
      </c>
      <c r="D20" s="325" t="s">
        <v>105</v>
      </c>
      <c r="E20" s="325" t="s">
        <v>265</v>
      </c>
      <c r="F20" s="325" t="s">
        <v>393</v>
      </c>
    </row>
    <row r="21" spans="1:6" x14ac:dyDescent="0.2">
      <c r="A21" s="325" t="s">
        <v>178</v>
      </c>
      <c r="B21" s="325" t="s">
        <v>812</v>
      </c>
      <c r="C21" s="325" t="s">
        <v>991</v>
      </c>
      <c r="D21" s="325" t="s">
        <v>520</v>
      </c>
      <c r="E21" s="325" t="s">
        <v>265</v>
      </c>
      <c r="F21" s="325" t="s">
        <v>277</v>
      </c>
    </row>
    <row r="22" spans="1:6" x14ac:dyDescent="0.2">
      <c r="A22" s="325" t="s">
        <v>178</v>
      </c>
      <c r="B22" s="325" t="s">
        <v>813</v>
      </c>
      <c r="C22" s="325" t="s">
        <v>991</v>
      </c>
      <c r="D22" s="325" t="s">
        <v>469</v>
      </c>
      <c r="E22" s="325" t="s">
        <v>265</v>
      </c>
      <c r="F22" s="325" t="s">
        <v>452</v>
      </c>
    </row>
    <row r="23" spans="1:6" x14ac:dyDescent="0.2">
      <c r="A23" s="325" t="s">
        <v>178</v>
      </c>
      <c r="B23" s="325" t="s">
        <v>814</v>
      </c>
      <c r="C23" s="325" t="s">
        <v>991</v>
      </c>
      <c r="D23" s="325" t="s">
        <v>432</v>
      </c>
      <c r="E23" s="325" t="s">
        <v>265</v>
      </c>
      <c r="F23" s="325" t="s">
        <v>489</v>
      </c>
    </row>
    <row r="24" spans="1:6" x14ac:dyDescent="0.2">
      <c r="A24" s="325" t="s">
        <v>178</v>
      </c>
      <c r="B24" s="325" t="s">
        <v>815</v>
      </c>
      <c r="C24" s="325" t="s">
        <v>991</v>
      </c>
      <c r="D24" s="325" t="s">
        <v>111</v>
      </c>
      <c r="E24" s="325" t="s">
        <v>265</v>
      </c>
      <c r="F24" s="325" t="s">
        <v>261</v>
      </c>
    </row>
    <row r="25" spans="1:6" x14ac:dyDescent="0.2">
      <c r="A25" s="325" t="s">
        <v>178</v>
      </c>
      <c r="B25" s="325" t="s">
        <v>816</v>
      </c>
      <c r="C25" s="325" t="s">
        <v>991</v>
      </c>
      <c r="D25" s="325" t="s">
        <v>431</v>
      </c>
      <c r="E25" s="325" t="s">
        <v>265</v>
      </c>
      <c r="F25" s="325" t="s">
        <v>464</v>
      </c>
    </row>
    <row r="26" spans="1:6" x14ac:dyDescent="0.2">
      <c r="A26" s="325" t="s">
        <v>178</v>
      </c>
      <c r="B26" s="325" t="s">
        <v>817</v>
      </c>
      <c r="C26" s="325" t="s">
        <v>991</v>
      </c>
      <c r="D26" s="325" t="s">
        <v>15</v>
      </c>
      <c r="E26" s="325" t="s">
        <v>265</v>
      </c>
      <c r="F26" s="325" t="s">
        <v>446</v>
      </c>
    </row>
    <row r="27" spans="1:6" x14ac:dyDescent="0.2">
      <c r="A27" s="325" t="s">
        <v>178</v>
      </c>
      <c r="B27" s="325" t="s">
        <v>818</v>
      </c>
      <c r="C27" s="325" t="s">
        <v>991</v>
      </c>
      <c r="D27" s="325" t="s">
        <v>551</v>
      </c>
      <c r="E27" s="325" t="s">
        <v>265</v>
      </c>
      <c r="F27" s="325" t="s">
        <v>428</v>
      </c>
    </row>
    <row r="28" spans="1:6" x14ac:dyDescent="0.2">
      <c r="A28" s="325" t="s">
        <v>178</v>
      </c>
      <c r="B28" s="325" t="s">
        <v>819</v>
      </c>
      <c r="C28" s="325" t="s">
        <v>991</v>
      </c>
      <c r="D28" s="325" t="s">
        <v>9</v>
      </c>
      <c r="E28" s="325" t="s">
        <v>265</v>
      </c>
      <c r="F28" s="325" t="s">
        <v>189</v>
      </c>
    </row>
    <row r="29" spans="1:6" x14ac:dyDescent="0.2">
      <c r="A29" s="325" t="s">
        <v>178</v>
      </c>
      <c r="B29" s="325" t="s">
        <v>820</v>
      </c>
      <c r="C29" s="325" t="s">
        <v>991</v>
      </c>
      <c r="D29" s="325" t="s">
        <v>566</v>
      </c>
      <c r="E29" s="325" t="s">
        <v>265</v>
      </c>
      <c r="F29" s="325" t="s">
        <v>135</v>
      </c>
    </row>
    <row r="30" spans="1:6" x14ac:dyDescent="0.2">
      <c r="A30" s="325" t="s">
        <v>178</v>
      </c>
      <c r="B30" s="325" t="s">
        <v>821</v>
      </c>
      <c r="C30" s="325" t="s">
        <v>991</v>
      </c>
      <c r="D30" s="325" t="s">
        <v>412</v>
      </c>
      <c r="E30" s="325" t="s">
        <v>456</v>
      </c>
      <c r="F30" s="325" t="s">
        <v>128</v>
      </c>
    </row>
    <row r="31" spans="1:6" x14ac:dyDescent="0.2">
      <c r="A31" s="325" t="s">
        <v>178</v>
      </c>
      <c r="B31" s="325" t="s">
        <v>822</v>
      </c>
      <c r="C31" s="325" t="s">
        <v>991</v>
      </c>
      <c r="D31" s="325" t="s">
        <v>369</v>
      </c>
      <c r="E31" s="325" t="s">
        <v>456</v>
      </c>
      <c r="F31" s="325" t="s">
        <v>496</v>
      </c>
    </row>
    <row r="32" spans="1:6" x14ac:dyDescent="0.2">
      <c r="A32" s="325" t="s">
        <v>178</v>
      </c>
      <c r="B32" s="325" t="s">
        <v>823</v>
      </c>
      <c r="C32" s="325" t="s">
        <v>991</v>
      </c>
      <c r="D32" s="325" t="s">
        <v>534</v>
      </c>
      <c r="E32" s="325" t="s">
        <v>456</v>
      </c>
      <c r="F32" s="325" t="s">
        <v>668</v>
      </c>
    </row>
    <row r="33" spans="1:6" x14ac:dyDescent="0.2">
      <c r="A33" s="325" t="s">
        <v>178</v>
      </c>
      <c r="B33" s="325" t="s">
        <v>824</v>
      </c>
      <c r="C33" s="325" t="s">
        <v>991</v>
      </c>
      <c r="D33" s="325" t="s">
        <v>583</v>
      </c>
      <c r="E33" s="325" t="s">
        <v>456</v>
      </c>
      <c r="F33" s="325" t="s">
        <v>669</v>
      </c>
    </row>
    <row r="34" spans="1:6" x14ac:dyDescent="0.2">
      <c r="A34" s="325" t="s">
        <v>178</v>
      </c>
      <c r="B34" s="325" t="s">
        <v>825</v>
      </c>
      <c r="C34" s="325" t="s">
        <v>991</v>
      </c>
      <c r="D34" s="325" t="s">
        <v>471</v>
      </c>
      <c r="E34" s="325" t="s">
        <v>456</v>
      </c>
      <c r="F34" s="325" t="s">
        <v>466</v>
      </c>
    </row>
    <row r="35" spans="1:6" x14ac:dyDescent="0.2">
      <c r="A35" s="325" t="s">
        <v>178</v>
      </c>
      <c r="B35" s="325" t="s">
        <v>826</v>
      </c>
      <c r="C35" s="325" t="s">
        <v>991</v>
      </c>
      <c r="D35" s="325" t="s">
        <v>539</v>
      </c>
      <c r="E35" s="325" t="s">
        <v>456</v>
      </c>
      <c r="F35" s="325" t="s">
        <v>394</v>
      </c>
    </row>
    <row r="36" spans="1:6" x14ac:dyDescent="0.2">
      <c r="A36" s="325" t="s">
        <v>178</v>
      </c>
      <c r="B36" s="325" t="s">
        <v>827</v>
      </c>
      <c r="C36" s="325" t="s">
        <v>991</v>
      </c>
      <c r="D36" s="325" t="s">
        <v>565</v>
      </c>
      <c r="E36" s="325" t="s">
        <v>265</v>
      </c>
      <c r="F36" s="325" t="s">
        <v>306</v>
      </c>
    </row>
    <row r="37" spans="1:6" x14ac:dyDescent="0.2">
      <c r="A37" s="325" t="s">
        <v>178</v>
      </c>
      <c r="B37" s="325" t="s">
        <v>828</v>
      </c>
      <c r="C37" s="325" t="s">
        <v>991</v>
      </c>
      <c r="D37" s="325" t="s">
        <v>354</v>
      </c>
      <c r="E37" s="325" t="s">
        <v>265</v>
      </c>
      <c r="F37" s="325" t="s">
        <v>755</v>
      </c>
    </row>
    <row r="38" spans="1:6" x14ac:dyDescent="0.2">
      <c r="A38" s="325" t="s">
        <v>178</v>
      </c>
      <c r="B38" s="325" t="s">
        <v>829</v>
      </c>
      <c r="C38" s="325" t="s">
        <v>991</v>
      </c>
      <c r="D38" s="325" t="s">
        <v>522</v>
      </c>
      <c r="E38" s="325" t="s">
        <v>456</v>
      </c>
      <c r="F38" s="325" t="s">
        <v>672</v>
      </c>
    </row>
    <row r="39" spans="1:6" x14ac:dyDescent="0.2">
      <c r="A39" s="325" t="s">
        <v>178</v>
      </c>
      <c r="B39" s="325" t="s">
        <v>830</v>
      </c>
      <c r="C39" s="325" t="s">
        <v>991</v>
      </c>
      <c r="D39" s="325" t="s">
        <v>133</v>
      </c>
      <c r="E39" s="325" t="s">
        <v>265</v>
      </c>
      <c r="F39" s="325" t="s">
        <v>134</v>
      </c>
    </row>
    <row r="40" spans="1:6" x14ac:dyDescent="0.2">
      <c r="A40" s="325" t="s">
        <v>178</v>
      </c>
      <c r="B40" s="325" t="s">
        <v>831</v>
      </c>
      <c r="C40" s="325" t="s">
        <v>991</v>
      </c>
      <c r="D40" s="325" t="s">
        <v>232</v>
      </c>
      <c r="E40" s="325" t="s">
        <v>265</v>
      </c>
      <c r="F40" s="325" t="s">
        <v>315</v>
      </c>
    </row>
    <row r="41" spans="1:6" x14ac:dyDescent="0.2">
      <c r="A41" s="325" t="s">
        <v>178</v>
      </c>
      <c r="B41" s="325" t="s">
        <v>832</v>
      </c>
      <c r="C41" s="325" t="s">
        <v>991</v>
      </c>
      <c r="D41" s="325" t="s">
        <v>56</v>
      </c>
      <c r="E41" s="325" t="s">
        <v>265</v>
      </c>
      <c r="F41" s="325" t="s">
        <v>406</v>
      </c>
    </row>
    <row r="42" spans="1:6" x14ac:dyDescent="0.2">
      <c r="A42" s="325" t="s">
        <v>178</v>
      </c>
      <c r="B42" s="325" t="s">
        <v>833</v>
      </c>
      <c r="C42" s="325" t="s">
        <v>991</v>
      </c>
      <c r="D42" s="325" t="s">
        <v>162</v>
      </c>
      <c r="E42" s="325" t="s">
        <v>456</v>
      </c>
      <c r="F42" s="325" t="s">
        <v>1</v>
      </c>
    </row>
    <row r="43" spans="1:6" x14ac:dyDescent="0.2">
      <c r="A43" s="325" t="s">
        <v>178</v>
      </c>
      <c r="B43" s="325" t="s">
        <v>834</v>
      </c>
      <c r="C43" s="325" t="s">
        <v>991</v>
      </c>
      <c r="D43" s="325" t="s">
        <v>93</v>
      </c>
      <c r="E43" s="325" t="s">
        <v>456</v>
      </c>
      <c r="F43" s="325" t="s">
        <v>170</v>
      </c>
    </row>
    <row r="44" spans="1:6" x14ac:dyDescent="0.2">
      <c r="A44" s="325" t="s">
        <v>178</v>
      </c>
      <c r="B44" s="325" t="s">
        <v>835</v>
      </c>
      <c r="C44" s="325" t="s">
        <v>991</v>
      </c>
      <c r="D44" s="325" t="s">
        <v>198</v>
      </c>
      <c r="E44" s="325" t="s">
        <v>456</v>
      </c>
      <c r="F44" s="325" t="s">
        <v>139</v>
      </c>
    </row>
    <row r="45" spans="1:6" x14ac:dyDescent="0.2">
      <c r="A45" s="325" t="s">
        <v>178</v>
      </c>
      <c r="B45" s="325" t="s">
        <v>836</v>
      </c>
      <c r="C45" s="325" t="s">
        <v>991</v>
      </c>
      <c r="D45" s="325" t="s">
        <v>249</v>
      </c>
      <c r="E45" s="325" t="s">
        <v>556</v>
      </c>
      <c r="F45" s="325" t="s">
        <v>27</v>
      </c>
    </row>
    <row r="46" spans="1:6" x14ac:dyDescent="0.2">
      <c r="A46" s="325" t="s">
        <v>178</v>
      </c>
      <c r="B46" s="325" t="s">
        <v>837</v>
      </c>
      <c r="C46" s="325" t="s">
        <v>991</v>
      </c>
      <c r="D46" s="325" t="s">
        <v>152</v>
      </c>
      <c r="E46" s="325" t="s">
        <v>456</v>
      </c>
      <c r="F46" s="325" t="s">
        <v>555</v>
      </c>
    </row>
    <row r="47" spans="1:6" x14ac:dyDescent="0.2">
      <c r="A47" s="325" t="s">
        <v>178</v>
      </c>
      <c r="B47" s="325" t="s">
        <v>838</v>
      </c>
      <c r="C47" s="325" t="s">
        <v>991</v>
      </c>
      <c r="D47" s="325" t="s">
        <v>513</v>
      </c>
      <c r="E47" s="325" t="s">
        <v>556</v>
      </c>
      <c r="F47" s="325" t="s">
        <v>264</v>
      </c>
    </row>
    <row r="48" spans="1:6" x14ac:dyDescent="0.2">
      <c r="A48" s="325" t="s">
        <v>178</v>
      </c>
      <c r="B48" s="325" t="s">
        <v>839</v>
      </c>
      <c r="C48" s="325" t="s">
        <v>991</v>
      </c>
      <c r="D48" s="325" t="s">
        <v>554</v>
      </c>
      <c r="E48" s="325" t="s">
        <v>456</v>
      </c>
      <c r="F48" s="325" t="s">
        <v>229</v>
      </c>
    </row>
    <row r="49" spans="1:6" x14ac:dyDescent="0.2">
      <c r="A49" s="325" t="s">
        <v>178</v>
      </c>
      <c r="B49" s="325" t="s">
        <v>840</v>
      </c>
      <c r="C49" s="325" t="s">
        <v>991</v>
      </c>
      <c r="D49" s="325" t="s">
        <v>409</v>
      </c>
      <c r="E49" s="325" t="s">
        <v>456</v>
      </c>
      <c r="F49" s="325" t="s">
        <v>336</v>
      </c>
    </row>
    <row r="50" spans="1:6" x14ac:dyDescent="0.2">
      <c r="A50" s="325" t="s">
        <v>178</v>
      </c>
      <c r="B50" s="325" t="s">
        <v>841</v>
      </c>
      <c r="C50" s="325" t="s">
        <v>991</v>
      </c>
      <c r="D50" s="325" t="s">
        <v>72</v>
      </c>
      <c r="E50" s="325" t="s">
        <v>456</v>
      </c>
      <c r="F50" s="325" t="s">
        <v>451</v>
      </c>
    </row>
    <row r="51" spans="1:6" x14ac:dyDescent="0.2">
      <c r="A51" s="325" t="s">
        <v>178</v>
      </c>
      <c r="B51" s="325" t="s">
        <v>842</v>
      </c>
      <c r="C51" s="325" t="s">
        <v>991</v>
      </c>
      <c r="D51" s="325" t="s">
        <v>35</v>
      </c>
      <c r="E51" s="325" t="s">
        <v>456</v>
      </c>
      <c r="F51" s="325" t="s">
        <v>414</v>
      </c>
    </row>
    <row r="52" spans="1:6" x14ac:dyDescent="0.2">
      <c r="A52" s="325" t="s">
        <v>178</v>
      </c>
      <c r="B52" s="325" t="s">
        <v>843</v>
      </c>
      <c r="C52" s="325" t="s">
        <v>991</v>
      </c>
      <c r="D52" s="325" t="s">
        <v>670</v>
      </c>
      <c r="E52" s="325" t="s">
        <v>265</v>
      </c>
      <c r="F52" s="325" t="s">
        <v>997</v>
      </c>
    </row>
    <row r="53" spans="1:6" x14ac:dyDescent="0.2">
      <c r="A53" s="325" t="s">
        <v>178</v>
      </c>
      <c r="B53" s="325" t="s">
        <v>844</v>
      </c>
      <c r="C53" s="325" t="s">
        <v>991</v>
      </c>
      <c r="D53" s="325" t="s">
        <v>320</v>
      </c>
      <c r="E53" s="325" t="s">
        <v>456</v>
      </c>
      <c r="F53" s="325" t="s">
        <v>74</v>
      </c>
    </row>
    <row r="54" spans="1:6" x14ac:dyDescent="0.2">
      <c r="A54" s="325" t="s">
        <v>178</v>
      </c>
      <c r="B54" s="325" t="s">
        <v>845</v>
      </c>
      <c r="C54" s="325" t="s">
        <v>991</v>
      </c>
      <c r="D54" s="325" t="s">
        <v>509</v>
      </c>
      <c r="E54" s="325" t="s">
        <v>456</v>
      </c>
      <c r="F54" s="325" t="s">
        <v>236</v>
      </c>
    </row>
    <row r="55" spans="1:6" x14ac:dyDescent="0.2">
      <c r="A55" s="325" t="s">
        <v>178</v>
      </c>
      <c r="B55" s="325" t="s">
        <v>846</v>
      </c>
      <c r="C55" s="325" t="s">
        <v>991</v>
      </c>
      <c r="D55" s="325" t="s">
        <v>186</v>
      </c>
      <c r="E55" s="325" t="s">
        <v>456</v>
      </c>
      <c r="F55" s="325" t="s">
        <v>738</v>
      </c>
    </row>
    <row r="56" spans="1:6" x14ac:dyDescent="0.2">
      <c r="A56" s="325" t="s">
        <v>178</v>
      </c>
      <c r="B56" s="325" t="s">
        <v>847</v>
      </c>
      <c r="C56" s="325" t="s">
        <v>991</v>
      </c>
      <c r="D56" s="325" t="s">
        <v>517</v>
      </c>
      <c r="E56" s="325" t="s">
        <v>456</v>
      </c>
      <c r="F56" s="325" t="s">
        <v>739</v>
      </c>
    </row>
    <row r="57" spans="1:6" x14ac:dyDescent="0.2">
      <c r="A57" s="325" t="s">
        <v>178</v>
      </c>
      <c r="B57" s="325" t="s">
        <v>848</v>
      </c>
      <c r="C57" s="325" t="s">
        <v>991</v>
      </c>
      <c r="D57" s="325" t="s">
        <v>291</v>
      </c>
      <c r="E57" s="325" t="s">
        <v>456</v>
      </c>
      <c r="F57" s="325" t="s">
        <v>342</v>
      </c>
    </row>
    <row r="58" spans="1:6" x14ac:dyDescent="0.2">
      <c r="A58" s="325" t="s">
        <v>178</v>
      </c>
      <c r="B58" s="325" t="s">
        <v>849</v>
      </c>
      <c r="C58" s="325" t="s">
        <v>991</v>
      </c>
      <c r="D58" s="325" t="s">
        <v>353</v>
      </c>
      <c r="E58" s="325" t="s">
        <v>456</v>
      </c>
      <c r="F58" s="325" t="s">
        <v>559</v>
      </c>
    </row>
    <row r="59" spans="1:6" x14ac:dyDescent="0.2">
      <c r="A59" s="325" t="s">
        <v>178</v>
      </c>
      <c r="B59" s="325" t="s">
        <v>850</v>
      </c>
      <c r="C59" s="325" t="s">
        <v>991</v>
      </c>
      <c r="D59" s="325" t="s">
        <v>366</v>
      </c>
      <c r="E59" s="325" t="s">
        <v>456</v>
      </c>
      <c r="F59" s="325" t="s">
        <v>256</v>
      </c>
    </row>
    <row r="60" spans="1:6" x14ac:dyDescent="0.2">
      <c r="A60" s="325" t="s">
        <v>178</v>
      </c>
      <c r="B60" s="325" t="s">
        <v>851</v>
      </c>
      <c r="C60" s="325" t="s">
        <v>991</v>
      </c>
      <c r="D60" s="325" t="s">
        <v>678</v>
      </c>
      <c r="E60" s="325" t="s">
        <v>456</v>
      </c>
      <c r="F60" s="325" t="s">
        <v>212</v>
      </c>
    </row>
    <row r="61" spans="1:6" x14ac:dyDescent="0.2">
      <c r="A61" s="325" t="s">
        <v>178</v>
      </c>
      <c r="B61" s="325" t="s">
        <v>852</v>
      </c>
      <c r="C61" s="325" t="s">
        <v>991</v>
      </c>
      <c r="D61" s="325" t="s">
        <v>679</v>
      </c>
      <c r="E61" s="325" t="s">
        <v>456</v>
      </c>
      <c r="F61" s="325" t="s">
        <v>682</v>
      </c>
    </row>
    <row r="62" spans="1:6" x14ac:dyDescent="0.2">
      <c r="A62" s="325" t="s">
        <v>178</v>
      </c>
      <c r="B62" s="325" t="s">
        <v>853</v>
      </c>
      <c r="C62" s="325" t="s">
        <v>991</v>
      </c>
      <c r="D62" s="325" t="s">
        <v>262</v>
      </c>
      <c r="E62" s="325" t="s">
        <v>456</v>
      </c>
      <c r="F62" s="325" t="s">
        <v>165</v>
      </c>
    </row>
    <row r="63" spans="1:6" x14ac:dyDescent="0.2">
      <c r="A63" s="325" t="s">
        <v>178</v>
      </c>
      <c r="B63" s="325" t="s">
        <v>854</v>
      </c>
      <c r="C63" s="325" t="s">
        <v>991</v>
      </c>
      <c r="D63" s="325" t="s">
        <v>255</v>
      </c>
      <c r="E63" s="325" t="s">
        <v>456</v>
      </c>
      <c r="F63" s="325" t="s">
        <v>535</v>
      </c>
    </row>
    <row r="64" spans="1:6" x14ac:dyDescent="0.2">
      <c r="A64" s="325" t="s">
        <v>178</v>
      </c>
      <c r="B64" s="325" t="s">
        <v>855</v>
      </c>
      <c r="C64" s="325" t="s">
        <v>991</v>
      </c>
      <c r="D64" s="325" t="s">
        <v>151</v>
      </c>
      <c r="E64" s="325" t="s">
        <v>456</v>
      </c>
      <c r="F64" s="325" t="s">
        <v>40</v>
      </c>
    </row>
    <row r="65" spans="1:6" x14ac:dyDescent="0.2">
      <c r="A65" s="325" t="s">
        <v>178</v>
      </c>
      <c r="B65" s="325" t="s">
        <v>856</v>
      </c>
      <c r="C65" s="325" t="s">
        <v>991</v>
      </c>
      <c r="D65" s="325" t="s">
        <v>434</v>
      </c>
      <c r="E65" s="325" t="s">
        <v>456</v>
      </c>
      <c r="F65" s="325" t="s">
        <v>757</v>
      </c>
    </row>
    <row r="66" spans="1:6" x14ac:dyDescent="0.2">
      <c r="A66" s="325" t="s">
        <v>178</v>
      </c>
      <c r="B66" s="325" t="s">
        <v>857</v>
      </c>
      <c r="C66" s="325" t="s">
        <v>991</v>
      </c>
      <c r="D66" s="325" t="s">
        <v>108</v>
      </c>
      <c r="E66" s="325" t="s">
        <v>456</v>
      </c>
      <c r="F66" s="325" t="s">
        <v>758</v>
      </c>
    </row>
    <row r="67" spans="1:6" x14ac:dyDescent="0.2">
      <c r="A67" s="325" t="s">
        <v>178</v>
      </c>
      <c r="B67" s="325" t="s">
        <v>858</v>
      </c>
      <c r="C67" s="325" t="s">
        <v>991</v>
      </c>
      <c r="D67" s="325" t="s">
        <v>433</v>
      </c>
      <c r="E67" s="325" t="s">
        <v>456</v>
      </c>
      <c r="F67" s="325" t="s">
        <v>756</v>
      </c>
    </row>
    <row r="68" spans="1:6" x14ac:dyDescent="0.2">
      <c r="A68" s="325" t="s">
        <v>178</v>
      </c>
      <c r="B68" s="325" t="s">
        <v>859</v>
      </c>
      <c r="C68" s="325" t="s">
        <v>991</v>
      </c>
      <c r="D68" s="325" t="s">
        <v>663</v>
      </c>
      <c r="E68" s="325" t="s">
        <v>456</v>
      </c>
      <c r="F68" s="325" t="s">
        <v>468</v>
      </c>
    </row>
    <row r="69" spans="1:6" x14ac:dyDescent="0.2">
      <c r="A69" s="325" t="s">
        <v>178</v>
      </c>
      <c r="B69" s="325" t="s">
        <v>860</v>
      </c>
      <c r="C69" s="325" t="s">
        <v>991</v>
      </c>
      <c r="D69" s="325" t="s">
        <v>21</v>
      </c>
      <c r="E69" s="325" t="s">
        <v>456</v>
      </c>
      <c r="F69" s="325" t="s">
        <v>47</v>
      </c>
    </row>
    <row r="70" spans="1:6" x14ac:dyDescent="0.2">
      <c r="A70" s="325" t="s">
        <v>178</v>
      </c>
      <c r="B70" s="325" t="s">
        <v>861</v>
      </c>
      <c r="C70" s="325" t="s">
        <v>991</v>
      </c>
      <c r="D70" s="325" t="s">
        <v>563</v>
      </c>
      <c r="E70" s="325" t="s">
        <v>456</v>
      </c>
      <c r="F70" s="325" t="s">
        <v>193</v>
      </c>
    </row>
    <row r="71" spans="1:6" x14ac:dyDescent="0.2">
      <c r="A71" s="325" t="s">
        <v>178</v>
      </c>
      <c r="B71" s="325" t="s">
        <v>862</v>
      </c>
      <c r="C71" s="325" t="s">
        <v>991</v>
      </c>
      <c r="D71" s="325" t="s">
        <v>358</v>
      </c>
      <c r="E71" s="325" t="s">
        <v>456</v>
      </c>
      <c r="F71" s="325" t="s">
        <v>683</v>
      </c>
    </row>
    <row r="72" spans="1:6" x14ac:dyDescent="0.2">
      <c r="A72" s="325" t="s">
        <v>178</v>
      </c>
      <c r="B72" s="325" t="s">
        <v>863</v>
      </c>
      <c r="C72" s="325" t="s">
        <v>991</v>
      </c>
      <c r="D72" s="325" t="s">
        <v>319</v>
      </c>
      <c r="E72" s="325" t="s">
        <v>456</v>
      </c>
      <c r="F72" s="325" t="s">
        <v>312</v>
      </c>
    </row>
    <row r="73" spans="1:6" x14ac:dyDescent="0.2">
      <c r="A73" s="325" t="s">
        <v>178</v>
      </c>
      <c r="B73" s="325" t="s">
        <v>864</v>
      </c>
      <c r="C73" s="325" t="s">
        <v>991</v>
      </c>
      <c r="D73" s="325" t="s">
        <v>207</v>
      </c>
      <c r="E73" s="325" t="s">
        <v>456</v>
      </c>
      <c r="F73" s="325" t="s">
        <v>441</v>
      </c>
    </row>
    <row r="74" spans="1:6" x14ac:dyDescent="0.2">
      <c r="A74" s="325" t="s">
        <v>178</v>
      </c>
      <c r="B74" s="325" t="s">
        <v>865</v>
      </c>
      <c r="C74" s="325" t="s">
        <v>991</v>
      </c>
      <c r="D74" s="325" t="s">
        <v>558</v>
      </c>
      <c r="E74" s="325" t="s">
        <v>456</v>
      </c>
      <c r="F74" s="325" t="s">
        <v>5</v>
      </c>
    </row>
    <row r="75" spans="1:6" x14ac:dyDescent="0.2">
      <c r="A75" s="325" t="s">
        <v>178</v>
      </c>
      <c r="B75" s="325" t="s">
        <v>866</v>
      </c>
      <c r="C75" s="325" t="s">
        <v>991</v>
      </c>
      <c r="D75" s="325" t="s">
        <v>150</v>
      </c>
      <c r="E75" s="325" t="s">
        <v>456</v>
      </c>
      <c r="F75" s="325" t="s">
        <v>218</v>
      </c>
    </row>
    <row r="76" spans="1:6" x14ac:dyDescent="0.2">
      <c r="A76" s="325" t="s">
        <v>178</v>
      </c>
      <c r="B76" s="325" t="s">
        <v>867</v>
      </c>
      <c r="C76" s="325" t="s">
        <v>991</v>
      </c>
      <c r="D76" s="325" t="s">
        <v>242</v>
      </c>
      <c r="E76" s="325" t="s">
        <v>456</v>
      </c>
      <c r="F76" s="325" t="s">
        <v>321</v>
      </c>
    </row>
    <row r="77" spans="1:6" x14ac:dyDescent="0.2">
      <c r="A77" s="325" t="s">
        <v>178</v>
      </c>
      <c r="B77" s="325" t="s">
        <v>868</v>
      </c>
      <c r="C77" s="325" t="s">
        <v>991</v>
      </c>
      <c r="D77" s="325" t="s">
        <v>504</v>
      </c>
      <c r="E77" s="325" t="s">
        <v>456</v>
      </c>
      <c r="F77" s="325" t="s">
        <v>697</v>
      </c>
    </row>
    <row r="78" spans="1:6" x14ac:dyDescent="0.2">
      <c r="A78" s="325" t="s">
        <v>178</v>
      </c>
      <c r="B78" s="325" t="s">
        <v>869</v>
      </c>
      <c r="C78" s="325" t="s">
        <v>991</v>
      </c>
      <c r="D78" s="325" t="s">
        <v>341</v>
      </c>
      <c r="E78" s="325" t="s">
        <v>456</v>
      </c>
      <c r="F78" s="325" t="s">
        <v>444</v>
      </c>
    </row>
    <row r="79" spans="1:6" x14ac:dyDescent="0.2">
      <c r="A79" s="325" t="s">
        <v>178</v>
      </c>
      <c r="B79" s="325" t="s">
        <v>870</v>
      </c>
      <c r="C79" s="325" t="s">
        <v>991</v>
      </c>
      <c r="D79" s="325" t="s">
        <v>24</v>
      </c>
      <c r="E79" s="325" t="s">
        <v>456</v>
      </c>
      <c r="F79" s="325" t="s">
        <v>472</v>
      </c>
    </row>
    <row r="80" spans="1:6" x14ac:dyDescent="0.2">
      <c r="A80" s="325" t="s">
        <v>178</v>
      </c>
      <c r="B80" s="325" t="s">
        <v>871</v>
      </c>
      <c r="C80" s="325" t="s">
        <v>991</v>
      </c>
      <c r="D80" s="325" t="s">
        <v>191</v>
      </c>
      <c r="E80" s="325" t="s">
        <v>456</v>
      </c>
      <c r="F80" s="325" t="s">
        <v>512</v>
      </c>
    </row>
    <row r="81" spans="1:6" x14ac:dyDescent="0.2">
      <c r="A81" s="325" t="s">
        <v>178</v>
      </c>
      <c r="B81" s="325" t="s">
        <v>872</v>
      </c>
      <c r="C81" s="325" t="s">
        <v>991</v>
      </c>
      <c r="D81" s="325" t="s">
        <v>121</v>
      </c>
      <c r="E81" s="325" t="s">
        <v>456</v>
      </c>
      <c r="F81" s="325" t="s">
        <v>339</v>
      </c>
    </row>
    <row r="82" spans="1:6" x14ac:dyDescent="0.2">
      <c r="A82" s="325" t="s">
        <v>178</v>
      </c>
      <c r="B82" s="325" t="s">
        <v>873</v>
      </c>
      <c r="C82" s="325" t="s">
        <v>991</v>
      </c>
      <c r="D82" s="325" t="s">
        <v>405</v>
      </c>
      <c r="E82" s="325" t="s">
        <v>456</v>
      </c>
      <c r="F82" s="325" t="s">
        <v>476</v>
      </c>
    </row>
    <row r="83" spans="1:6" x14ac:dyDescent="0.2">
      <c r="A83" s="325" t="s">
        <v>178</v>
      </c>
      <c r="B83" s="325" t="s">
        <v>874</v>
      </c>
      <c r="C83" s="325" t="s">
        <v>991</v>
      </c>
      <c r="D83" s="325" t="s">
        <v>300</v>
      </c>
      <c r="E83" s="325" t="s">
        <v>456</v>
      </c>
      <c r="F83" s="325" t="s">
        <v>698</v>
      </c>
    </row>
    <row r="84" spans="1:6" x14ac:dyDescent="0.2">
      <c r="A84" s="325" t="s">
        <v>178</v>
      </c>
      <c r="B84" s="325" t="s">
        <v>875</v>
      </c>
      <c r="C84" s="325" t="s">
        <v>991</v>
      </c>
      <c r="D84" s="325" t="s">
        <v>48</v>
      </c>
      <c r="E84" s="325" t="s">
        <v>456</v>
      </c>
      <c r="F84" s="325" t="s">
        <v>550</v>
      </c>
    </row>
    <row r="85" spans="1:6" x14ac:dyDescent="0.2">
      <c r="A85" s="325" t="s">
        <v>178</v>
      </c>
      <c r="B85" s="325" t="s">
        <v>876</v>
      </c>
      <c r="C85" s="325" t="s">
        <v>991</v>
      </c>
      <c r="D85" s="325" t="s">
        <v>500</v>
      </c>
      <c r="E85" s="325" t="s">
        <v>456</v>
      </c>
      <c r="F85" s="325" t="s">
        <v>82</v>
      </c>
    </row>
    <row r="86" spans="1:6" x14ac:dyDescent="0.2">
      <c r="A86" s="325" t="s">
        <v>178</v>
      </c>
      <c r="B86" s="325" t="s">
        <v>877</v>
      </c>
      <c r="C86" s="325" t="s">
        <v>991</v>
      </c>
      <c r="D86" s="325" t="s">
        <v>388</v>
      </c>
      <c r="E86" s="325" t="s">
        <v>456</v>
      </c>
      <c r="F86" s="325" t="s">
        <v>435</v>
      </c>
    </row>
    <row r="87" spans="1:6" x14ac:dyDescent="0.2">
      <c r="A87" s="325" t="s">
        <v>178</v>
      </c>
      <c r="B87" s="325" t="s">
        <v>878</v>
      </c>
      <c r="C87" s="325" t="s">
        <v>991</v>
      </c>
      <c r="D87" s="325" t="s">
        <v>491</v>
      </c>
      <c r="E87" s="325" t="s">
        <v>456</v>
      </c>
      <c r="F87" s="325" t="s">
        <v>373</v>
      </c>
    </row>
    <row r="88" spans="1:6" x14ac:dyDescent="0.2">
      <c r="A88" s="325" t="s">
        <v>178</v>
      </c>
      <c r="B88" s="325" t="s">
        <v>879</v>
      </c>
      <c r="C88" s="325" t="s">
        <v>991</v>
      </c>
      <c r="D88" s="325" t="s">
        <v>483</v>
      </c>
      <c r="E88" s="325" t="s">
        <v>456</v>
      </c>
      <c r="F88" s="325" t="s">
        <v>587</v>
      </c>
    </row>
    <row r="89" spans="1:6" x14ac:dyDescent="0.2">
      <c r="A89" s="325" t="s">
        <v>178</v>
      </c>
      <c r="B89" s="325" t="s">
        <v>880</v>
      </c>
      <c r="C89" s="325" t="s">
        <v>991</v>
      </c>
      <c r="D89" s="325" t="s">
        <v>531</v>
      </c>
      <c r="E89" s="325" t="s">
        <v>456</v>
      </c>
      <c r="F89" s="325" t="s">
        <v>247</v>
      </c>
    </row>
    <row r="90" spans="1:6" x14ac:dyDescent="0.2">
      <c r="A90" s="325" t="s">
        <v>178</v>
      </c>
      <c r="B90" s="325" t="s">
        <v>881</v>
      </c>
      <c r="C90" s="325" t="s">
        <v>991</v>
      </c>
      <c r="D90" s="325" t="s">
        <v>201</v>
      </c>
      <c r="E90" s="325" t="s">
        <v>456</v>
      </c>
      <c r="F90" s="325" t="s">
        <v>1002</v>
      </c>
    </row>
    <row r="91" spans="1:6" x14ac:dyDescent="0.2">
      <c r="A91" s="325" t="s">
        <v>178</v>
      </c>
      <c r="B91" s="325" t="s">
        <v>882</v>
      </c>
      <c r="C91" s="325" t="s">
        <v>991</v>
      </c>
      <c r="D91" s="325" t="s">
        <v>325</v>
      </c>
      <c r="E91" s="325" t="s">
        <v>456</v>
      </c>
      <c r="F91" s="325" t="s">
        <v>1003</v>
      </c>
    </row>
    <row r="92" spans="1:6" x14ac:dyDescent="0.2">
      <c r="A92" s="325" t="s">
        <v>178</v>
      </c>
      <c r="B92" s="325" t="s">
        <v>883</v>
      </c>
      <c r="C92" s="325" t="s">
        <v>991</v>
      </c>
      <c r="D92" s="325" t="s">
        <v>269</v>
      </c>
      <c r="E92" s="325" t="s">
        <v>456</v>
      </c>
      <c r="F92" s="325" t="s">
        <v>203</v>
      </c>
    </row>
    <row r="93" spans="1:6" x14ac:dyDescent="0.2">
      <c r="A93" s="325" t="s">
        <v>178</v>
      </c>
      <c r="B93" s="325" t="s">
        <v>884</v>
      </c>
      <c r="C93" s="325" t="s">
        <v>991</v>
      </c>
      <c r="D93" s="325" t="s">
        <v>413</v>
      </c>
      <c r="E93" s="325" t="s">
        <v>456</v>
      </c>
      <c r="F93" s="325" t="s">
        <v>273</v>
      </c>
    </row>
    <row r="94" spans="1:6" x14ac:dyDescent="0.2">
      <c r="A94" s="325" t="s">
        <v>178</v>
      </c>
      <c r="B94" s="325" t="s">
        <v>885</v>
      </c>
      <c r="C94" s="325" t="s">
        <v>991</v>
      </c>
      <c r="D94" s="325" t="s">
        <v>169</v>
      </c>
      <c r="E94" s="325" t="s">
        <v>456</v>
      </c>
      <c r="F94" s="325" t="s">
        <v>1004</v>
      </c>
    </row>
    <row r="95" spans="1:6" x14ac:dyDescent="0.2">
      <c r="A95" s="325" t="s">
        <v>178</v>
      </c>
      <c r="B95" s="325" t="s">
        <v>886</v>
      </c>
      <c r="C95" s="325" t="s">
        <v>991</v>
      </c>
      <c r="D95" s="325" t="s">
        <v>386</v>
      </c>
      <c r="E95" s="325" t="s">
        <v>456</v>
      </c>
      <c r="F95" s="325" t="s">
        <v>1005</v>
      </c>
    </row>
    <row r="96" spans="1:6" x14ac:dyDescent="0.2">
      <c r="A96" s="325" t="s">
        <v>178</v>
      </c>
      <c r="B96" s="325" t="s">
        <v>887</v>
      </c>
      <c r="C96" s="325" t="s">
        <v>991</v>
      </c>
      <c r="D96" s="325" t="s">
        <v>375</v>
      </c>
      <c r="E96" s="325" t="s">
        <v>456</v>
      </c>
      <c r="F96" s="325" t="s">
        <v>1006</v>
      </c>
    </row>
    <row r="97" spans="1:6" x14ac:dyDescent="0.2">
      <c r="A97" s="325" t="s">
        <v>178</v>
      </c>
      <c r="B97" s="325" t="s">
        <v>888</v>
      </c>
      <c r="C97" s="325" t="s">
        <v>991</v>
      </c>
      <c r="D97" s="325" t="s">
        <v>251</v>
      </c>
      <c r="E97" s="325" t="s">
        <v>456</v>
      </c>
      <c r="F97" s="325" t="s">
        <v>4</v>
      </c>
    </row>
    <row r="98" spans="1:6" x14ac:dyDescent="0.2">
      <c r="A98" s="325" t="s">
        <v>178</v>
      </c>
      <c r="B98" s="325" t="s">
        <v>889</v>
      </c>
      <c r="C98" s="325" t="s">
        <v>991</v>
      </c>
      <c r="D98" s="325" t="s">
        <v>465</v>
      </c>
      <c r="E98" s="325" t="s">
        <v>456</v>
      </c>
      <c r="F98" s="325" t="s">
        <v>58</v>
      </c>
    </row>
    <row r="99" spans="1:6" x14ac:dyDescent="0.2">
      <c r="A99" s="325" t="s">
        <v>178</v>
      </c>
      <c r="B99" s="325" t="s">
        <v>890</v>
      </c>
      <c r="C99" s="325" t="s">
        <v>991</v>
      </c>
      <c r="D99" s="325" t="s">
        <v>112</v>
      </c>
      <c r="E99" s="325" t="s">
        <v>456</v>
      </c>
      <c r="F99" s="325" t="s">
        <v>259</v>
      </c>
    </row>
    <row r="100" spans="1:6" x14ac:dyDescent="0.2">
      <c r="A100" s="325" t="s">
        <v>178</v>
      </c>
      <c r="B100" s="325" t="s">
        <v>891</v>
      </c>
      <c r="C100" s="325" t="s">
        <v>991</v>
      </c>
      <c r="D100" s="325" t="s">
        <v>363</v>
      </c>
      <c r="E100" s="325" t="s">
        <v>456</v>
      </c>
      <c r="F100" s="325" t="s">
        <v>485</v>
      </c>
    </row>
    <row r="101" spans="1:6" x14ac:dyDescent="0.2">
      <c r="A101" s="325" t="s">
        <v>178</v>
      </c>
      <c r="B101" s="325" t="s">
        <v>892</v>
      </c>
      <c r="C101" s="325" t="s">
        <v>991</v>
      </c>
      <c r="D101" s="325" t="s">
        <v>185</v>
      </c>
      <c r="E101" s="325" t="s">
        <v>456</v>
      </c>
      <c r="F101" s="325" t="s">
        <v>159</v>
      </c>
    </row>
    <row r="102" spans="1:6" x14ac:dyDescent="0.2">
      <c r="A102" s="325" t="s">
        <v>178</v>
      </c>
      <c r="B102" s="325" t="s">
        <v>893</v>
      </c>
      <c r="C102" s="325" t="s">
        <v>991</v>
      </c>
      <c r="D102" s="325" t="s">
        <v>0</v>
      </c>
      <c r="E102" s="325" t="s">
        <v>456</v>
      </c>
      <c r="F102" s="325" t="s">
        <v>1007</v>
      </c>
    </row>
    <row r="103" spans="1:6" x14ac:dyDescent="0.2">
      <c r="A103" s="325" t="s">
        <v>178</v>
      </c>
      <c r="B103" s="325" t="s">
        <v>894</v>
      </c>
      <c r="C103" s="325" t="s">
        <v>991</v>
      </c>
      <c r="D103" s="325" t="s">
        <v>344</v>
      </c>
      <c r="E103" s="325" t="s">
        <v>456</v>
      </c>
      <c r="F103" s="325" t="s">
        <v>114</v>
      </c>
    </row>
    <row r="104" spans="1:6" x14ac:dyDescent="0.2">
      <c r="A104" s="325" t="s">
        <v>178</v>
      </c>
      <c r="B104" s="325" t="s">
        <v>895</v>
      </c>
      <c r="C104" s="325" t="s">
        <v>991</v>
      </c>
      <c r="D104" s="325" t="s">
        <v>395</v>
      </c>
      <c r="E104" s="325" t="s">
        <v>456</v>
      </c>
      <c r="F104" s="325" t="s">
        <v>588</v>
      </c>
    </row>
    <row r="105" spans="1:6" x14ac:dyDescent="0.2">
      <c r="A105" s="325" t="s">
        <v>178</v>
      </c>
      <c r="B105" s="325" t="s">
        <v>896</v>
      </c>
      <c r="C105" s="325" t="s">
        <v>991</v>
      </c>
      <c r="D105" s="325" t="s">
        <v>499</v>
      </c>
      <c r="E105" s="325" t="s">
        <v>456</v>
      </c>
      <c r="F105" s="325" t="s">
        <v>314</v>
      </c>
    </row>
    <row r="106" spans="1:6" x14ac:dyDescent="0.2">
      <c r="A106" s="325" t="s">
        <v>178</v>
      </c>
      <c r="B106" s="325" t="s">
        <v>897</v>
      </c>
      <c r="C106" s="325" t="s">
        <v>991</v>
      </c>
      <c r="D106" s="325" t="s">
        <v>523</v>
      </c>
      <c r="E106" s="325" t="s">
        <v>456</v>
      </c>
      <c r="F106" s="325" t="s">
        <v>588</v>
      </c>
    </row>
    <row r="107" spans="1:6" x14ac:dyDescent="0.2">
      <c r="A107" s="325" t="s">
        <v>178</v>
      </c>
      <c r="B107" s="325" t="s">
        <v>898</v>
      </c>
      <c r="C107" s="325" t="s">
        <v>991</v>
      </c>
      <c r="D107" s="325" t="s">
        <v>540</v>
      </c>
      <c r="E107" s="325" t="s">
        <v>456</v>
      </c>
      <c r="F107" s="325" t="s">
        <v>314</v>
      </c>
    </row>
    <row r="108" spans="1:6" x14ac:dyDescent="0.2">
      <c r="A108" s="325" t="s">
        <v>178</v>
      </c>
      <c r="B108" s="325" t="s">
        <v>899</v>
      </c>
      <c r="C108" s="325" t="s">
        <v>991</v>
      </c>
      <c r="D108" s="325" t="s">
        <v>553</v>
      </c>
      <c r="E108" s="325" t="s">
        <v>456</v>
      </c>
      <c r="F108" s="325" t="s">
        <v>588</v>
      </c>
    </row>
    <row r="109" spans="1:6" x14ac:dyDescent="0.2">
      <c r="A109" s="325" t="s">
        <v>178</v>
      </c>
      <c r="B109" s="325" t="s">
        <v>900</v>
      </c>
      <c r="C109" s="325" t="s">
        <v>991</v>
      </c>
      <c r="D109" s="325" t="s">
        <v>436</v>
      </c>
      <c r="E109" s="325" t="s">
        <v>456</v>
      </c>
      <c r="F109" s="325" t="s">
        <v>114</v>
      </c>
    </row>
    <row r="110" spans="1:6" x14ac:dyDescent="0.2">
      <c r="A110" s="325" t="s">
        <v>178</v>
      </c>
      <c r="B110" s="325" t="s">
        <v>901</v>
      </c>
      <c r="C110" s="325" t="s">
        <v>991</v>
      </c>
      <c r="D110" s="325" t="s">
        <v>421</v>
      </c>
      <c r="E110" s="325" t="s">
        <v>456</v>
      </c>
      <c r="F110" s="325" t="s">
        <v>426</v>
      </c>
    </row>
    <row r="111" spans="1:6" x14ac:dyDescent="0.2">
      <c r="A111" s="325" t="s">
        <v>178</v>
      </c>
      <c r="B111" s="325" t="s">
        <v>902</v>
      </c>
      <c r="C111" s="325" t="s">
        <v>991</v>
      </c>
      <c r="D111" s="325" t="s">
        <v>96</v>
      </c>
      <c r="E111" s="325" t="s">
        <v>456</v>
      </c>
      <c r="F111" s="325" t="s">
        <v>376</v>
      </c>
    </row>
    <row r="112" spans="1:6" x14ac:dyDescent="0.2">
      <c r="A112" s="325" t="s">
        <v>178</v>
      </c>
      <c r="B112" s="325" t="s">
        <v>903</v>
      </c>
      <c r="C112" s="325" t="s">
        <v>991</v>
      </c>
      <c r="D112" s="325" t="s">
        <v>590</v>
      </c>
      <c r="E112" s="325" t="s">
        <v>456</v>
      </c>
      <c r="F112" s="325" t="s">
        <v>591</v>
      </c>
    </row>
    <row r="113" spans="1:6" x14ac:dyDescent="0.2">
      <c r="A113" s="325" t="s">
        <v>178</v>
      </c>
      <c r="B113" s="325" t="s">
        <v>904</v>
      </c>
      <c r="C113" s="325" t="s">
        <v>991</v>
      </c>
      <c r="D113" s="325" t="s">
        <v>592</v>
      </c>
      <c r="E113" s="325" t="s">
        <v>456</v>
      </c>
      <c r="F113" s="325" t="s">
        <v>597</v>
      </c>
    </row>
    <row r="114" spans="1:6" x14ac:dyDescent="0.2">
      <c r="A114" s="325" t="s">
        <v>178</v>
      </c>
      <c r="B114" s="325" t="s">
        <v>905</v>
      </c>
      <c r="C114" s="325" t="s">
        <v>991</v>
      </c>
      <c r="D114" s="325" t="s">
        <v>593</v>
      </c>
      <c r="E114" s="325" t="s">
        <v>456</v>
      </c>
      <c r="F114" s="325" t="s">
        <v>598</v>
      </c>
    </row>
    <row r="115" spans="1:6" x14ac:dyDescent="0.2">
      <c r="A115" s="325" t="s">
        <v>178</v>
      </c>
      <c r="B115" s="325" t="s">
        <v>906</v>
      </c>
      <c r="C115" s="325" t="s">
        <v>991</v>
      </c>
      <c r="D115" s="325" t="s">
        <v>594</v>
      </c>
      <c r="E115" s="325" t="s">
        <v>456</v>
      </c>
      <c r="F115" s="325" t="s">
        <v>599</v>
      </c>
    </row>
    <row r="116" spans="1:6" x14ac:dyDescent="0.2">
      <c r="A116" s="325" t="s">
        <v>178</v>
      </c>
      <c r="B116" s="325" t="s">
        <v>907</v>
      </c>
      <c r="C116" s="325" t="s">
        <v>991</v>
      </c>
      <c r="D116" s="325" t="s">
        <v>595</v>
      </c>
      <c r="E116" s="325" t="s">
        <v>456</v>
      </c>
      <c r="F116" s="325" t="s">
        <v>600</v>
      </c>
    </row>
    <row r="117" spans="1:6" x14ac:dyDescent="0.2">
      <c r="A117" s="325" t="s">
        <v>178</v>
      </c>
      <c r="B117" s="325" t="s">
        <v>908</v>
      </c>
      <c r="C117" s="325" t="s">
        <v>991</v>
      </c>
      <c r="D117" s="325" t="s">
        <v>596</v>
      </c>
      <c r="E117" s="325" t="s">
        <v>456</v>
      </c>
      <c r="F117" s="325" t="s">
        <v>601</v>
      </c>
    </row>
    <row r="118" spans="1:6" x14ac:dyDescent="0.2">
      <c r="A118" s="325" t="s">
        <v>765</v>
      </c>
      <c r="B118" s="325" t="s">
        <v>793</v>
      </c>
      <c r="C118" s="325" t="s">
        <v>249</v>
      </c>
      <c r="D118" s="325" t="s">
        <v>654</v>
      </c>
      <c r="E118" s="325" t="s">
        <v>265</v>
      </c>
      <c r="F118" s="325" t="s">
        <v>998</v>
      </c>
    </row>
    <row r="119" spans="1:6" x14ac:dyDescent="0.2">
      <c r="A119" s="325" t="s">
        <v>765</v>
      </c>
      <c r="B119" s="325" t="s">
        <v>794</v>
      </c>
      <c r="C119" s="325" t="s">
        <v>249</v>
      </c>
      <c r="D119" s="325" t="s">
        <v>510</v>
      </c>
      <c r="E119" s="325" t="s">
        <v>265</v>
      </c>
      <c r="F119" s="325" t="s">
        <v>999</v>
      </c>
    </row>
    <row r="120" spans="1:6" x14ac:dyDescent="0.2">
      <c r="A120" s="325" t="s">
        <v>765</v>
      </c>
      <c r="B120" s="325" t="s">
        <v>795</v>
      </c>
      <c r="C120" s="325" t="s">
        <v>249</v>
      </c>
      <c r="D120" s="325" t="s">
        <v>400</v>
      </c>
      <c r="E120" s="325" t="s">
        <v>265</v>
      </c>
      <c r="F120" s="325" t="s">
        <v>1001</v>
      </c>
    </row>
    <row r="121" spans="1:6" x14ac:dyDescent="0.2">
      <c r="A121" s="325" t="s">
        <v>765</v>
      </c>
      <c r="B121" s="325" t="s">
        <v>796</v>
      </c>
      <c r="C121" s="325" t="s">
        <v>249</v>
      </c>
      <c r="D121" s="325" t="s">
        <v>302</v>
      </c>
      <c r="E121" s="325" t="s">
        <v>265</v>
      </c>
      <c r="F121" s="325" t="s">
        <v>1000</v>
      </c>
    </row>
    <row r="122" spans="1:6" x14ac:dyDescent="0.2">
      <c r="A122" s="325" t="s">
        <v>765</v>
      </c>
      <c r="B122" s="325" t="s">
        <v>797</v>
      </c>
      <c r="C122" s="325" t="s">
        <v>249</v>
      </c>
      <c r="D122" s="325" t="s">
        <v>28</v>
      </c>
      <c r="E122" s="325" t="s">
        <v>442</v>
      </c>
      <c r="F122" s="325" t="s">
        <v>1008</v>
      </c>
    </row>
    <row r="123" spans="1:6" x14ac:dyDescent="0.2">
      <c r="A123" s="325" t="s">
        <v>765</v>
      </c>
      <c r="B123" s="325" t="s">
        <v>798</v>
      </c>
      <c r="C123" s="325" t="s">
        <v>249</v>
      </c>
      <c r="D123" s="325" t="s">
        <v>67</v>
      </c>
      <c r="E123" s="325" t="s">
        <v>556</v>
      </c>
      <c r="F123" s="325" t="s">
        <v>1009</v>
      </c>
    </row>
    <row r="124" spans="1:6" x14ac:dyDescent="0.2">
      <c r="A124" s="325" t="s">
        <v>765</v>
      </c>
      <c r="B124" s="325" t="s">
        <v>799</v>
      </c>
      <c r="C124" s="325" t="s">
        <v>249</v>
      </c>
      <c r="D124" s="325" t="s">
        <v>168</v>
      </c>
      <c r="E124" s="325" t="s">
        <v>265</v>
      </c>
      <c r="F124" s="325" t="s">
        <v>145</v>
      </c>
    </row>
    <row r="125" spans="1:6" x14ac:dyDescent="0.2">
      <c r="A125" s="325" t="s">
        <v>765</v>
      </c>
      <c r="B125" s="325" t="s">
        <v>800</v>
      </c>
      <c r="C125" s="325" t="s">
        <v>249</v>
      </c>
      <c r="D125" s="325" t="s">
        <v>310</v>
      </c>
      <c r="E125" s="325" t="s">
        <v>265</v>
      </c>
      <c r="F125" s="325" t="s">
        <v>350</v>
      </c>
    </row>
    <row r="126" spans="1:6" x14ac:dyDescent="0.2">
      <c r="A126" s="325" t="s">
        <v>765</v>
      </c>
      <c r="B126" s="325" t="s">
        <v>801</v>
      </c>
      <c r="C126" s="325" t="s">
        <v>249</v>
      </c>
      <c r="D126" s="325" t="s">
        <v>87</v>
      </c>
      <c r="E126" s="325" t="s">
        <v>265</v>
      </c>
      <c r="F126" s="325" t="s">
        <v>79</v>
      </c>
    </row>
    <row r="127" spans="1:6" x14ac:dyDescent="0.2">
      <c r="A127" s="325" t="s">
        <v>765</v>
      </c>
      <c r="B127" s="325" t="s">
        <v>802</v>
      </c>
      <c r="C127" s="325" t="s">
        <v>249</v>
      </c>
      <c r="D127" s="325" t="s">
        <v>228</v>
      </c>
      <c r="E127" s="325" t="s">
        <v>265</v>
      </c>
      <c r="F127" s="325" t="s">
        <v>331</v>
      </c>
    </row>
    <row r="128" spans="1:6" x14ac:dyDescent="0.2">
      <c r="A128" s="325" t="s">
        <v>765</v>
      </c>
      <c r="B128" s="325" t="s">
        <v>803</v>
      </c>
      <c r="C128" s="325" t="s">
        <v>249</v>
      </c>
      <c r="D128" s="325" t="s">
        <v>144</v>
      </c>
      <c r="E128" s="325" t="s">
        <v>265</v>
      </c>
      <c r="F128" s="325" t="s">
        <v>340</v>
      </c>
    </row>
    <row r="129" spans="1:6" x14ac:dyDescent="0.2">
      <c r="A129" s="325" t="s">
        <v>765</v>
      </c>
      <c r="B129" s="325" t="s">
        <v>804</v>
      </c>
      <c r="C129" s="325" t="s">
        <v>249</v>
      </c>
      <c r="D129" s="325" t="s">
        <v>429</v>
      </c>
      <c r="E129" s="325" t="s">
        <v>265</v>
      </c>
      <c r="F129" s="325" t="s">
        <v>263</v>
      </c>
    </row>
    <row r="130" spans="1:6" x14ac:dyDescent="0.2">
      <c r="A130" s="325" t="s">
        <v>765</v>
      </c>
      <c r="B130" s="325" t="s">
        <v>805</v>
      </c>
      <c r="C130" s="325" t="s">
        <v>249</v>
      </c>
      <c r="D130" s="325" t="s">
        <v>182</v>
      </c>
      <c r="E130" s="325" t="s">
        <v>265</v>
      </c>
      <c r="F130" s="325" t="s">
        <v>223</v>
      </c>
    </row>
    <row r="131" spans="1:6" x14ac:dyDescent="0.2">
      <c r="A131" s="325" t="s">
        <v>765</v>
      </c>
      <c r="B131" s="325" t="s">
        <v>806</v>
      </c>
      <c r="C131" s="325" t="s">
        <v>249</v>
      </c>
      <c r="D131" s="325" t="s">
        <v>298</v>
      </c>
      <c r="E131" s="325" t="s">
        <v>265</v>
      </c>
      <c r="F131" s="325" t="s">
        <v>423</v>
      </c>
    </row>
    <row r="132" spans="1:6" x14ac:dyDescent="0.2">
      <c r="A132" s="325" t="s">
        <v>765</v>
      </c>
      <c r="B132" s="325" t="s">
        <v>807</v>
      </c>
      <c r="C132" s="325" t="s">
        <v>249</v>
      </c>
      <c r="D132" s="325" t="s">
        <v>571</v>
      </c>
      <c r="E132" s="325" t="s">
        <v>265</v>
      </c>
      <c r="F132" s="325" t="s">
        <v>258</v>
      </c>
    </row>
    <row r="133" spans="1:6" x14ac:dyDescent="0.2">
      <c r="A133" s="325" t="s">
        <v>765</v>
      </c>
      <c r="B133" s="325" t="s">
        <v>808</v>
      </c>
      <c r="C133" s="325" t="s">
        <v>249</v>
      </c>
      <c r="D133" s="325" t="s">
        <v>156</v>
      </c>
      <c r="E133" s="325" t="s">
        <v>265</v>
      </c>
      <c r="F133" s="325" t="s">
        <v>226</v>
      </c>
    </row>
    <row r="134" spans="1:6" x14ac:dyDescent="0.2">
      <c r="A134" s="325" t="s">
        <v>765</v>
      </c>
      <c r="B134" s="325" t="s">
        <v>809</v>
      </c>
      <c r="C134" s="325" t="s">
        <v>249</v>
      </c>
      <c r="D134" s="325" t="s">
        <v>299</v>
      </c>
      <c r="E134" s="325" t="s">
        <v>265</v>
      </c>
      <c r="F134" s="325" t="s">
        <v>3</v>
      </c>
    </row>
    <row r="135" spans="1:6" x14ac:dyDescent="0.2">
      <c r="A135" s="325" t="s">
        <v>765</v>
      </c>
      <c r="B135" s="325" t="s">
        <v>810</v>
      </c>
      <c r="C135" s="325" t="s">
        <v>249</v>
      </c>
      <c r="D135" s="325" t="s">
        <v>164</v>
      </c>
      <c r="E135" s="325" t="s">
        <v>265</v>
      </c>
      <c r="F135" s="325" t="s">
        <v>524</v>
      </c>
    </row>
    <row r="136" spans="1:6" x14ac:dyDescent="0.2">
      <c r="A136" s="325" t="s">
        <v>765</v>
      </c>
      <c r="B136" s="325" t="s">
        <v>811</v>
      </c>
      <c r="C136" s="325" t="s">
        <v>249</v>
      </c>
      <c r="D136" s="325" t="s">
        <v>403</v>
      </c>
      <c r="E136" s="325" t="s">
        <v>265</v>
      </c>
      <c r="F136" s="325" t="s">
        <v>195</v>
      </c>
    </row>
    <row r="137" spans="1:6" x14ac:dyDescent="0.2">
      <c r="A137" s="325" t="s">
        <v>765</v>
      </c>
      <c r="B137" s="325" t="s">
        <v>812</v>
      </c>
      <c r="C137" s="325" t="s">
        <v>249</v>
      </c>
      <c r="D137" s="325" t="s">
        <v>367</v>
      </c>
      <c r="E137" s="325" t="s">
        <v>265</v>
      </c>
      <c r="F137" s="325" t="s">
        <v>461</v>
      </c>
    </row>
    <row r="138" spans="1:6" x14ac:dyDescent="0.2">
      <c r="A138" s="325" t="s">
        <v>765</v>
      </c>
      <c r="B138" s="325" t="s">
        <v>813</v>
      </c>
      <c r="C138" s="325" t="s">
        <v>249</v>
      </c>
      <c r="D138" s="325" t="s">
        <v>105</v>
      </c>
      <c r="E138" s="325" t="s">
        <v>265</v>
      </c>
      <c r="F138" s="325" t="s">
        <v>393</v>
      </c>
    </row>
    <row r="139" spans="1:6" x14ac:dyDescent="0.2">
      <c r="A139" s="325" t="s">
        <v>765</v>
      </c>
      <c r="B139" s="325" t="s">
        <v>814</v>
      </c>
      <c r="C139" s="325" t="s">
        <v>249</v>
      </c>
      <c r="D139" s="325" t="s">
        <v>520</v>
      </c>
      <c r="E139" s="325" t="s">
        <v>265</v>
      </c>
      <c r="F139" s="325" t="s">
        <v>277</v>
      </c>
    </row>
    <row r="140" spans="1:6" x14ac:dyDescent="0.2">
      <c r="A140" s="325" t="s">
        <v>765</v>
      </c>
      <c r="B140" s="325" t="s">
        <v>815</v>
      </c>
      <c r="C140" s="325" t="s">
        <v>249</v>
      </c>
      <c r="D140" s="325" t="s">
        <v>469</v>
      </c>
      <c r="E140" s="325" t="s">
        <v>265</v>
      </c>
      <c r="F140" s="325" t="s">
        <v>452</v>
      </c>
    </row>
    <row r="141" spans="1:6" x14ac:dyDescent="0.2">
      <c r="A141" s="325" t="s">
        <v>765</v>
      </c>
      <c r="B141" s="325" t="s">
        <v>816</v>
      </c>
      <c r="C141" s="325" t="s">
        <v>249</v>
      </c>
      <c r="D141" s="325" t="s">
        <v>432</v>
      </c>
      <c r="E141" s="325" t="s">
        <v>265</v>
      </c>
      <c r="F141" s="325" t="s">
        <v>489</v>
      </c>
    </row>
    <row r="142" spans="1:6" x14ac:dyDescent="0.2">
      <c r="A142" s="325" t="s">
        <v>765</v>
      </c>
      <c r="B142" s="325" t="s">
        <v>817</v>
      </c>
      <c r="C142" s="325" t="s">
        <v>249</v>
      </c>
      <c r="D142" s="325" t="s">
        <v>75</v>
      </c>
      <c r="E142" s="325" t="s">
        <v>456</v>
      </c>
      <c r="F142" s="325" t="s">
        <v>288</v>
      </c>
    </row>
    <row r="143" spans="1:6" x14ac:dyDescent="0.2">
      <c r="A143" s="325" t="s">
        <v>765</v>
      </c>
      <c r="B143" s="325" t="s">
        <v>818</v>
      </c>
      <c r="C143" s="325" t="s">
        <v>249</v>
      </c>
      <c r="D143" s="325" t="s">
        <v>666</v>
      </c>
      <c r="E143" s="325" t="s">
        <v>556</v>
      </c>
      <c r="F143" s="325" t="s">
        <v>665</v>
      </c>
    </row>
    <row r="144" spans="1:6" x14ac:dyDescent="0.2">
      <c r="A144" s="325" t="s">
        <v>765</v>
      </c>
      <c r="B144" s="325" t="s">
        <v>819</v>
      </c>
      <c r="C144" s="325" t="s">
        <v>249</v>
      </c>
      <c r="D144" s="325" t="s">
        <v>111</v>
      </c>
      <c r="E144" s="325" t="s">
        <v>265</v>
      </c>
      <c r="F144" s="325" t="s">
        <v>261</v>
      </c>
    </row>
    <row r="145" spans="1:6" x14ac:dyDescent="0.2">
      <c r="A145" s="325" t="s">
        <v>765</v>
      </c>
      <c r="B145" s="325" t="s">
        <v>820</v>
      </c>
      <c r="C145" s="325" t="s">
        <v>249</v>
      </c>
      <c r="D145" s="325" t="s">
        <v>289</v>
      </c>
      <c r="E145" s="325" t="s">
        <v>456</v>
      </c>
      <c r="F145" s="325" t="s">
        <v>674</v>
      </c>
    </row>
    <row r="146" spans="1:6" x14ac:dyDescent="0.2">
      <c r="A146" s="325" t="s">
        <v>765</v>
      </c>
      <c r="B146" s="325" t="s">
        <v>821</v>
      </c>
      <c r="C146" s="325" t="s">
        <v>249</v>
      </c>
      <c r="D146" s="325" t="s">
        <v>308</v>
      </c>
      <c r="E146" s="325" t="s">
        <v>456</v>
      </c>
      <c r="F146" s="325" t="s">
        <v>675</v>
      </c>
    </row>
    <row r="147" spans="1:6" x14ac:dyDescent="0.2">
      <c r="A147" s="325" t="s">
        <v>765</v>
      </c>
      <c r="B147" s="325" t="s">
        <v>822</v>
      </c>
      <c r="C147" s="325" t="s">
        <v>249</v>
      </c>
      <c r="D147" s="325" t="s">
        <v>411</v>
      </c>
      <c r="E147" s="325" t="s">
        <v>456</v>
      </c>
      <c r="F147" s="325" t="s">
        <v>115</v>
      </c>
    </row>
    <row r="148" spans="1:6" x14ac:dyDescent="0.2">
      <c r="A148" s="325" t="s">
        <v>765</v>
      </c>
      <c r="B148" s="325" t="s">
        <v>823</v>
      </c>
      <c r="C148" s="325" t="s">
        <v>249</v>
      </c>
      <c r="D148" s="325" t="s">
        <v>425</v>
      </c>
      <c r="E148" s="325" t="s">
        <v>456</v>
      </c>
      <c r="F148" s="325" t="s">
        <v>364</v>
      </c>
    </row>
    <row r="149" spans="1:6" x14ac:dyDescent="0.2">
      <c r="A149" s="325" t="s">
        <v>765</v>
      </c>
      <c r="B149" s="325" t="s">
        <v>824</v>
      </c>
      <c r="C149" s="325" t="s">
        <v>249</v>
      </c>
      <c r="D149" s="325" t="s">
        <v>431</v>
      </c>
      <c r="E149" s="325" t="s">
        <v>265</v>
      </c>
      <c r="F149" s="325" t="s">
        <v>464</v>
      </c>
    </row>
    <row r="150" spans="1:6" x14ac:dyDescent="0.2">
      <c r="A150" s="325" t="s">
        <v>765</v>
      </c>
      <c r="B150" s="325" t="s">
        <v>825</v>
      </c>
      <c r="C150" s="325" t="s">
        <v>249</v>
      </c>
      <c r="D150" s="325" t="s">
        <v>696</v>
      </c>
      <c r="E150" s="325" t="s">
        <v>456</v>
      </c>
      <c r="F150" s="325" t="s">
        <v>1010</v>
      </c>
    </row>
    <row r="151" spans="1:6" x14ac:dyDescent="0.2">
      <c r="A151" s="325" t="s">
        <v>765</v>
      </c>
      <c r="B151" s="325" t="s">
        <v>826</v>
      </c>
      <c r="C151" s="325" t="s">
        <v>249</v>
      </c>
      <c r="D151" s="325" t="s">
        <v>15</v>
      </c>
      <c r="E151" s="325" t="s">
        <v>265</v>
      </c>
      <c r="F151" s="325" t="s">
        <v>446</v>
      </c>
    </row>
    <row r="152" spans="1:6" x14ac:dyDescent="0.2">
      <c r="A152" s="325" t="s">
        <v>765</v>
      </c>
      <c r="B152" s="325" t="s">
        <v>827</v>
      </c>
      <c r="C152" s="325" t="s">
        <v>249</v>
      </c>
      <c r="D152" s="325" t="s">
        <v>551</v>
      </c>
      <c r="E152" s="325" t="s">
        <v>265</v>
      </c>
      <c r="F152" s="325" t="s">
        <v>10</v>
      </c>
    </row>
    <row r="153" spans="1:6" x14ac:dyDescent="0.2">
      <c r="A153" s="325" t="s">
        <v>765</v>
      </c>
      <c r="B153" s="325" t="s">
        <v>828</v>
      </c>
      <c r="C153" s="325" t="s">
        <v>249</v>
      </c>
      <c r="D153" s="325" t="s">
        <v>9</v>
      </c>
      <c r="E153" s="325" t="s">
        <v>265</v>
      </c>
      <c r="F153" s="325" t="s">
        <v>189</v>
      </c>
    </row>
    <row r="154" spans="1:6" x14ac:dyDescent="0.2">
      <c r="A154" s="325" t="s">
        <v>765</v>
      </c>
      <c r="B154" s="325" t="s">
        <v>829</v>
      </c>
      <c r="C154" s="325" t="s">
        <v>249</v>
      </c>
      <c r="D154" s="325" t="s">
        <v>566</v>
      </c>
      <c r="E154" s="325" t="s">
        <v>265</v>
      </c>
      <c r="F154" s="325" t="s">
        <v>135</v>
      </c>
    </row>
    <row r="155" spans="1:6" x14ac:dyDescent="0.2">
      <c r="A155" s="325" t="s">
        <v>765</v>
      </c>
      <c r="B155" s="325" t="s">
        <v>830</v>
      </c>
      <c r="C155" s="325" t="s">
        <v>249</v>
      </c>
      <c r="D155" s="325" t="s">
        <v>412</v>
      </c>
      <c r="E155" s="325" t="s">
        <v>456</v>
      </c>
      <c r="F155" s="325" t="s">
        <v>128</v>
      </c>
    </row>
    <row r="156" spans="1:6" x14ac:dyDescent="0.2">
      <c r="A156" s="325" t="s">
        <v>765</v>
      </c>
      <c r="B156" s="325" t="s">
        <v>831</v>
      </c>
      <c r="C156" s="325" t="s">
        <v>249</v>
      </c>
      <c r="D156" s="325" t="s">
        <v>369</v>
      </c>
      <c r="E156" s="325" t="s">
        <v>456</v>
      </c>
      <c r="F156" s="325" t="s">
        <v>496</v>
      </c>
    </row>
    <row r="157" spans="1:6" x14ac:dyDescent="0.2">
      <c r="A157" s="325" t="s">
        <v>765</v>
      </c>
      <c r="B157" s="325" t="s">
        <v>832</v>
      </c>
      <c r="C157" s="325" t="s">
        <v>249</v>
      </c>
      <c r="D157" s="325" t="s">
        <v>348</v>
      </c>
      <c r="E157" s="325" t="s">
        <v>456</v>
      </c>
      <c r="F157" s="325" t="s">
        <v>293</v>
      </c>
    </row>
    <row r="158" spans="1:6" x14ac:dyDescent="0.2">
      <c r="A158" s="325" t="s">
        <v>765</v>
      </c>
      <c r="B158" s="325" t="s">
        <v>833</v>
      </c>
      <c r="C158" s="325" t="s">
        <v>249</v>
      </c>
      <c r="D158" s="325" t="s">
        <v>244</v>
      </c>
      <c r="E158" s="325" t="s">
        <v>265</v>
      </c>
      <c r="F158" s="325" t="s">
        <v>543</v>
      </c>
    </row>
    <row r="159" spans="1:6" x14ac:dyDescent="0.2">
      <c r="A159" s="325" t="s">
        <v>765</v>
      </c>
      <c r="B159" s="325" t="s">
        <v>834</v>
      </c>
      <c r="C159" s="325" t="s">
        <v>249</v>
      </c>
      <c r="D159" s="325" t="s">
        <v>488</v>
      </c>
      <c r="E159" s="325" t="s">
        <v>456</v>
      </c>
      <c r="F159" s="325" t="s">
        <v>545</v>
      </c>
    </row>
    <row r="160" spans="1:6" x14ac:dyDescent="0.2">
      <c r="A160" s="325" t="s">
        <v>765</v>
      </c>
      <c r="B160" s="325" t="s">
        <v>835</v>
      </c>
      <c r="C160" s="325" t="s">
        <v>249</v>
      </c>
      <c r="D160" s="325" t="s">
        <v>397</v>
      </c>
      <c r="E160" s="325" t="s">
        <v>265</v>
      </c>
      <c r="F160" s="325" t="s">
        <v>88</v>
      </c>
    </row>
    <row r="161" spans="1:6" x14ac:dyDescent="0.2">
      <c r="A161" s="325" t="s">
        <v>765</v>
      </c>
      <c r="B161" s="325" t="s">
        <v>836</v>
      </c>
      <c r="C161" s="325" t="s">
        <v>249</v>
      </c>
      <c r="D161" s="325" t="s">
        <v>440</v>
      </c>
      <c r="E161" s="325" t="s">
        <v>456</v>
      </c>
      <c r="F161" s="325" t="s">
        <v>368</v>
      </c>
    </row>
    <row r="162" spans="1:6" x14ac:dyDescent="0.2">
      <c r="A162" s="325" t="s">
        <v>765</v>
      </c>
      <c r="B162" s="325" t="s">
        <v>837</v>
      </c>
      <c r="C162" s="325" t="s">
        <v>249</v>
      </c>
      <c r="D162" s="325" t="s">
        <v>445</v>
      </c>
      <c r="E162" s="325" t="s">
        <v>456</v>
      </c>
      <c r="F162" s="325" t="s">
        <v>238</v>
      </c>
    </row>
    <row r="163" spans="1:6" x14ac:dyDescent="0.2">
      <c r="A163" s="325" t="s">
        <v>765</v>
      </c>
      <c r="B163" s="325" t="s">
        <v>838</v>
      </c>
      <c r="C163" s="325" t="s">
        <v>249</v>
      </c>
      <c r="D163" s="325" t="s">
        <v>119</v>
      </c>
      <c r="E163" s="325" t="s">
        <v>456</v>
      </c>
      <c r="F163" s="325" t="s">
        <v>557</v>
      </c>
    </row>
    <row r="164" spans="1:6" x14ac:dyDescent="0.2">
      <c r="A164" s="325" t="s">
        <v>765</v>
      </c>
      <c r="B164" s="325" t="s">
        <v>839</v>
      </c>
      <c r="C164" s="325" t="s">
        <v>249</v>
      </c>
      <c r="D164" s="325" t="s">
        <v>580</v>
      </c>
      <c r="E164" s="325" t="s">
        <v>456</v>
      </c>
      <c r="F164" s="325" t="s">
        <v>120</v>
      </c>
    </row>
    <row r="165" spans="1:6" x14ac:dyDescent="0.2">
      <c r="A165" s="325" t="s">
        <v>765</v>
      </c>
      <c r="B165" s="325" t="s">
        <v>840</v>
      </c>
      <c r="C165" s="325" t="s">
        <v>249</v>
      </c>
      <c r="D165" s="325" t="s">
        <v>64</v>
      </c>
      <c r="E165" s="325" t="s">
        <v>456</v>
      </c>
      <c r="F165" s="325" t="s">
        <v>197</v>
      </c>
    </row>
    <row r="166" spans="1:6" x14ac:dyDescent="0.2">
      <c r="A166" s="325" t="s">
        <v>765</v>
      </c>
      <c r="B166" s="325" t="s">
        <v>841</v>
      </c>
      <c r="C166" s="325" t="s">
        <v>249</v>
      </c>
      <c r="D166" s="325" t="s">
        <v>471</v>
      </c>
      <c r="E166" s="325" t="s">
        <v>456</v>
      </c>
      <c r="F166" s="325" t="s">
        <v>466</v>
      </c>
    </row>
    <row r="167" spans="1:6" x14ac:dyDescent="0.2">
      <c r="A167" s="325" t="s">
        <v>765</v>
      </c>
      <c r="B167" s="325" t="s">
        <v>842</v>
      </c>
      <c r="C167" s="325" t="s">
        <v>249</v>
      </c>
      <c r="D167" s="325" t="s">
        <v>539</v>
      </c>
      <c r="E167" s="325" t="s">
        <v>456</v>
      </c>
      <c r="F167" s="325" t="s">
        <v>394</v>
      </c>
    </row>
    <row r="168" spans="1:6" x14ac:dyDescent="0.2">
      <c r="A168" s="325" t="s">
        <v>765</v>
      </c>
      <c r="B168" s="325" t="s">
        <v>843</v>
      </c>
      <c r="C168" s="325" t="s">
        <v>249</v>
      </c>
      <c r="D168" s="325" t="s">
        <v>318</v>
      </c>
      <c r="E168" s="325" t="s">
        <v>456</v>
      </c>
      <c r="F168" s="325" t="s">
        <v>478</v>
      </c>
    </row>
    <row r="169" spans="1:6" x14ac:dyDescent="0.2">
      <c r="A169" s="325" t="s">
        <v>765</v>
      </c>
      <c r="B169" s="325" t="s">
        <v>844</v>
      </c>
      <c r="C169" s="325" t="s">
        <v>249</v>
      </c>
      <c r="D169" s="325" t="s">
        <v>257</v>
      </c>
      <c r="E169" s="325" t="s">
        <v>456</v>
      </c>
      <c r="F169" s="325" t="s">
        <v>338</v>
      </c>
    </row>
    <row r="170" spans="1:6" x14ac:dyDescent="0.2">
      <c r="A170" s="325" t="s">
        <v>765</v>
      </c>
      <c r="B170" s="325" t="s">
        <v>845</v>
      </c>
      <c r="C170" s="325" t="s">
        <v>249</v>
      </c>
      <c r="D170" s="325" t="s">
        <v>751</v>
      </c>
      <c r="E170" s="325" t="s">
        <v>456</v>
      </c>
      <c r="F170" s="325" t="s">
        <v>753</v>
      </c>
    </row>
    <row r="171" spans="1:6" x14ac:dyDescent="0.2">
      <c r="A171" s="325" t="s">
        <v>765</v>
      </c>
      <c r="B171" s="325" t="s">
        <v>846</v>
      </c>
      <c r="C171" s="325" t="s">
        <v>249</v>
      </c>
      <c r="D171" s="325" t="s">
        <v>55</v>
      </c>
      <c r="E171" s="325" t="s">
        <v>456</v>
      </c>
      <c r="F171" s="325" t="s">
        <v>305</v>
      </c>
    </row>
    <row r="172" spans="1:6" x14ac:dyDescent="0.2">
      <c r="A172" s="325" t="s">
        <v>765</v>
      </c>
      <c r="B172" s="325" t="s">
        <v>847</v>
      </c>
      <c r="C172" s="325" t="s">
        <v>249</v>
      </c>
      <c r="D172" s="325" t="s">
        <v>522</v>
      </c>
      <c r="E172" s="325" t="s">
        <v>456</v>
      </c>
      <c r="F172" s="325" t="s">
        <v>602</v>
      </c>
    </row>
    <row r="173" spans="1:6" x14ac:dyDescent="0.2">
      <c r="A173" s="325" t="s">
        <v>765</v>
      </c>
      <c r="B173" s="325" t="s">
        <v>848</v>
      </c>
      <c r="C173" s="325" t="s">
        <v>249</v>
      </c>
      <c r="D173" s="325" t="s">
        <v>370</v>
      </c>
      <c r="E173" s="325" t="s">
        <v>456</v>
      </c>
      <c r="F173" s="325" t="s">
        <v>484</v>
      </c>
    </row>
    <row r="174" spans="1:6" x14ac:dyDescent="0.2">
      <c r="A174" s="325" t="s">
        <v>765</v>
      </c>
      <c r="B174" s="325" t="s">
        <v>849</v>
      </c>
      <c r="C174" s="325" t="s">
        <v>249</v>
      </c>
      <c r="D174" s="325" t="s">
        <v>752</v>
      </c>
      <c r="E174" s="325" t="s">
        <v>456</v>
      </c>
      <c r="F174" s="325" t="s">
        <v>754</v>
      </c>
    </row>
    <row r="175" spans="1:6" x14ac:dyDescent="0.2">
      <c r="A175" s="325" t="s">
        <v>765</v>
      </c>
      <c r="B175" s="325" t="s">
        <v>850</v>
      </c>
      <c r="C175" s="325" t="s">
        <v>249</v>
      </c>
      <c r="D175" s="325" t="s">
        <v>585</v>
      </c>
      <c r="E175" s="325" t="s">
        <v>456</v>
      </c>
      <c r="F175" s="325" t="s">
        <v>564</v>
      </c>
    </row>
    <row r="176" spans="1:6" x14ac:dyDescent="0.2">
      <c r="A176" s="325" t="s">
        <v>765</v>
      </c>
      <c r="B176" s="325" t="s">
        <v>851</v>
      </c>
      <c r="C176" s="325" t="s">
        <v>249</v>
      </c>
      <c r="D176" s="325" t="s">
        <v>603</v>
      </c>
      <c r="E176" s="325" t="s">
        <v>265</v>
      </c>
      <c r="F176" s="325" t="s">
        <v>703</v>
      </c>
    </row>
    <row r="177" spans="1:6" x14ac:dyDescent="0.2">
      <c r="A177" s="325" t="s">
        <v>765</v>
      </c>
      <c r="B177" s="325" t="s">
        <v>852</v>
      </c>
      <c r="C177" s="325" t="s">
        <v>249</v>
      </c>
      <c r="D177" s="325" t="s">
        <v>604</v>
      </c>
      <c r="E177" s="325" t="s">
        <v>456</v>
      </c>
      <c r="F177" s="325" t="s">
        <v>702</v>
      </c>
    </row>
    <row r="178" spans="1:6" x14ac:dyDescent="0.2">
      <c r="A178" s="325" t="s">
        <v>765</v>
      </c>
      <c r="B178" s="325" t="s">
        <v>853</v>
      </c>
      <c r="C178" s="325" t="s">
        <v>249</v>
      </c>
      <c r="D178" s="325" t="s">
        <v>565</v>
      </c>
      <c r="E178" s="325" t="s">
        <v>265</v>
      </c>
      <c r="F178" s="325" t="s">
        <v>306</v>
      </c>
    </row>
    <row r="179" spans="1:6" x14ac:dyDescent="0.2">
      <c r="A179" s="325" t="s">
        <v>765</v>
      </c>
      <c r="B179" s="325" t="s">
        <v>854</v>
      </c>
      <c r="C179" s="325" t="s">
        <v>249</v>
      </c>
      <c r="D179" s="325" t="s">
        <v>354</v>
      </c>
      <c r="E179" s="325" t="s">
        <v>265</v>
      </c>
      <c r="F179" s="325" t="s">
        <v>390</v>
      </c>
    </row>
    <row r="180" spans="1:6" x14ac:dyDescent="0.2">
      <c r="A180" s="325" t="s">
        <v>765</v>
      </c>
      <c r="B180" s="325" t="s">
        <v>855</v>
      </c>
      <c r="C180" s="325" t="s">
        <v>249</v>
      </c>
      <c r="D180" s="325" t="s">
        <v>93</v>
      </c>
      <c r="E180" s="325" t="s">
        <v>456</v>
      </c>
      <c r="F180" s="325" t="s">
        <v>170</v>
      </c>
    </row>
    <row r="181" spans="1:6" x14ac:dyDescent="0.2">
      <c r="A181" s="325" t="s">
        <v>765</v>
      </c>
      <c r="B181" s="325" t="s">
        <v>856</v>
      </c>
      <c r="C181" s="325" t="s">
        <v>249</v>
      </c>
      <c r="D181" s="325" t="s">
        <v>198</v>
      </c>
      <c r="E181" s="325" t="s">
        <v>456</v>
      </c>
      <c r="F181" s="325" t="s">
        <v>139</v>
      </c>
    </row>
    <row r="182" spans="1:6" x14ac:dyDescent="0.2">
      <c r="A182" s="325" t="s">
        <v>765</v>
      </c>
      <c r="B182" s="325" t="s">
        <v>857</v>
      </c>
      <c r="C182" s="325" t="s">
        <v>249</v>
      </c>
      <c r="D182" s="325" t="s">
        <v>249</v>
      </c>
      <c r="E182" s="325" t="s">
        <v>556</v>
      </c>
      <c r="F182" s="325" t="s">
        <v>27</v>
      </c>
    </row>
    <row r="183" spans="1:6" x14ac:dyDescent="0.2">
      <c r="A183" s="325" t="s">
        <v>765</v>
      </c>
      <c r="B183" s="325" t="s">
        <v>858</v>
      </c>
      <c r="C183" s="325" t="s">
        <v>249</v>
      </c>
      <c r="D183" s="325" t="s">
        <v>152</v>
      </c>
      <c r="E183" s="325" t="s">
        <v>456</v>
      </c>
      <c r="F183" s="325" t="s">
        <v>555</v>
      </c>
    </row>
    <row r="184" spans="1:6" x14ac:dyDescent="0.2">
      <c r="A184" s="325" t="s">
        <v>765</v>
      </c>
      <c r="B184" s="325" t="s">
        <v>859</v>
      </c>
      <c r="C184" s="325" t="s">
        <v>249</v>
      </c>
      <c r="D184" s="325" t="s">
        <v>547</v>
      </c>
      <c r="E184" s="325" t="s">
        <v>456</v>
      </c>
      <c r="F184" s="325" t="s">
        <v>374</v>
      </c>
    </row>
    <row r="185" spans="1:6" x14ac:dyDescent="0.2">
      <c r="A185" s="325" t="s">
        <v>765</v>
      </c>
      <c r="B185" s="325" t="s">
        <v>860</v>
      </c>
      <c r="C185" s="325" t="s">
        <v>249</v>
      </c>
      <c r="D185" s="325" t="s">
        <v>490</v>
      </c>
      <c r="E185" s="325" t="s">
        <v>456</v>
      </c>
      <c r="F185" s="325" t="s">
        <v>177</v>
      </c>
    </row>
    <row r="186" spans="1:6" x14ac:dyDescent="0.2">
      <c r="A186" s="325" t="s">
        <v>765</v>
      </c>
      <c r="B186" s="325" t="s">
        <v>861</v>
      </c>
      <c r="C186" s="325" t="s">
        <v>249</v>
      </c>
      <c r="D186" s="325" t="s">
        <v>209</v>
      </c>
      <c r="E186" s="325" t="s">
        <v>456</v>
      </c>
      <c r="F186" s="325" t="s">
        <v>41</v>
      </c>
    </row>
    <row r="187" spans="1:6" x14ac:dyDescent="0.2">
      <c r="A187" s="325" t="s">
        <v>765</v>
      </c>
      <c r="B187" s="325" t="s">
        <v>862</v>
      </c>
      <c r="C187" s="325" t="s">
        <v>249</v>
      </c>
      <c r="D187" s="325" t="s">
        <v>163</v>
      </c>
      <c r="E187" s="325" t="s">
        <v>456</v>
      </c>
      <c r="F187" s="325" t="s">
        <v>98</v>
      </c>
    </row>
    <row r="188" spans="1:6" x14ac:dyDescent="0.2">
      <c r="A188" s="325" t="s">
        <v>765</v>
      </c>
      <c r="B188" s="325" t="s">
        <v>863</v>
      </c>
      <c r="C188" s="325" t="s">
        <v>249</v>
      </c>
      <c r="D188" s="325" t="s">
        <v>200</v>
      </c>
      <c r="E188" s="325" t="s">
        <v>456</v>
      </c>
      <c r="F188" s="325" t="s">
        <v>230</v>
      </c>
    </row>
    <row r="189" spans="1:6" x14ac:dyDescent="0.2">
      <c r="A189" s="325" t="s">
        <v>765</v>
      </c>
      <c r="B189" s="325" t="s">
        <v>864</v>
      </c>
      <c r="C189" s="325" t="s">
        <v>249</v>
      </c>
      <c r="D189" s="325" t="s">
        <v>54</v>
      </c>
      <c r="E189" s="325" t="s">
        <v>456</v>
      </c>
      <c r="F189" s="325" t="s">
        <v>192</v>
      </c>
    </row>
    <row r="190" spans="1:6" x14ac:dyDescent="0.2">
      <c r="A190" s="325" t="s">
        <v>765</v>
      </c>
      <c r="B190" s="325" t="s">
        <v>865</v>
      </c>
      <c r="C190" s="325" t="s">
        <v>249</v>
      </c>
      <c r="D190" s="325" t="s">
        <v>133</v>
      </c>
      <c r="E190" s="325" t="s">
        <v>265</v>
      </c>
      <c r="F190" s="325" t="s">
        <v>349</v>
      </c>
    </row>
    <row r="191" spans="1:6" x14ac:dyDescent="0.2">
      <c r="A191" s="325" t="s">
        <v>765</v>
      </c>
      <c r="B191" s="325" t="s">
        <v>866</v>
      </c>
      <c r="C191" s="325" t="s">
        <v>249</v>
      </c>
      <c r="D191" s="325" t="s">
        <v>232</v>
      </c>
      <c r="E191" s="325" t="s">
        <v>265</v>
      </c>
      <c r="F191" s="325" t="s">
        <v>16</v>
      </c>
    </row>
    <row r="192" spans="1:6" x14ac:dyDescent="0.2">
      <c r="A192" s="325" t="s">
        <v>765</v>
      </c>
      <c r="B192" s="325" t="s">
        <v>867</v>
      </c>
      <c r="C192" s="325" t="s">
        <v>249</v>
      </c>
      <c r="D192" s="325" t="s">
        <v>56</v>
      </c>
      <c r="E192" s="325" t="s">
        <v>265</v>
      </c>
      <c r="F192" s="325" t="s">
        <v>199</v>
      </c>
    </row>
    <row r="193" spans="1:6" x14ac:dyDescent="0.2">
      <c r="A193" s="325" t="s">
        <v>765</v>
      </c>
      <c r="B193" s="325" t="s">
        <v>868</v>
      </c>
      <c r="C193" s="325" t="s">
        <v>249</v>
      </c>
      <c r="D193" s="325" t="s">
        <v>434</v>
      </c>
      <c r="E193" s="325" t="s">
        <v>456</v>
      </c>
      <c r="F193" s="325" t="s">
        <v>514</v>
      </c>
    </row>
    <row r="194" spans="1:6" x14ac:dyDescent="0.2">
      <c r="A194" s="325" t="s">
        <v>765</v>
      </c>
      <c r="B194" s="325" t="s">
        <v>869</v>
      </c>
      <c r="C194" s="325" t="s">
        <v>249</v>
      </c>
      <c r="D194" s="325" t="s">
        <v>108</v>
      </c>
      <c r="E194" s="325" t="s">
        <v>456</v>
      </c>
      <c r="F194" s="325" t="s">
        <v>362</v>
      </c>
    </row>
    <row r="195" spans="1:6" x14ac:dyDescent="0.2">
      <c r="A195" s="325" t="s">
        <v>765</v>
      </c>
      <c r="B195" s="325" t="s">
        <v>870</v>
      </c>
      <c r="C195" s="325" t="s">
        <v>249</v>
      </c>
      <c r="D195" s="325" t="s">
        <v>657</v>
      </c>
      <c r="E195" s="325" t="s">
        <v>456</v>
      </c>
      <c r="F195" s="325" t="s">
        <v>658</v>
      </c>
    </row>
    <row r="196" spans="1:6" x14ac:dyDescent="0.2">
      <c r="A196" s="325" t="s">
        <v>765</v>
      </c>
      <c r="B196" s="325" t="s">
        <v>871</v>
      </c>
      <c r="C196" s="325" t="s">
        <v>249</v>
      </c>
      <c r="D196" s="325" t="s">
        <v>659</v>
      </c>
      <c r="E196" s="325" t="s">
        <v>456</v>
      </c>
      <c r="F196" s="325" t="s">
        <v>660</v>
      </c>
    </row>
    <row r="197" spans="1:6" x14ac:dyDescent="0.2">
      <c r="A197" s="325" t="s">
        <v>765</v>
      </c>
      <c r="B197" s="325" t="s">
        <v>872</v>
      </c>
      <c r="C197" s="325" t="s">
        <v>249</v>
      </c>
      <c r="D197" s="325" t="s">
        <v>661</v>
      </c>
      <c r="E197" s="325" t="s">
        <v>456</v>
      </c>
      <c r="F197" s="325" t="s">
        <v>662</v>
      </c>
    </row>
    <row r="198" spans="1:6" x14ac:dyDescent="0.2">
      <c r="A198" s="325" t="s">
        <v>765</v>
      </c>
      <c r="B198" s="325" t="s">
        <v>873</v>
      </c>
      <c r="C198" s="325" t="s">
        <v>249</v>
      </c>
      <c r="D198" s="325" t="s">
        <v>648</v>
      </c>
      <c r="E198" s="325" t="s">
        <v>456</v>
      </c>
      <c r="F198" s="325" t="s">
        <v>651</v>
      </c>
    </row>
    <row r="199" spans="1:6" x14ac:dyDescent="0.2">
      <c r="A199" s="325" t="s">
        <v>765</v>
      </c>
      <c r="B199" s="325" t="s">
        <v>874</v>
      </c>
      <c r="C199" s="325" t="s">
        <v>249</v>
      </c>
      <c r="D199" s="325" t="s">
        <v>649</v>
      </c>
      <c r="E199" s="325" t="s">
        <v>456</v>
      </c>
      <c r="F199" s="325" t="s">
        <v>652</v>
      </c>
    </row>
    <row r="200" spans="1:6" x14ac:dyDescent="0.2">
      <c r="A200" s="325" t="s">
        <v>765</v>
      </c>
      <c r="B200" s="325" t="s">
        <v>875</v>
      </c>
      <c r="C200" s="325" t="s">
        <v>249</v>
      </c>
      <c r="D200" s="325" t="s">
        <v>650</v>
      </c>
      <c r="E200" s="325" t="s">
        <v>456</v>
      </c>
      <c r="F200" s="325" t="s">
        <v>653</v>
      </c>
    </row>
    <row r="201" spans="1:6" x14ac:dyDescent="0.2">
      <c r="A201" s="325" t="s">
        <v>765</v>
      </c>
      <c r="B201" s="325" t="s">
        <v>876</v>
      </c>
      <c r="C201" s="325" t="s">
        <v>249</v>
      </c>
      <c r="D201" s="325" t="s">
        <v>327</v>
      </c>
      <c r="E201" s="325" t="s">
        <v>265</v>
      </c>
      <c r="F201" s="325" t="s">
        <v>102</v>
      </c>
    </row>
    <row r="202" spans="1:6" x14ac:dyDescent="0.2">
      <c r="A202" s="325" t="s">
        <v>765</v>
      </c>
      <c r="B202" s="325" t="s">
        <v>877</v>
      </c>
      <c r="C202" s="325" t="s">
        <v>249</v>
      </c>
      <c r="D202" s="325" t="s">
        <v>356</v>
      </c>
      <c r="E202" s="325" t="s">
        <v>265</v>
      </c>
      <c r="F202" s="325" t="s">
        <v>1011</v>
      </c>
    </row>
    <row r="203" spans="1:6" x14ac:dyDescent="0.2">
      <c r="A203" s="325" t="s">
        <v>765</v>
      </c>
      <c r="B203" s="325" t="s">
        <v>878</v>
      </c>
      <c r="C203" s="325" t="s">
        <v>249</v>
      </c>
      <c r="D203" s="325" t="s">
        <v>513</v>
      </c>
      <c r="E203" s="325" t="s">
        <v>556</v>
      </c>
      <c r="F203" s="325" t="s">
        <v>264</v>
      </c>
    </row>
    <row r="204" spans="1:6" x14ac:dyDescent="0.2">
      <c r="A204" s="325" t="s">
        <v>765</v>
      </c>
      <c r="B204" s="325" t="s">
        <v>879</v>
      </c>
      <c r="C204" s="325" t="s">
        <v>249</v>
      </c>
      <c r="D204" s="325" t="s">
        <v>554</v>
      </c>
      <c r="E204" s="325" t="s">
        <v>556</v>
      </c>
      <c r="F204" s="325" t="s">
        <v>229</v>
      </c>
    </row>
    <row r="205" spans="1:6" x14ac:dyDescent="0.2">
      <c r="A205" s="325" t="s">
        <v>765</v>
      </c>
      <c r="B205" s="325" t="s">
        <v>880</v>
      </c>
      <c r="C205" s="325" t="s">
        <v>249</v>
      </c>
      <c r="D205" s="325" t="s">
        <v>409</v>
      </c>
      <c r="E205" s="325" t="s">
        <v>556</v>
      </c>
      <c r="F205" s="325" t="s">
        <v>336</v>
      </c>
    </row>
    <row r="206" spans="1:6" x14ac:dyDescent="0.2">
      <c r="A206" s="325" t="s">
        <v>765</v>
      </c>
      <c r="B206" s="325" t="s">
        <v>881</v>
      </c>
      <c r="C206" s="325" t="s">
        <v>249</v>
      </c>
      <c r="D206" s="325" t="s">
        <v>72</v>
      </c>
      <c r="E206" s="325" t="s">
        <v>456</v>
      </c>
      <c r="F206" s="325" t="s">
        <v>451</v>
      </c>
    </row>
    <row r="207" spans="1:6" x14ac:dyDescent="0.2">
      <c r="A207" s="325" t="s">
        <v>765</v>
      </c>
      <c r="B207" s="325" t="s">
        <v>882</v>
      </c>
      <c r="C207" s="325" t="s">
        <v>249</v>
      </c>
      <c r="D207" s="325" t="s">
        <v>35</v>
      </c>
      <c r="E207" s="325" t="s">
        <v>456</v>
      </c>
      <c r="F207" s="325" t="s">
        <v>414</v>
      </c>
    </row>
    <row r="208" spans="1:6" x14ac:dyDescent="0.2">
      <c r="A208" s="325" t="s">
        <v>765</v>
      </c>
      <c r="B208" s="325" t="s">
        <v>883</v>
      </c>
      <c r="C208" s="325" t="s">
        <v>249</v>
      </c>
      <c r="D208" s="325" t="s">
        <v>118</v>
      </c>
      <c r="E208" s="325" t="s">
        <v>456</v>
      </c>
      <c r="F208" s="325" t="s">
        <v>62</v>
      </c>
    </row>
    <row r="209" spans="1:6" x14ac:dyDescent="0.2">
      <c r="A209" s="325" t="s">
        <v>765</v>
      </c>
      <c r="B209" s="325" t="s">
        <v>884</v>
      </c>
      <c r="C209" s="325" t="s">
        <v>249</v>
      </c>
      <c r="D209" s="325" t="s">
        <v>254</v>
      </c>
      <c r="E209" s="325" t="s">
        <v>456</v>
      </c>
      <c r="F209" s="325" t="s">
        <v>148</v>
      </c>
    </row>
    <row r="210" spans="1:6" x14ac:dyDescent="0.2">
      <c r="A210" s="325" t="s">
        <v>765</v>
      </c>
      <c r="B210" s="325" t="s">
        <v>885</v>
      </c>
      <c r="C210" s="325" t="s">
        <v>249</v>
      </c>
      <c r="D210" s="325" t="s">
        <v>396</v>
      </c>
      <c r="E210" s="325" t="s">
        <v>456</v>
      </c>
      <c r="F210" s="325" t="s">
        <v>8</v>
      </c>
    </row>
    <row r="211" spans="1:6" x14ac:dyDescent="0.2">
      <c r="A211" s="325" t="s">
        <v>765</v>
      </c>
      <c r="B211" s="325" t="s">
        <v>886</v>
      </c>
      <c r="C211" s="325" t="s">
        <v>249</v>
      </c>
      <c r="D211" s="325" t="s">
        <v>279</v>
      </c>
      <c r="E211" s="325" t="s">
        <v>456</v>
      </c>
      <c r="F211" s="325" t="s">
        <v>475</v>
      </c>
    </row>
    <row r="212" spans="1:6" x14ac:dyDescent="0.2">
      <c r="A212" s="325" t="s">
        <v>765</v>
      </c>
      <c r="B212" s="325" t="s">
        <v>887</v>
      </c>
      <c r="C212" s="325" t="s">
        <v>249</v>
      </c>
      <c r="D212" s="325" t="s">
        <v>66</v>
      </c>
      <c r="E212" s="325" t="s">
        <v>456</v>
      </c>
      <c r="F212" s="325" t="s">
        <v>245</v>
      </c>
    </row>
    <row r="213" spans="1:6" x14ac:dyDescent="0.2">
      <c r="A213" s="325" t="s">
        <v>765</v>
      </c>
      <c r="B213" s="325" t="s">
        <v>888</v>
      </c>
      <c r="C213" s="325" t="s">
        <v>249</v>
      </c>
      <c r="D213" s="325" t="s">
        <v>568</v>
      </c>
      <c r="E213" s="325" t="s">
        <v>456</v>
      </c>
      <c r="F213" s="325" t="s">
        <v>181</v>
      </c>
    </row>
    <row r="214" spans="1:6" x14ac:dyDescent="0.2">
      <c r="A214" s="325" t="s">
        <v>765</v>
      </c>
      <c r="B214" s="325" t="s">
        <v>889</v>
      </c>
      <c r="C214" s="325" t="s">
        <v>249</v>
      </c>
      <c r="D214" s="325" t="s">
        <v>712</v>
      </c>
      <c r="E214" s="325" t="s">
        <v>456</v>
      </c>
      <c r="F214" s="325" t="s">
        <v>713</v>
      </c>
    </row>
    <row r="215" spans="1:6" x14ac:dyDescent="0.2">
      <c r="A215" s="325" t="s">
        <v>765</v>
      </c>
      <c r="B215" s="325" t="s">
        <v>890</v>
      </c>
      <c r="C215" s="325" t="s">
        <v>249</v>
      </c>
      <c r="D215" s="325" t="s">
        <v>371</v>
      </c>
      <c r="E215" s="325" t="s">
        <v>456</v>
      </c>
      <c r="F215" s="325" t="s">
        <v>63</v>
      </c>
    </row>
    <row r="216" spans="1:6" x14ac:dyDescent="0.2">
      <c r="A216" s="325" t="s">
        <v>765</v>
      </c>
      <c r="B216" s="325" t="s">
        <v>891</v>
      </c>
      <c r="C216" s="325" t="s">
        <v>249</v>
      </c>
      <c r="D216" s="325" t="s">
        <v>497</v>
      </c>
      <c r="E216" s="325" t="s">
        <v>456</v>
      </c>
      <c r="F216" s="325" t="s">
        <v>1012</v>
      </c>
    </row>
    <row r="217" spans="1:6" x14ac:dyDescent="0.2">
      <c r="A217" s="325" t="s">
        <v>765</v>
      </c>
      <c r="B217" s="325" t="s">
        <v>892</v>
      </c>
      <c r="C217" s="325" t="s">
        <v>249</v>
      </c>
      <c r="D217" s="325" t="s">
        <v>699</v>
      </c>
      <c r="E217" s="325" t="s">
        <v>456</v>
      </c>
      <c r="F217" s="325" t="s">
        <v>994</v>
      </c>
    </row>
    <row r="218" spans="1:6" x14ac:dyDescent="0.2">
      <c r="A218" s="325" t="s">
        <v>765</v>
      </c>
      <c r="B218" s="325" t="s">
        <v>893</v>
      </c>
      <c r="C218" s="325" t="s">
        <v>249</v>
      </c>
      <c r="D218" s="325" t="s">
        <v>320</v>
      </c>
      <c r="E218" s="325" t="s">
        <v>456</v>
      </c>
      <c r="F218" s="325" t="s">
        <v>74</v>
      </c>
    </row>
    <row r="219" spans="1:6" x14ac:dyDescent="0.2">
      <c r="A219" s="325" t="s">
        <v>765</v>
      </c>
      <c r="B219" s="325" t="s">
        <v>894</v>
      </c>
      <c r="C219" s="325" t="s">
        <v>249</v>
      </c>
      <c r="D219" s="325" t="s">
        <v>509</v>
      </c>
      <c r="E219" s="325" t="s">
        <v>456</v>
      </c>
      <c r="F219" s="325" t="s">
        <v>236</v>
      </c>
    </row>
    <row r="220" spans="1:6" x14ac:dyDescent="0.2">
      <c r="A220" s="325" t="s">
        <v>765</v>
      </c>
      <c r="B220" s="325" t="s">
        <v>895</v>
      </c>
      <c r="C220" s="325" t="s">
        <v>249</v>
      </c>
      <c r="D220" s="325" t="s">
        <v>186</v>
      </c>
      <c r="E220" s="325" t="s">
        <v>456</v>
      </c>
      <c r="F220" s="325" t="s">
        <v>74</v>
      </c>
    </row>
    <row r="221" spans="1:6" x14ac:dyDescent="0.2">
      <c r="A221" s="325" t="s">
        <v>765</v>
      </c>
      <c r="B221" s="325" t="s">
        <v>896</v>
      </c>
      <c r="C221" s="325" t="s">
        <v>249</v>
      </c>
      <c r="D221" s="325" t="s">
        <v>517</v>
      </c>
      <c r="E221" s="325" t="s">
        <v>456</v>
      </c>
      <c r="F221" s="325" t="s">
        <v>236</v>
      </c>
    </row>
    <row r="222" spans="1:6" x14ac:dyDescent="0.2">
      <c r="A222" s="325" t="s">
        <v>765</v>
      </c>
      <c r="B222" s="325" t="s">
        <v>897</v>
      </c>
      <c r="C222" s="325" t="s">
        <v>249</v>
      </c>
      <c r="D222" s="325" t="s">
        <v>291</v>
      </c>
      <c r="E222" s="325" t="s">
        <v>456</v>
      </c>
      <c r="F222" s="325" t="s">
        <v>342</v>
      </c>
    </row>
    <row r="223" spans="1:6" x14ac:dyDescent="0.2">
      <c r="A223" s="325" t="s">
        <v>765</v>
      </c>
      <c r="B223" s="325" t="s">
        <v>898</v>
      </c>
      <c r="C223" s="325" t="s">
        <v>249</v>
      </c>
      <c r="D223" s="325" t="s">
        <v>353</v>
      </c>
      <c r="E223" s="325" t="s">
        <v>456</v>
      </c>
      <c r="F223" s="325" t="s">
        <v>559</v>
      </c>
    </row>
    <row r="224" spans="1:6" x14ac:dyDescent="0.2">
      <c r="A224" s="325" t="s">
        <v>765</v>
      </c>
      <c r="B224" s="325" t="s">
        <v>899</v>
      </c>
      <c r="C224" s="325" t="s">
        <v>249</v>
      </c>
      <c r="D224" s="325" t="s">
        <v>366</v>
      </c>
      <c r="E224" s="325" t="s">
        <v>456</v>
      </c>
      <c r="F224" s="325" t="s">
        <v>256</v>
      </c>
    </row>
    <row r="225" spans="1:6" x14ac:dyDescent="0.2">
      <c r="A225" s="325" t="s">
        <v>765</v>
      </c>
      <c r="B225" s="325" t="s">
        <v>900</v>
      </c>
      <c r="C225" s="325" t="s">
        <v>249</v>
      </c>
      <c r="D225" s="325" t="s">
        <v>501</v>
      </c>
      <c r="E225" s="325" t="s">
        <v>456</v>
      </c>
      <c r="F225" s="325" t="s">
        <v>61</v>
      </c>
    </row>
    <row r="226" spans="1:6" x14ac:dyDescent="0.2">
      <c r="A226" s="325" t="s">
        <v>765</v>
      </c>
      <c r="B226" s="325" t="s">
        <v>901</v>
      </c>
      <c r="C226" s="325" t="s">
        <v>249</v>
      </c>
      <c r="D226" s="325" t="s">
        <v>21</v>
      </c>
      <c r="E226" s="325" t="s">
        <v>456</v>
      </c>
      <c r="F226" s="325" t="s">
        <v>47</v>
      </c>
    </row>
    <row r="227" spans="1:6" x14ac:dyDescent="0.2">
      <c r="A227" s="325" t="s">
        <v>765</v>
      </c>
      <c r="B227" s="325" t="s">
        <v>902</v>
      </c>
      <c r="C227" s="325" t="s">
        <v>249</v>
      </c>
      <c r="D227" s="325" t="s">
        <v>323</v>
      </c>
      <c r="E227" s="325" t="s">
        <v>456</v>
      </c>
      <c r="F227" s="325" t="s">
        <v>20</v>
      </c>
    </row>
    <row r="228" spans="1:6" x14ac:dyDescent="0.2">
      <c r="A228" s="325" t="s">
        <v>765</v>
      </c>
      <c r="B228" s="325" t="s">
        <v>903</v>
      </c>
      <c r="C228" s="325" t="s">
        <v>249</v>
      </c>
      <c r="D228" s="325" t="s">
        <v>447</v>
      </c>
      <c r="E228" s="325" t="s">
        <v>456</v>
      </c>
      <c r="F228" s="325" t="s">
        <v>741</v>
      </c>
    </row>
    <row r="229" spans="1:6" x14ac:dyDescent="0.2">
      <c r="A229" s="325" t="s">
        <v>765</v>
      </c>
      <c r="B229" s="325" t="s">
        <v>904</v>
      </c>
      <c r="C229" s="325" t="s">
        <v>249</v>
      </c>
      <c r="D229" s="325" t="s">
        <v>742</v>
      </c>
      <c r="E229" s="325" t="s">
        <v>456</v>
      </c>
      <c r="F229" s="325" t="s">
        <v>743</v>
      </c>
    </row>
    <row r="230" spans="1:6" x14ac:dyDescent="0.2">
      <c r="A230" s="325" t="s">
        <v>765</v>
      </c>
      <c r="B230" s="325" t="s">
        <v>905</v>
      </c>
      <c r="C230" s="325" t="s">
        <v>249</v>
      </c>
      <c r="D230" s="325" t="s">
        <v>678</v>
      </c>
      <c r="E230" s="325" t="s">
        <v>456</v>
      </c>
      <c r="F230" s="325" t="s">
        <v>995</v>
      </c>
    </row>
    <row r="231" spans="1:6" x14ac:dyDescent="0.2">
      <c r="A231" s="325" t="s">
        <v>765</v>
      </c>
      <c r="B231" s="325" t="s">
        <v>906</v>
      </c>
      <c r="C231" s="325" t="s">
        <v>249</v>
      </c>
      <c r="D231" s="325" t="s">
        <v>679</v>
      </c>
      <c r="E231" s="325" t="s">
        <v>456</v>
      </c>
      <c r="F231" s="325" t="s">
        <v>682</v>
      </c>
    </row>
    <row r="232" spans="1:6" x14ac:dyDescent="0.2">
      <c r="A232" s="325" t="s">
        <v>765</v>
      </c>
      <c r="B232" s="325" t="s">
        <v>907</v>
      </c>
      <c r="C232" s="325" t="s">
        <v>249</v>
      </c>
      <c r="D232" s="325" t="s">
        <v>262</v>
      </c>
      <c r="E232" s="325" t="s">
        <v>456</v>
      </c>
      <c r="F232" s="325" t="s">
        <v>165</v>
      </c>
    </row>
    <row r="233" spans="1:6" x14ac:dyDescent="0.2">
      <c r="A233" s="325" t="s">
        <v>765</v>
      </c>
      <c r="B233" s="325" t="s">
        <v>908</v>
      </c>
      <c r="C233" s="325" t="s">
        <v>249</v>
      </c>
      <c r="D233" s="325" t="s">
        <v>255</v>
      </c>
      <c r="E233" s="325" t="s">
        <v>456</v>
      </c>
      <c r="F233" s="325" t="s">
        <v>535</v>
      </c>
    </row>
    <row r="234" spans="1:6" x14ac:dyDescent="0.2">
      <c r="A234" s="325" t="s">
        <v>765</v>
      </c>
      <c r="B234" s="325" t="s">
        <v>909</v>
      </c>
      <c r="C234" s="325" t="s">
        <v>249</v>
      </c>
      <c r="D234" s="325" t="s">
        <v>541</v>
      </c>
      <c r="E234" s="325" t="s">
        <v>456</v>
      </c>
      <c r="F234" s="325" t="s">
        <v>311</v>
      </c>
    </row>
    <row r="235" spans="1:6" x14ac:dyDescent="0.2">
      <c r="A235" s="325" t="s">
        <v>765</v>
      </c>
      <c r="B235" s="325" t="s">
        <v>910</v>
      </c>
      <c r="C235" s="325" t="s">
        <v>249</v>
      </c>
      <c r="D235" s="325" t="s">
        <v>395</v>
      </c>
      <c r="E235" s="325" t="s">
        <v>456</v>
      </c>
      <c r="F235" s="325" t="s">
        <v>588</v>
      </c>
    </row>
    <row r="236" spans="1:6" x14ac:dyDescent="0.2">
      <c r="A236" s="325" t="s">
        <v>765</v>
      </c>
      <c r="B236" s="325" t="s">
        <v>911</v>
      </c>
      <c r="C236" s="325" t="s">
        <v>249</v>
      </c>
      <c r="D236" s="325" t="s">
        <v>499</v>
      </c>
      <c r="E236" s="325" t="s">
        <v>456</v>
      </c>
      <c r="F236" s="325" t="s">
        <v>314</v>
      </c>
    </row>
    <row r="237" spans="1:6" x14ac:dyDescent="0.2">
      <c r="A237" s="325" t="s">
        <v>765</v>
      </c>
      <c r="B237" s="325" t="s">
        <v>912</v>
      </c>
      <c r="C237" s="325" t="s">
        <v>249</v>
      </c>
      <c r="D237" s="325" t="s">
        <v>65</v>
      </c>
      <c r="E237" s="325" t="s">
        <v>569</v>
      </c>
      <c r="F237" s="325" t="s">
        <v>33</v>
      </c>
    </row>
    <row r="238" spans="1:6" x14ac:dyDescent="0.2">
      <c r="A238" s="325" t="s">
        <v>765</v>
      </c>
      <c r="B238" s="325" t="s">
        <v>913</v>
      </c>
      <c r="C238" s="325" t="s">
        <v>249</v>
      </c>
      <c r="D238" s="325" t="s">
        <v>267</v>
      </c>
      <c r="E238" s="325" t="s">
        <v>569</v>
      </c>
      <c r="F238" s="325" t="s">
        <v>22</v>
      </c>
    </row>
    <row r="239" spans="1:6" x14ac:dyDescent="0.2">
      <c r="A239" s="325" t="s">
        <v>765</v>
      </c>
      <c r="B239" s="325" t="s">
        <v>914</v>
      </c>
      <c r="C239" s="325" t="s">
        <v>249</v>
      </c>
      <c r="D239" s="325" t="s">
        <v>13</v>
      </c>
      <c r="E239" s="325" t="s">
        <v>569</v>
      </c>
      <c r="F239" s="325" t="s">
        <v>222</v>
      </c>
    </row>
    <row r="240" spans="1:6" x14ac:dyDescent="0.2">
      <c r="A240" s="325" t="s">
        <v>765</v>
      </c>
      <c r="B240" s="325" t="s">
        <v>915</v>
      </c>
      <c r="C240" s="325" t="s">
        <v>249</v>
      </c>
      <c r="D240" s="325" t="s">
        <v>463</v>
      </c>
      <c r="E240" s="325" t="s">
        <v>569</v>
      </c>
      <c r="F240" s="325" t="s">
        <v>536</v>
      </c>
    </row>
    <row r="241" spans="1:6" x14ac:dyDescent="0.2">
      <c r="A241" s="325" t="s">
        <v>765</v>
      </c>
      <c r="B241" s="325" t="s">
        <v>916</v>
      </c>
      <c r="C241" s="325" t="s">
        <v>249</v>
      </c>
      <c r="D241" s="325" t="s">
        <v>11</v>
      </c>
      <c r="E241" s="325" t="s">
        <v>569</v>
      </c>
      <c r="F241" s="325" t="s">
        <v>573</v>
      </c>
    </row>
    <row r="242" spans="1:6" x14ac:dyDescent="0.2">
      <c r="A242" s="325" t="s">
        <v>765</v>
      </c>
      <c r="B242" s="325" t="s">
        <v>917</v>
      </c>
      <c r="C242" s="325" t="s">
        <v>249</v>
      </c>
      <c r="D242" s="325" t="s">
        <v>577</v>
      </c>
      <c r="E242" s="325" t="s">
        <v>569</v>
      </c>
      <c r="F242" s="325" t="s">
        <v>343</v>
      </c>
    </row>
    <row r="243" spans="1:6" x14ac:dyDescent="0.2">
      <c r="A243" s="325" t="s">
        <v>765</v>
      </c>
      <c r="B243" s="325" t="s">
        <v>918</v>
      </c>
      <c r="C243" s="325" t="s">
        <v>249</v>
      </c>
      <c r="D243" s="325" t="s">
        <v>113</v>
      </c>
      <c r="E243" s="325" t="s">
        <v>456</v>
      </c>
      <c r="F243" s="325" t="s">
        <v>219</v>
      </c>
    </row>
    <row r="244" spans="1:6" x14ac:dyDescent="0.2">
      <c r="A244" s="325" t="s">
        <v>765</v>
      </c>
      <c r="B244" s="325" t="s">
        <v>919</v>
      </c>
      <c r="C244" s="325" t="s">
        <v>249</v>
      </c>
      <c r="D244" s="325" t="s">
        <v>294</v>
      </c>
      <c r="E244" s="325" t="s">
        <v>456</v>
      </c>
      <c r="F244" s="325" t="s">
        <v>498</v>
      </c>
    </row>
    <row r="245" spans="1:6" x14ac:dyDescent="0.2">
      <c r="A245" s="325" t="s">
        <v>765</v>
      </c>
      <c r="B245" s="325" t="s">
        <v>920</v>
      </c>
      <c r="C245" s="325" t="s">
        <v>249</v>
      </c>
      <c r="D245" s="325" t="s">
        <v>131</v>
      </c>
      <c r="E245" s="325" t="s">
        <v>456</v>
      </c>
      <c r="F245" s="325" t="s">
        <v>407</v>
      </c>
    </row>
    <row r="246" spans="1:6" x14ac:dyDescent="0.2">
      <c r="A246" s="325" t="s">
        <v>765</v>
      </c>
      <c r="B246" s="325" t="s">
        <v>921</v>
      </c>
      <c r="C246" s="325" t="s">
        <v>249</v>
      </c>
      <c r="D246" s="325" t="s">
        <v>450</v>
      </c>
      <c r="E246" s="325" t="s">
        <v>456</v>
      </c>
      <c r="F246" s="325" t="s">
        <v>416</v>
      </c>
    </row>
    <row r="247" spans="1:6" x14ac:dyDescent="0.2">
      <c r="A247" s="325" t="s">
        <v>765</v>
      </c>
      <c r="B247" s="325" t="s">
        <v>922</v>
      </c>
      <c r="C247" s="325" t="s">
        <v>249</v>
      </c>
      <c r="D247" s="325" t="s">
        <v>437</v>
      </c>
      <c r="E247" s="325" t="s">
        <v>456</v>
      </c>
      <c r="F247" s="325" t="s">
        <v>455</v>
      </c>
    </row>
    <row r="248" spans="1:6" x14ac:dyDescent="0.2">
      <c r="A248" s="325" t="s">
        <v>765</v>
      </c>
      <c r="B248" s="325" t="s">
        <v>923</v>
      </c>
      <c r="C248" s="325" t="s">
        <v>249</v>
      </c>
      <c r="D248" s="325" t="s">
        <v>14</v>
      </c>
      <c r="E248" s="325" t="s">
        <v>456</v>
      </c>
      <c r="F248" s="325" t="s">
        <v>430</v>
      </c>
    </row>
    <row r="249" spans="1:6" x14ac:dyDescent="0.2">
      <c r="A249" s="325" t="s">
        <v>765</v>
      </c>
      <c r="B249" s="325" t="s">
        <v>924</v>
      </c>
      <c r="C249" s="325" t="s">
        <v>249</v>
      </c>
      <c r="D249" s="325" t="s">
        <v>172</v>
      </c>
      <c r="E249" s="325" t="s">
        <v>456</v>
      </c>
      <c r="F249" s="325" t="s">
        <v>89</v>
      </c>
    </row>
    <row r="250" spans="1:6" x14ac:dyDescent="0.2">
      <c r="A250" s="325" t="s">
        <v>765</v>
      </c>
      <c r="B250" s="325" t="s">
        <v>925</v>
      </c>
      <c r="C250" s="325" t="s">
        <v>249</v>
      </c>
      <c r="D250" s="325" t="s">
        <v>670</v>
      </c>
      <c r="E250" s="325" t="s">
        <v>265</v>
      </c>
      <c r="F250" s="325" t="s">
        <v>689</v>
      </c>
    </row>
    <row r="251" spans="1:6" x14ac:dyDescent="0.2">
      <c r="A251" s="325" t="s">
        <v>765</v>
      </c>
      <c r="B251" s="325" t="s">
        <v>926</v>
      </c>
      <c r="C251" s="325" t="s">
        <v>249</v>
      </c>
      <c r="D251" s="325" t="s">
        <v>250</v>
      </c>
      <c r="E251" s="325" t="s">
        <v>265</v>
      </c>
      <c r="F251" s="325" t="s">
        <v>589</v>
      </c>
    </row>
    <row r="252" spans="1:6" x14ac:dyDescent="0.2">
      <c r="A252" s="325" t="s">
        <v>765</v>
      </c>
      <c r="B252" s="325" t="s">
        <v>927</v>
      </c>
      <c r="C252" s="325" t="s">
        <v>249</v>
      </c>
      <c r="D252" s="325" t="s">
        <v>663</v>
      </c>
      <c r="E252" s="325" t="s">
        <v>442</v>
      </c>
      <c r="F252" s="325" t="s">
        <v>468</v>
      </c>
    </row>
    <row r="253" spans="1:6" x14ac:dyDescent="0.2">
      <c r="A253" s="325" t="s">
        <v>765</v>
      </c>
      <c r="B253" s="325" t="s">
        <v>928</v>
      </c>
      <c r="C253" s="325" t="s">
        <v>249</v>
      </c>
      <c r="D253" s="325" t="s">
        <v>711</v>
      </c>
      <c r="E253" s="325" t="s">
        <v>456</v>
      </c>
      <c r="F253" s="325" t="s">
        <v>1013</v>
      </c>
    </row>
    <row r="254" spans="1:6" x14ac:dyDescent="0.2">
      <c r="A254" s="325" t="s">
        <v>765</v>
      </c>
      <c r="B254" s="325" t="s">
        <v>929</v>
      </c>
      <c r="C254" s="325" t="s">
        <v>249</v>
      </c>
      <c r="D254" s="325" t="s">
        <v>704</v>
      </c>
      <c r="E254" s="325" t="s">
        <v>442</v>
      </c>
      <c r="F254" s="325" t="s">
        <v>715</v>
      </c>
    </row>
    <row r="255" spans="1:6" x14ac:dyDescent="0.2">
      <c r="A255" s="325" t="s">
        <v>765</v>
      </c>
      <c r="B255" s="325" t="s">
        <v>930</v>
      </c>
      <c r="C255" s="325" t="s">
        <v>249</v>
      </c>
      <c r="D255" s="325" t="s">
        <v>0</v>
      </c>
      <c r="E255" s="325" t="s">
        <v>442</v>
      </c>
      <c r="F255" s="325" t="s">
        <v>584</v>
      </c>
    </row>
    <row r="256" spans="1:6" x14ac:dyDescent="0.2">
      <c r="A256" s="325" t="s">
        <v>765</v>
      </c>
      <c r="B256" s="325" t="s">
        <v>931</v>
      </c>
      <c r="C256" s="325" t="s">
        <v>249</v>
      </c>
      <c r="D256" s="325" t="s">
        <v>344</v>
      </c>
      <c r="E256" s="325" t="s">
        <v>442</v>
      </c>
      <c r="F256" s="325" t="s">
        <v>114</v>
      </c>
    </row>
    <row r="257" spans="1:6" x14ac:dyDescent="0.2">
      <c r="A257" s="325" t="s">
        <v>765</v>
      </c>
      <c r="B257" s="325" t="s">
        <v>932</v>
      </c>
      <c r="C257" s="325" t="s">
        <v>249</v>
      </c>
      <c r="D257" s="325" t="s">
        <v>173</v>
      </c>
      <c r="E257" s="325" t="s">
        <v>456</v>
      </c>
      <c r="F257" s="325" t="s">
        <v>193</v>
      </c>
    </row>
    <row r="258" spans="1:6" x14ac:dyDescent="0.2">
      <c r="A258" s="325" t="s">
        <v>765</v>
      </c>
      <c r="B258" s="325" t="s">
        <v>933</v>
      </c>
      <c r="C258" s="325" t="s">
        <v>249</v>
      </c>
      <c r="D258" s="325" t="s">
        <v>680</v>
      </c>
      <c r="E258" s="325" t="s">
        <v>456</v>
      </c>
      <c r="F258" s="325" t="s">
        <v>683</v>
      </c>
    </row>
    <row r="259" spans="1:6" x14ac:dyDescent="0.2">
      <c r="A259" s="325" t="s">
        <v>765</v>
      </c>
      <c r="B259" s="325" t="s">
        <v>934</v>
      </c>
      <c r="C259" s="325" t="s">
        <v>249</v>
      </c>
      <c r="D259" s="325" t="s">
        <v>681</v>
      </c>
      <c r="E259" s="325" t="s">
        <v>456</v>
      </c>
      <c r="F259" s="325" t="s">
        <v>684</v>
      </c>
    </row>
    <row r="260" spans="1:6" x14ac:dyDescent="0.2">
      <c r="A260" s="325" t="s">
        <v>765</v>
      </c>
      <c r="B260" s="325" t="s">
        <v>935</v>
      </c>
      <c r="C260" s="325" t="s">
        <v>249</v>
      </c>
      <c r="D260" s="325" t="s">
        <v>479</v>
      </c>
      <c r="E260" s="325" t="s">
        <v>456</v>
      </c>
      <c r="F260" s="325" t="s">
        <v>312</v>
      </c>
    </row>
    <row r="261" spans="1:6" x14ac:dyDescent="0.2">
      <c r="A261" s="325" t="s">
        <v>765</v>
      </c>
      <c r="B261" s="325" t="s">
        <v>936</v>
      </c>
      <c r="C261" s="325" t="s">
        <v>249</v>
      </c>
      <c r="D261" s="325" t="s">
        <v>286</v>
      </c>
      <c r="E261" s="325" t="s">
        <v>456</v>
      </c>
      <c r="F261" s="325" t="s">
        <v>441</v>
      </c>
    </row>
    <row r="262" spans="1:6" x14ac:dyDescent="0.2">
      <c r="A262" s="325" t="s">
        <v>765</v>
      </c>
      <c r="B262" s="325" t="s">
        <v>937</v>
      </c>
      <c r="C262" s="325" t="s">
        <v>249</v>
      </c>
      <c r="D262" s="325" t="s">
        <v>127</v>
      </c>
      <c r="E262" s="325" t="s">
        <v>456</v>
      </c>
      <c r="F262" s="325" t="s">
        <v>5</v>
      </c>
    </row>
    <row r="263" spans="1:6" x14ac:dyDescent="0.2">
      <c r="A263" s="325" t="s">
        <v>765</v>
      </c>
      <c r="B263" s="325" t="s">
        <v>938</v>
      </c>
      <c r="C263" s="325" t="s">
        <v>249</v>
      </c>
      <c r="D263" s="325" t="s">
        <v>552</v>
      </c>
      <c r="E263" s="325" t="s">
        <v>456</v>
      </c>
      <c r="F263" s="325" t="s">
        <v>290</v>
      </c>
    </row>
    <row r="264" spans="1:6" x14ac:dyDescent="0.2">
      <c r="A264" s="325" t="s">
        <v>765</v>
      </c>
      <c r="B264" s="325" t="s">
        <v>939</v>
      </c>
      <c r="C264" s="325" t="s">
        <v>249</v>
      </c>
      <c r="D264" s="325" t="s">
        <v>194</v>
      </c>
      <c r="E264" s="325" t="s">
        <v>456</v>
      </c>
      <c r="F264" s="325" t="s">
        <v>586</v>
      </c>
    </row>
    <row r="265" spans="1:6" x14ac:dyDescent="0.2">
      <c r="A265" s="325" t="s">
        <v>765</v>
      </c>
      <c r="B265" s="325" t="s">
        <v>940</v>
      </c>
      <c r="C265" s="325" t="s">
        <v>249</v>
      </c>
      <c r="D265" s="325" t="s">
        <v>19</v>
      </c>
      <c r="E265" s="325" t="s">
        <v>456</v>
      </c>
      <c r="F265" s="325" t="s">
        <v>525</v>
      </c>
    </row>
    <row r="266" spans="1:6" x14ac:dyDescent="0.2">
      <c r="A266" s="325" t="s">
        <v>765</v>
      </c>
      <c r="B266" s="325" t="s">
        <v>941</v>
      </c>
      <c r="C266" s="325" t="s">
        <v>249</v>
      </c>
      <c r="D266" s="325" t="s">
        <v>408</v>
      </c>
      <c r="E266" s="325" t="s">
        <v>456</v>
      </c>
      <c r="F266" s="325" t="s">
        <v>1014</v>
      </c>
    </row>
    <row r="267" spans="1:6" x14ac:dyDescent="0.2">
      <c r="A267" s="325" t="s">
        <v>765</v>
      </c>
      <c r="B267" s="325" t="s">
        <v>942</v>
      </c>
      <c r="C267" s="325" t="s">
        <v>249</v>
      </c>
      <c r="D267" s="325" t="s">
        <v>563</v>
      </c>
      <c r="E267" s="325" t="s">
        <v>456</v>
      </c>
      <c r="F267" s="325" t="s">
        <v>492</v>
      </c>
    </row>
    <row r="268" spans="1:6" x14ac:dyDescent="0.2">
      <c r="A268" s="325" t="s">
        <v>765</v>
      </c>
      <c r="B268" s="325" t="s">
        <v>943</v>
      </c>
      <c r="C268" s="325" t="s">
        <v>249</v>
      </c>
      <c r="D268" s="325" t="s">
        <v>358</v>
      </c>
      <c r="E268" s="325" t="s">
        <v>456</v>
      </c>
      <c r="F268" s="325" t="s">
        <v>462</v>
      </c>
    </row>
    <row r="269" spans="1:6" x14ac:dyDescent="0.2">
      <c r="A269" s="325" t="s">
        <v>765</v>
      </c>
      <c r="B269" s="325" t="s">
        <v>944</v>
      </c>
      <c r="C269" s="325" t="s">
        <v>249</v>
      </c>
      <c r="D269" s="325" t="s">
        <v>319</v>
      </c>
      <c r="E269" s="325" t="s">
        <v>456</v>
      </c>
      <c r="F269" s="325" t="s">
        <v>377</v>
      </c>
    </row>
    <row r="270" spans="1:6" x14ac:dyDescent="0.2">
      <c r="A270" s="325" t="s">
        <v>765</v>
      </c>
      <c r="B270" s="325" t="s">
        <v>945</v>
      </c>
      <c r="C270" s="325" t="s">
        <v>249</v>
      </c>
      <c r="D270" s="325" t="s">
        <v>207</v>
      </c>
      <c r="E270" s="325" t="s">
        <v>456</v>
      </c>
      <c r="F270" s="325" t="s">
        <v>307</v>
      </c>
    </row>
    <row r="271" spans="1:6" x14ac:dyDescent="0.2">
      <c r="A271" s="325" t="s">
        <v>765</v>
      </c>
      <c r="B271" s="325" t="s">
        <v>946</v>
      </c>
      <c r="C271" s="325" t="s">
        <v>249</v>
      </c>
      <c r="D271" s="325" t="s">
        <v>558</v>
      </c>
      <c r="E271" s="325" t="s">
        <v>456</v>
      </c>
      <c r="F271" s="325" t="s">
        <v>260</v>
      </c>
    </row>
    <row r="272" spans="1:6" x14ac:dyDescent="0.2">
      <c r="A272" s="325" t="s">
        <v>765</v>
      </c>
      <c r="B272" s="325" t="s">
        <v>947</v>
      </c>
      <c r="C272" s="325" t="s">
        <v>249</v>
      </c>
      <c r="D272" s="325" t="s">
        <v>150</v>
      </c>
      <c r="E272" s="325" t="s">
        <v>456</v>
      </c>
      <c r="F272" s="325" t="s">
        <v>218</v>
      </c>
    </row>
    <row r="273" spans="1:6" x14ac:dyDescent="0.2">
      <c r="A273" s="325" t="s">
        <v>765</v>
      </c>
      <c r="B273" s="325" t="s">
        <v>948</v>
      </c>
      <c r="C273" s="325" t="s">
        <v>249</v>
      </c>
      <c r="D273" s="325" t="s">
        <v>242</v>
      </c>
      <c r="E273" s="325" t="s">
        <v>456</v>
      </c>
      <c r="F273" s="325" t="s">
        <v>321</v>
      </c>
    </row>
    <row r="274" spans="1:6" x14ac:dyDescent="0.2">
      <c r="A274" s="325" t="s">
        <v>765</v>
      </c>
      <c r="B274" s="325" t="s">
        <v>949</v>
      </c>
      <c r="C274" s="325" t="s">
        <v>249</v>
      </c>
      <c r="D274" s="325" t="s">
        <v>504</v>
      </c>
      <c r="E274" s="325" t="s">
        <v>456</v>
      </c>
      <c r="F274" s="325" t="s">
        <v>745</v>
      </c>
    </row>
    <row r="275" spans="1:6" x14ac:dyDescent="0.2">
      <c r="A275" s="325" t="s">
        <v>765</v>
      </c>
      <c r="B275" s="325" t="s">
        <v>950</v>
      </c>
      <c r="C275" s="325" t="s">
        <v>249</v>
      </c>
      <c r="D275" s="325" t="s">
        <v>341</v>
      </c>
      <c r="E275" s="325" t="s">
        <v>456</v>
      </c>
      <c r="F275" s="325" t="s">
        <v>444</v>
      </c>
    </row>
    <row r="276" spans="1:6" x14ac:dyDescent="0.2">
      <c r="A276" s="325" t="s">
        <v>765</v>
      </c>
      <c r="B276" s="325" t="s">
        <v>951</v>
      </c>
      <c r="C276" s="325" t="s">
        <v>249</v>
      </c>
      <c r="D276" s="325" t="s">
        <v>24</v>
      </c>
      <c r="E276" s="325" t="s">
        <v>456</v>
      </c>
      <c r="F276" s="325" t="s">
        <v>472</v>
      </c>
    </row>
    <row r="277" spans="1:6" x14ac:dyDescent="0.2">
      <c r="A277" s="325" t="s">
        <v>765</v>
      </c>
      <c r="B277" s="325" t="s">
        <v>952</v>
      </c>
      <c r="C277" s="325" t="s">
        <v>249</v>
      </c>
      <c r="D277" s="325" t="s">
        <v>191</v>
      </c>
      <c r="E277" s="325" t="s">
        <v>456</v>
      </c>
      <c r="F277" s="325" t="s">
        <v>512</v>
      </c>
    </row>
    <row r="278" spans="1:6" x14ac:dyDescent="0.2">
      <c r="A278" s="325" t="s">
        <v>765</v>
      </c>
      <c r="B278" s="325" t="s">
        <v>953</v>
      </c>
      <c r="C278" s="325" t="s">
        <v>249</v>
      </c>
      <c r="D278" s="325" t="s">
        <v>121</v>
      </c>
      <c r="E278" s="325" t="s">
        <v>456</v>
      </c>
      <c r="F278" s="325" t="s">
        <v>339</v>
      </c>
    </row>
    <row r="279" spans="1:6" x14ac:dyDescent="0.2">
      <c r="A279" s="325" t="s">
        <v>765</v>
      </c>
      <c r="B279" s="325" t="s">
        <v>954</v>
      </c>
      <c r="C279" s="325" t="s">
        <v>249</v>
      </c>
      <c r="D279" s="325" t="s">
        <v>405</v>
      </c>
      <c r="E279" s="325" t="s">
        <v>456</v>
      </c>
      <c r="F279" s="325" t="s">
        <v>476</v>
      </c>
    </row>
    <row r="280" spans="1:6" x14ac:dyDescent="0.2">
      <c r="A280" s="325" t="s">
        <v>765</v>
      </c>
      <c r="B280" s="325" t="s">
        <v>955</v>
      </c>
      <c r="C280" s="325" t="s">
        <v>249</v>
      </c>
      <c r="D280" s="325" t="s">
        <v>300</v>
      </c>
      <c r="E280" s="325" t="s">
        <v>456</v>
      </c>
      <c r="F280" s="325" t="s">
        <v>746</v>
      </c>
    </row>
    <row r="281" spans="1:6" x14ac:dyDescent="0.2">
      <c r="A281" s="325" t="s">
        <v>765</v>
      </c>
      <c r="B281" s="325" t="s">
        <v>956</v>
      </c>
      <c r="C281" s="325" t="s">
        <v>249</v>
      </c>
      <c r="D281" s="325" t="s">
        <v>48</v>
      </c>
      <c r="E281" s="325" t="s">
        <v>456</v>
      </c>
      <c r="F281" s="325" t="s">
        <v>550</v>
      </c>
    </row>
    <row r="282" spans="1:6" x14ac:dyDescent="0.2">
      <c r="A282" s="325" t="s">
        <v>765</v>
      </c>
      <c r="B282" s="325" t="s">
        <v>957</v>
      </c>
      <c r="C282" s="325" t="s">
        <v>249</v>
      </c>
      <c r="D282" s="325" t="s">
        <v>500</v>
      </c>
      <c r="E282" s="325" t="s">
        <v>456</v>
      </c>
      <c r="F282" s="325" t="s">
        <v>82</v>
      </c>
    </row>
    <row r="283" spans="1:6" x14ac:dyDescent="0.2">
      <c r="A283" s="325" t="s">
        <v>765</v>
      </c>
      <c r="B283" s="325" t="s">
        <v>958</v>
      </c>
      <c r="C283" s="325" t="s">
        <v>249</v>
      </c>
      <c r="D283" s="325" t="s">
        <v>388</v>
      </c>
      <c r="E283" s="325" t="s">
        <v>456</v>
      </c>
      <c r="F283" s="325" t="s">
        <v>435</v>
      </c>
    </row>
    <row r="284" spans="1:6" x14ac:dyDescent="0.2">
      <c r="A284" s="325" t="s">
        <v>765</v>
      </c>
      <c r="B284" s="325" t="s">
        <v>959</v>
      </c>
      <c r="C284" s="325" t="s">
        <v>249</v>
      </c>
      <c r="D284" s="325" t="s">
        <v>491</v>
      </c>
      <c r="E284" s="325" t="s">
        <v>456</v>
      </c>
      <c r="F284" s="325" t="s">
        <v>373</v>
      </c>
    </row>
    <row r="285" spans="1:6" x14ac:dyDescent="0.2">
      <c r="A285" s="325" t="s">
        <v>765</v>
      </c>
      <c r="B285" s="325" t="s">
        <v>960</v>
      </c>
      <c r="C285" s="325" t="s">
        <v>249</v>
      </c>
      <c r="D285" s="325" t="s">
        <v>567</v>
      </c>
      <c r="E285" s="325" t="s">
        <v>456</v>
      </c>
      <c r="F285" s="325" t="s">
        <v>473</v>
      </c>
    </row>
    <row r="286" spans="1:6" x14ac:dyDescent="0.2">
      <c r="A286" s="325" t="s">
        <v>765</v>
      </c>
      <c r="B286" s="325" t="s">
        <v>961</v>
      </c>
      <c r="C286" s="325" t="s">
        <v>249</v>
      </c>
      <c r="D286" s="325" t="s">
        <v>126</v>
      </c>
      <c r="E286" s="325" t="s">
        <v>456</v>
      </c>
      <c r="F286" s="325" t="s">
        <v>81</v>
      </c>
    </row>
    <row r="287" spans="1:6" x14ac:dyDescent="0.2">
      <c r="A287" s="325" t="s">
        <v>765</v>
      </c>
      <c r="B287" s="325" t="s">
        <v>962</v>
      </c>
      <c r="C287" s="325" t="s">
        <v>249</v>
      </c>
      <c r="D287" s="325" t="s">
        <v>528</v>
      </c>
      <c r="E287" s="325" t="s">
        <v>456</v>
      </c>
      <c r="F287" s="325" t="s">
        <v>281</v>
      </c>
    </row>
    <row r="288" spans="1:6" x14ac:dyDescent="0.2">
      <c r="A288" s="325" t="s">
        <v>765</v>
      </c>
      <c r="B288" s="325" t="s">
        <v>963</v>
      </c>
      <c r="C288" s="325" t="s">
        <v>249</v>
      </c>
      <c r="D288" s="325" t="s">
        <v>483</v>
      </c>
      <c r="E288" s="325" t="s">
        <v>456</v>
      </c>
      <c r="F288" s="325" t="s">
        <v>587</v>
      </c>
    </row>
    <row r="289" spans="1:6" x14ac:dyDescent="0.2">
      <c r="A289" s="325" t="s">
        <v>765</v>
      </c>
      <c r="B289" s="325" t="s">
        <v>964</v>
      </c>
      <c r="C289" s="325" t="s">
        <v>249</v>
      </c>
      <c r="D289" s="325" t="s">
        <v>531</v>
      </c>
      <c r="E289" s="325" t="s">
        <v>556</v>
      </c>
      <c r="F289" s="325" t="s">
        <v>247</v>
      </c>
    </row>
    <row r="290" spans="1:6" x14ac:dyDescent="0.2">
      <c r="A290" s="325" t="s">
        <v>765</v>
      </c>
      <c r="B290" s="325" t="s">
        <v>965</v>
      </c>
      <c r="C290" s="325" t="s">
        <v>249</v>
      </c>
      <c r="D290" s="325" t="s">
        <v>201</v>
      </c>
      <c r="E290" s="325" t="s">
        <v>265</v>
      </c>
      <c r="F290" s="325" t="s">
        <v>141</v>
      </c>
    </row>
    <row r="291" spans="1:6" x14ac:dyDescent="0.2">
      <c r="A291" s="325" t="s">
        <v>765</v>
      </c>
      <c r="B291" s="325" t="s">
        <v>966</v>
      </c>
      <c r="C291" s="325" t="s">
        <v>249</v>
      </c>
      <c r="D291" s="325" t="s">
        <v>325</v>
      </c>
      <c r="E291" s="325" t="s">
        <v>265</v>
      </c>
      <c r="F291" s="325" t="s">
        <v>457</v>
      </c>
    </row>
    <row r="292" spans="1:6" x14ac:dyDescent="0.2">
      <c r="A292" s="325" t="s">
        <v>765</v>
      </c>
      <c r="B292" s="325" t="s">
        <v>967</v>
      </c>
      <c r="C292" s="325" t="s">
        <v>249</v>
      </c>
      <c r="D292" s="325" t="s">
        <v>707</v>
      </c>
      <c r="E292" s="325" t="s">
        <v>265</v>
      </c>
      <c r="F292" s="325" t="s">
        <v>705</v>
      </c>
    </row>
    <row r="293" spans="1:6" x14ac:dyDescent="0.2">
      <c r="A293" s="325" t="s">
        <v>765</v>
      </c>
      <c r="B293" s="325" t="s">
        <v>968</v>
      </c>
      <c r="C293" s="325" t="s">
        <v>249</v>
      </c>
      <c r="D293" s="325" t="s">
        <v>708</v>
      </c>
      <c r="E293" s="325" t="s">
        <v>265</v>
      </c>
      <c r="F293" s="325" t="s">
        <v>706</v>
      </c>
    </row>
    <row r="294" spans="1:6" x14ac:dyDescent="0.2">
      <c r="A294" s="325" t="s">
        <v>765</v>
      </c>
      <c r="B294" s="325" t="s">
        <v>969</v>
      </c>
      <c r="C294" s="325" t="s">
        <v>249</v>
      </c>
      <c r="D294" s="325" t="s">
        <v>710</v>
      </c>
      <c r="E294" s="325" t="s">
        <v>456</v>
      </c>
      <c r="F294" s="325" t="s">
        <v>747</v>
      </c>
    </row>
    <row r="295" spans="1:6" x14ac:dyDescent="0.2">
      <c r="A295" s="325" t="s">
        <v>765</v>
      </c>
      <c r="B295" s="325" t="s">
        <v>970</v>
      </c>
      <c r="C295" s="325" t="s">
        <v>249</v>
      </c>
      <c r="D295" s="325" t="s">
        <v>269</v>
      </c>
      <c r="E295" s="325" t="s">
        <v>456</v>
      </c>
      <c r="F295" s="325" t="s">
        <v>203</v>
      </c>
    </row>
    <row r="296" spans="1:6" x14ac:dyDescent="0.2">
      <c r="A296" s="325" t="s">
        <v>765</v>
      </c>
      <c r="B296" s="325" t="s">
        <v>971</v>
      </c>
      <c r="C296" s="325" t="s">
        <v>249</v>
      </c>
      <c r="D296" s="325" t="s">
        <v>413</v>
      </c>
      <c r="E296" s="325" t="s">
        <v>456</v>
      </c>
      <c r="F296" s="325" t="s">
        <v>273</v>
      </c>
    </row>
    <row r="297" spans="1:6" x14ac:dyDescent="0.2">
      <c r="A297" s="325" t="s">
        <v>765</v>
      </c>
      <c r="B297" s="325" t="s">
        <v>972</v>
      </c>
      <c r="C297" s="325" t="s">
        <v>249</v>
      </c>
      <c r="D297" s="325" t="s">
        <v>251</v>
      </c>
      <c r="E297" s="325" t="s">
        <v>456</v>
      </c>
      <c r="F297" s="325" t="s">
        <v>4</v>
      </c>
    </row>
    <row r="298" spans="1:6" x14ac:dyDescent="0.2">
      <c r="A298" s="325" t="s">
        <v>765</v>
      </c>
      <c r="B298" s="325" t="s">
        <v>973</v>
      </c>
      <c r="C298" s="325" t="s">
        <v>249</v>
      </c>
      <c r="D298" s="325" t="s">
        <v>465</v>
      </c>
      <c r="E298" s="325" t="s">
        <v>456</v>
      </c>
      <c r="F298" s="325" t="s">
        <v>58</v>
      </c>
    </row>
    <row r="299" spans="1:6" x14ac:dyDescent="0.2">
      <c r="A299" s="325" t="s">
        <v>765</v>
      </c>
      <c r="B299" s="325" t="s">
        <v>974</v>
      </c>
      <c r="C299" s="325" t="s">
        <v>249</v>
      </c>
      <c r="D299" s="325" t="s">
        <v>51</v>
      </c>
      <c r="E299" s="325" t="s">
        <v>456</v>
      </c>
      <c r="F299" s="325" t="s">
        <v>266</v>
      </c>
    </row>
    <row r="300" spans="1:6" x14ac:dyDescent="0.2">
      <c r="A300" s="325" t="s">
        <v>765</v>
      </c>
      <c r="B300" s="325" t="s">
        <v>975</v>
      </c>
      <c r="C300" s="325" t="s">
        <v>249</v>
      </c>
      <c r="D300" s="325" t="s">
        <v>283</v>
      </c>
      <c r="E300" s="325" t="s">
        <v>456</v>
      </c>
      <c r="F300" s="325" t="s">
        <v>53</v>
      </c>
    </row>
    <row r="301" spans="1:6" x14ac:dyDescent="0.2">
      <c r="A301" s="325" t="s">
        <v>765</v>
      </c>
      <c r="B301" s="325" t="s">
        <v>976</v>
      </c>
      <c r="C301" s="325" t="s">
        <v>249</v>
      </c>
      <c r="D301" s="325" t="s">
        <v>542</v>
      </c>
      <c r="E301" s="325" t="s">
        <v>456</v>
      </c>
      <c r="F301" s="325" t="s">
        <v>372</v>
      </c>
    </row>
    <row r="302" spans="1:6" x14ac:dyDescent="0.2">
      <c r="A302" s="325" t="s">
        <v>765</v>
      </c>
      <c r="B302" s="325" t="s">
        <v>977</v>
      </c>
      <c r="C302" s="325" t="s">
        <v>249</v>
      </c>
      <c r="D302" s="325" t="s">
        <v>576</v>
      </c>
      <c r="E302" s="325" t="s">
        <v>456</v>
      </c>
      <c r="F302" s="325" t="s">
        <v>333</v>
      </c>
    </row>
    <row r="303" spans="1:6" x14ac:dyDescent="0.2">
      <c r="A303" s="325" t="s">
        <v>765</v>
      </c>
      <c r="B303" s="325" t="s">
        <v>978</v>
      </c>
      <c r="C303" s="325" t="s">
        <v>249</v>
      </c>
      <c r="D303" s="325" t="s">
        <v>112</v>
      </c>
      <c r="E303" s="325" t="s">
        <v>456</v>
      </c>
      <c r="F303" s="325" t="s">
        <v>259</v>
      </c>
    </row>
    <row r="304" spans="1:6" x14ac:dyDescent="0.2">
      <c r="A304" s="325" t="s">
        <v>765</v>
      </c>
      <c r="B304" s="325" t="s">
        <v>979</v>
      </c>
      <c r="C304" s="325" t="s">
        <v>249</v>
      </c>
      <c r="D304" s="325" t="s">
        <v>363</v>
      </c>
      <c r="E304" s="325" t="s">
        <v>456</v>
      </c>
      <c r="F304" s="325" t="s">
        <v>485</v>
      </c>
    </row>
    <row r="305" spans="1:6" x14ac:dyDescent="0.2">
      <c r="A305" s="325" t="s">
        <v>765</v>
      </c>
      <c r="B305" s="325" t="s">
        <v>980</v>
      </c>
      <c r="C305" s="325" t="s">
        <v>249</v>
      </c>
      <c r="D305" s="325" t="s">
        <v>185</v>
      </c>
      <c r="E305" s="325" t="s">
        <v>456</v>
      </c>
      <c r="F305" s="325" t="s">
        <v>159</v>
      </c>
    </row>
    <row r="306" spans="1:6" x14ac:dyDescent="0.2">
      <c r="A306" s="325" t="s">
        <v>765</v>
      </c>
      <c r="B306" s="325" t="s">
        <v>981</v>
      </c>
      <c r="C306" s="325" t="s">
        <v>249</v>
      </c>
      <c r="D306" s="325" t="s">
        <v>345</v>
      </c>
      <c r="E306" s="325" t="s">
        <v>456</v>
      </c>
      <c r="F306" s="325" t="s">
        <v>404</v>
      </c>
    </row>
    <row r="307" spans="1:6" x14ac:dyDescent="0.2">
      <c r="A307" s="325" t="s">
        <v>765</v>
      </c>
      <c r="B307" s="325" t="s">
        <v>982</v>
      </c>
      <c r="C307" s="325" t="s">
        <v>249</v>
      </c>
      <c r="D307" s="325" t="s">
        <v>180</v>
      </c>
      <c r="E307" s="325" t="s">
        <v>456</v>
      </c>
      <c r="F307" s="325" t="s">
        <v>103</v>
      </c>
    </row>
    <row r="308" spans="1:6" x14ac:dyDescent="0.2">
      <c r="A308" s="325" t="s">
        <v>765</v>
      </c>
      <c r="B308" s="325" t="s">
        <v>983</v>
      </c>
      <c r="C308" s="325" t="s">
        <v>249</v>
      </c>
      <c r="D308" s="325" t="s">
        <v>421</v>
      </c>
      <c r="E308" s="325" t="s">
        <v>456</v>
      </c>
      <c r="F308" s="325" t="s">
        <v>426</v>
      </c>
    </row>
    <row r="309" spans="1:6" x14ac:dyDescent="0.2">
      <c r="A309" s="325" t="s">
        <v>765</v>
      </c>
      <c r="B309" s="325" t="s">
        <v>984</v>
      </c>
      <c r="C309" s="325" t="s">
        <v>249</v>
      </c>
      <c r="D309" s="325" t="s">
        <v>96</v>
      </c>
      <c r="E309" s="325" t="s">
        <v>456</v>
      </c>
      <c r="F309" s="325" t="s">
        <v>376</v>
      </c>
    </row>
    <row r="310" spans="1:6" x14ac:dyDescent="0.2">
      <c r="A310" s="325" t="s">
        <v>765</v>
      </c>
      <c r="B310" s="325" t="s">
        <v>985</v>
      </c>
      <c r="C310" s="325" t="s">
        <v>249</v>
      </c>
      <c r="D310" s="325" t="s">
        <v>590</v>
      </c>
      <c r="E310" s="325" t="s">
        <v>456</v>
      </c>
      <c r="F310" s="325" t="s">
        <v>690</v>
      </c>
    </row>
    <row r="311" spans="1:6" x14ac:dyDescent="0.2">
      <c r="A311" s="325" t="s">
        <v>765</v>
      </c>
      <c r="B311" s="325" t="s">
        <v>986</v>
      </c>
      <c r="C311" s="325" t="s">
        <v>249</v>
      </c>
      <c r="D311" s="325" t="s">
        <v>592</v>
      </c>
      <c r="E311" s="325" t="s">
        <v>456</v>
      </c>
      <c r="F311" s="325" t="s">
        <v>691</v>
      </c>
    </row>
    <row r="312" spans="1:6" x14ac:dyDescent="0.2">
      <c r="A312" s="325" t="s">
        <v>765</v>
      </c>
      <c r="B312" s="325" t="s">
        <v>987</v>
      </c>
      <c r="C312" s="325" t="s">
        <v>249</v>
      </c>
      <c r="D312" s="325" t="s">
        <v>593</v>
      </c>
      <c r="E312" s="325" t="s">
        <v>456</v>
      </c>
      <c r="F312" s="325" t="s">
        <v>692</v>
      </c>
    </row>
    <row r="313" spans="1:6" x14ac:dyDescent="0.2">
      <c r="A313" s="325" t="s">
        <v>765</v>
      </c>
      <c r="B313" s="325" t="s">
        <v>988</v>
      </c>
      <c r="C313" s="325" t="s">
        <v>249</v>
      </c>
      <c r="D313" s="325" t="s">
        <v>594</v>
      </c>
      <c r="E313" s="325" t="s">
        <v>456</v>
      </c>
      <c r="F313" s="325" t="s">
        <v>693</v>
      </c>
    </row>
    <row r="314" spans="1:6" x14ac:dyDescent="0.2">
      <c r="A314" s="325" t="s">
        <v>765</v>
      </c>
      <c r="B314" s="325" t="s">
        <v>989</v>
      </c>
      <c r="C314" s="325" t="s">
        <v>249</v>
      </c>
      <c r="D314" s="325" t="s">
        <v>595</v>
      </c>
      <c r="E314" s="325" t="s">
        <v>456</v>
      </c>
      <c r="F314" s="325" t="s">
        <v>694</v>
      </c>
    </row>
    <row r="315" spans="1:6" x14ac:dyDescent="0.2">
      <c r="A315" s="325" t="s">
        <v>765</v>
      </c>
      <c r="B315" s="325" t="s">
        <v>990</v>
      </c>
      <c r="C315" s="325" t="s">
        <v>249</v>
      </c>
      <c r="D315" s="325" t="s">
        <v>596</v>
      </c>
      <c r="E315" s="325" t="s">
        <v>456</v>
      </c>
      <c r="F315" s="325" t="s">
        <v>695</v>
      </c>
    </row>
    <row r="316" spans="1:6" x14ac:dyDescent="0.2">
      <c r="A316" s="325" t="s">
        <v>765</v>
      </c>
      <c r="B316" s="325" t="s">
        <v>793</v>
      </c>
      <c r="C316" s="325" t="s">
        <v>787</v>
      </c>
      <c r="D316" s="325" t="s">
        <v>654</v>
      </c>
      <c r="E316" s="325" t="s">
        <v>265</v>
      </c>
      <c r="F316" s="325" t="s">
        <v>998</v>
      </c>
    </row>
    <row r="317" spans="1:6" x14ac:dyDescent="0.2">
      <c r="A317" s="325" t="s">
        <v>765</v>
      </c>
      <c r="B317" s="325" t="s">
        <v>794</v>
      </c>
      <c r="C317" s="325" t="s">
        <v>787</v>
      </c>
      <c r="D317" s="325" t="s">
        <v>510</v>
      </c>
      <c r="E317" s="325" t="s">
        <v>265</v>
      </c>
      <c r="F317" s="325" t="s">
        <v>999</v>
      </c>
    </row>
    <row r="318" spans="1:6" x14ac:dyDescent="0.2">
      <c r="A318" s="325" t="s">
        <v>765</v>
      </c>
      <c r="B318" s="325" t="s">
        <v>795</v>
      </c>
      <c r="C318" s="325" t="s">
        <v>787</v>
      </c>
      <c r="D318" s="325" t="s">
        <v>400</v>
      </c>
      <c r="E318" s="325" t="s">
        <v>265</v>
      </c>
      <c r="F318" s="325" t="s">
        <v>1001</v>
      </c>
    </row>
    <row r="319" spans="1:6" x14ac:dyDescent="0.2">
      <c r="A319" s="325" t="s">
        <v>765</v>
      </c>
      <c r="B319" s="325" t="s">
        <v>796</v>
      </c>
      <c r="C319" s="325" t="s">
        <v>787</v>
      </c>
      <c r="D319" s="325" t="s">
        <v>302</v>
      </c>
      <c r="E319" s="325" t="s">
        <v>265</v>
      </c>
      <c r="F319" s="325" t="s">
        <v>1000</v>
      </c>
    </row>
    <row r="320" spans="1:6" x14ac:dyDescent="0.2">
      <c r="A320" s="325" t="s">
        <v>765</v>
      </c>
      <c r="B320" s="325" t="s">
        <v>797</v>
      </c>
      <c r="C320" s="325" t="s">
        <v>787</v>
      </c>
      <c r="D320" s="325" t="s">
        <v>28</v>
      </c>
      <c r="E320" s="325" t="s">
        <v>442</v>
      </c>
      <c r="F320" s="325" t="s">
        <v>1008</v>
      </c>
    </row>
    <row r="321" spans="1:6" x14ac:dyDescent="0.2">
      <c r="A321" s="325" t="s">
        <v>765</v>
      </c>
      <c r="B321" s="325" t="s">
        <v>798</v>
      </c>
      <c r="C321" s="325" t="s">
        <v>787</v>
      </c>
      <c r="D321" s="325" t="s">
        <v>67</v>
      </c>
      <c r="E321" s="325" t="s">
        <v>442</v>
      </c>
      <c r="F321" s="325" t="s">
        <v>1009</v>
      </c>
    </row>
    <row r="322" spans="1:6" x14ac:dyDescent="0.2">
      <c r="A322" s="325" t="s">
        <v>765</v>
      </c>
      <c r="B322" s="325" t="s">
        <v>799</v>
      </c>
      <c r="C322" s="325" t="s">
        <v>787</v>
      </c>
      <c r="D322" s="325" t="s">
        <v>168</v>
      </c>
      <c r="E322" s="325" t="s">
        <v>265</v>
      </c>
      <c r="F322" s="325" t="s">
        <v>145</v>
      </c>
    </row>
    <row r="323" spans="1:6" x14ac:dyDescent="0.2">
      <c r="A323" s="325" t="s">
        <v>765</v>
      </c>
      <c r="B323" s="325" t="s">
        <v>800</v>
      </c>
      <c r="C323" s="325" t="s">
        <v>787</v>
      </c>
      <c r="D323" s="325" t="s">
        <v>310</v>
      </c>
      <c r="E323" s="325" t="s">
        <v>265</v>
      </c>
      <c r="F323" s="325" t="s">
        <v>350</v>
      </c>
    </row>
    <row r="324" spans="1:6" x14ac:dyDescent="0.2">
      <c r="A324" s="325" t="s">
        <v>765</v>
      </c>
      <c r="B324" s="325" t="s">
        <v>801</v>
      </c>
      <c r="C324" s="325" t="s">
        <v>787</v>
      </c>
      <c r="D324" s="325" t="s">
        <v>87</v>
      </c>
      <c r="E324" s="325" t="s">
        <v>265</v>
      </c>
      <c r="F324" s="325" t="s">
        <v>79</v>
      </c>
    </row>
    <row r="325" spans="1:6" x14ac:dyDescent="0.2">
      <c r="A325" s="325" t="s">
        <v>765</v>
      </c>
      <c r="B325" s="325" t="s">
        <v>802</v>
      </c>
      <c r="C325" s="325" t="s">
        <v>787</v>
      </c>
      <c r="D325" s="325" t="s">
        <v>228</v>
      </c>
      <c r="E325" s="325" t="s">
        <v>265</v>
      </c>
      <c r="F325" s="325" t="s">
        <v>331</v>
      </c>
    </row>
    <row r="326" spans="1:6" x14ac:dyDescent="0.2">
      <c r="A326" s="325" t="s">
        <v>765</v>
      </c>
      <c r="B326" s="325" t="s">
        <v>803</v>
      </c>
      <c r="C326" s="325" t="s">
        <v>787</v>
      </c>
      <c r="D326" s="325" t="s">
        <v>144</v>
      </c>
      <c r="E326" s="325" t="s">
        <v>265</v>
      </c>
      <c r="F326" s="325" t="s">
        <v>340</v>
      </c>
    </row>
    <row r="327" spans="1:6" x14ac:dyDescent="0.2">
      <c r="A327" s="325" t="s">
        <v>765</v>
      </c>
      <c r="B327" s="325" t="s">
        <v>804</v>
      </c>
      <c r="C327" s="325" t="s">
        <v>787</v>
      </c>
      <c r="D327" s="325" t="s">
        <v>429</v>
      </c>
      <c r="E327" s="325" t="s">
        <v>265</v>
      </c>
      <c r="F327" s="325" t="s">
        <v>263</v>
      </c>
    </row>
    <row r="328" spans="1:6" x14ac:dyDescent="0.2">
      <c r="A328" s="325" t="s">
        <v>765</v>
      </c>
      <c r="B328" s="325" t="s">
        <v>805</v>
      </c>
      <c r="C328" s="325" t="s">
        <v>787</v>
      </c>
      <c r="D328" s="325" t="s">
        <v>182</v>
      </c>
      <c r="E328" s="325" t="s">
        <v>265</v>
      </c>
      <c r="F328" s="325" t="s">
        <v>223</v>
      </c>
    </row>
    <row r="329" spans="1:6" x14ac:dyDescent="0.2">
      <c r="A329" s="325" t="s">
        <v>765</v>
      </c>
      <c r="B329" s="325" t="s">
        <v>806</v>
      </c>
      <c r="C329" s="325" t="s">
        <v>787</v>
      </c>
      <c r="D329" s="325" t="s">
        <v>298</v>
      </c>
      <c r="E329" s="325" t="s">
        <v>265</v>
      </c>
      <c r="F329" s="325" t="s">
        <v>423</v>
      </c>
    </row>
    <row r="330" spans="1:6" x14ac:dyDescent="0.2">
      <c r="A330" s="325" t="s">
        <v>765</v>
      </c>
      <c r="B330" s="325" t="s">
        <v>807</v>
      </c>
      <c r="C330" s="325" t="s">
        <v>787</v>
      </c>
      <c r="D330" s="325" t="s">
        <v>571</v>
      </c>
      <c r="E330" s="325" t="s">
        <v>265</v>
      </c>
      <c r="F330" s="325" t="s">
        <v>258</v>
      </c>
    </row>
    <row r="331" spans="1:6" x14ac:dyDescent="0.2">
      <c r="A331" s="325" t="s">
        <v>765</v>
      </c>
      <c r="B331" s="325" t="s">
        <v>808</v>
      </c>
      <c r="C331" s="325" t="s">
        <v>787</v>
      </c>
      <c r="D331" s="325" t="s">
        <v>156</v>
      </c>
      <c r="E331" s="325" t="s">
        <v>265</v>
      </c>
      <c r="F331" s="325" t="s">
        <v>226</v>
      </c>
    </row>
    <row r="332" spans="1:6" x14ac:dyDescent="0.2">
      <c r="A332" s="325" t="s">
        <v>765</v>
      </c>
      <c r="B332" s="325" t="s">
        <v>809</v>
      </c>
      <c r="C332" s="325" t="s">
        <v>787</v>
      </c>
      <c r="D332" s="325" t="s">
        <v>299</v>
      </c>
      <c r="E332" s="325" t="s">
        <v>265</v>
      </c>
      <c r="F332" s="325" t="s">
        <v>3</v>
      </c>
    </row>
    <row r="333" spans="1:6" x14ac:dyDescent="0.2">
      <c r="A333" s="325" t="s">
        <v>765</v>
      </c>
      <c r="B333" s="325" t="s">
        <v>810</v>
      </c>
      <c r="C333" s="325" t="s">
        <v>787</v>
      </c>
      <c r="D333" s="325" t="s">
        <v>164</v>
      </c>
      <c r="E333" s="325" t="s">
        <v>265</v>
      </c>
      <c r="F333" s="325" t="s">
        <v>524</v>
      </c>
    </row>
    <row r="334" spans="1:6" x14ac:dyDescent="0.2">
      <c r="A334" s="325" t="s">
        <v>765</v>
      </c>
      <c r="B334" s="325" t="s">
        <v>811</v>
      </c>
      <c r="C334" s="325" t="s">
        <v>787</v>
      </c>
      <c r="D334" s="325" t="s">
        <v>403</v>
      </c>
      <c r="E334" s="325" t="s">
        <v>265</v>
      </c>
      <c r="F334" s="325" t="s">
        <v>195</v>
      </c>
    </row>
    <row r="335" spans="1:6" x14ac:dyDescent="0.2">
      <c r="A335" s="325" t="s">
        <v>765</v>
      </c>
      <c r="B335" s="325" t="s">
        <v>812</v>
      </c>
      <c r="C335" s="325" t="s">
        <v>787</v>
      </c>
      <c r="D335" s="325" t="s">
        <v>367</v>
      </c>
      <c r="E335" s="325" t="s">
        <v>265</v>
      </c>
      <c r="F335" s="325" t="s">
        <v>461</v>
      </c>
    </row>
    <row r="336" spans="1:6" x14ac:dyDescent="0.2">
      <c r="A336" s="325" t="s">
        <v>765</v>
      </c>
      <c r="B336" s="325" t="s">
        <v>813</v>
      </c>
      <c r="C336" s="325" t="s">
        <v>787</v>
      </c>
      <c r="D336" s="325" t="s">
        <v>105</v>
      </c>
      <c r="E336" s="325" t="s">
        <v>442</v>
      </c>
      <c r="F336" s="325" t="s">
        <v>393</v>
      </c>
    </row>
    <row r="337" spans="1:6" x14ac:dyDescent="0.2">
      <c r="A337" s="325" t="s">
        <v>765</v>
      </c>
      <c r="B337" s="325" t="s">
        <v>814</v>
      </c>
      <c r="C337" s="325" t="s">
        <v>787</v>
      </c>
      <c r="D337" s="325" t="s">
        <v>520</v>
      </c>
      <c r="E337" s="325" t="s">
        <v>265</v>
      </c>
      <c r="F337" s="325" t="s">
        <v>277</v>
      </c>
    </row>
    <row r="338" spans="1:6" x14ac:dyDescent="0.2">
      <c r="A338" s="325" t="s">
        <v>765</v>
      </c>
      <c r="B338" s="325" t="s">
        <v>815</v>
      </c>
      <c r="C338" s="325" t="s">
        <v>787</v>
      </c>
      <c r="D338" s="325" t="s">
        <v>469</v>
      </c>
      <c r="E338" s="325" t="s">
        <v>265</v>
      </c>
      <c r="F338" s="325" t="s">
        <v>452</v>
      </c>
    </row>
    <row r="339" spans="1:6" x14ac:dyDescent="0.2">
      <c r="A339" s="325" t="s">
        <v>765</v>
      </c>
      <c r="B339" s="325" t="s">
        <v>816</v>
      </c>
      <c r="C339" s="325" t="s">
        <v>787</v>
      </c>
      <c r="D339" s="325" t="s">
        <v>432</v>
      </c>
      <c r="E339" s="325" t="s">
        <v>265</v>
      </c>
      <c r="F339" s="325" t="s">
        <v>489</v>
      </c>
    </row>
    <row r="340" spans="1:6" x14ac:dyDescent="0.2">
      <c r="A340" s="325" t="s">
        <v>765</v>
      </c>
      <c r="B340" s="325" t="s">
        <v>817</v>
      </c>
      <c r="C340" s="325" t="s">
        <v>787</v>
      </c>
      <c r="D340" s="325" t="s">
        <v>75</v>
      </c>
      <c r="E340" s="325" t="s">
        <v>442</v>
      </c>
      <c r="F340" s="325" t="s">
        <v>288</v>
      </c>
    </row>
    <row r="341" spans="1:6" x14ac:dyDescent="0.2">
      <c r="A341" s="325" t="s">
        <v>765</v>
      </c>
      <c r="B341" s="325" t="s">
        <v>818</v>
      </c>
      <c r="C341" s="325" t="s">
        <v>787</v>
      </c>
      <c r="D341" s="325" t="s">
        <v>666</v>
      </c>
      <c r="E341" s="325" t="s">
        <v>556</v>
      </c>
      <c r="F341" s="325" t="s">
        <v>665</v>
      </c>
    </row>
    <row r="342" spans="1:6" x14ac:dyDescent="0.2">
      <c r="A342" s="325" t="s">
        <v>765</v>
      </c>
      <c r="B342" s="325" t="s">
        <v>819</v>
      </c>
      <c r="C342" s="325" t="s">
        <v>787</v>
      </c>
      <c r="D342" s="325" t="s">
        <v>111</v>
      </c>
      <c r="E342" s="325" t="s">
        <v>265</v>
      </c>
      <c r="F342" s="325" t="s">
        <v>261</v>
      </c>
    </row>
    <row r="343" spans="1:6" x14ac:dyDescent="0.2">
      <c r="A343" s="325" t="s">
        <v>765</v>
      </c>
      <c r="B343" s="325" t="s">
        <v>820</v>
      </c>
      <c r="C343" s="325" t="s">
        <v>787</v>
      </c>
      <c r="D343" s="325" t="s">
        <v>289</v>
      </c>
      <c r="E343" s="325" t="s">
        <v>265</v>
      </c>
      <c r="F343" s="325" t="s">
        <v>674</v>
      </c>
    </row>
    <row r="344" spans="1:6" x14ac:dyDescent="0.2">
      <c r="A344" s="325" t="s">
        <v>765</v>
      </c>
      <c r="B344" s="325" t="s">
        <v>821</v>
      </c>
      <c r="C344" s="325" t="s">
        <v>787</v>
      </c>
      <c r="D344" s="325" t="s">
        <v>308</v>
      </c>
      <c r="E344" s="325" t="s">
        <v>265</v>
      </c>
      <c r="F344" s="325" t="s">
        <v>675</v>
      </c>
    </row>
    <row r="345" spans="1:6" x14ac:dyDescent="0.2">
      <c r="A345" s="325" t="s">
        <v>765</v>
      </c>
      <c r="B345" s="325" t="s">
        <v>822</v>
      </c>
      <c r="C345" s="325" t="s">
        <v>787</v>
      </c>
      <c r="D345" s="325" t="s">
        <v>411</v>
      </c>
      <c r="E345" s="325" t="s">
        <v>265</v>
      </c>
      <c r="F345" s="325" t="s">
        <v>115</v>
      </c>
    </row>
    <row r="346" spans="1:6" x14ac:dyDescent="0.2">
      <c r="A346" s="325" t="s">
        <v>765</v>
      </c>
      <c r="B346" s="325" t="s">
        <v>823</v>
      </c>
      <c r="C346" s="325" t="s">
        <v>787</v>
      </c>
      <c r="D346" s="325" t="s">
        <v>425</v>
      </c>
      <c r="E346" s="325" t="s">
        <v>265</v>
      </c>
      <c r="F346" s="325" t="s">
        <v>364</v>
      </c>
    </row>
    <row r="347" spans="1:6" x14ac:dyDescent="0.2">
      <c r="A347" s="325" t="s">
        <v>765</v>
      </c>
      <c r="B347" s="325" t="s">
        <v>824</v>
      </c>
      <c r="C347" s="325" t="s">
        <v>787</v>
      </c>
      <c r="D347" s="325" t="s">
        <v>431</v>
      </c>
      <c r="E347" s="325" t="s">
        <v>265</v>
      </c>
      <c r="F347" s="325" t="s">
        <v>464</v>
      </c>
    </row>
    <row r="348" spans="1:6" x14ac:dyDescent="0.2">
      <c r="A348" s="325" t="s">
        <v>765</v>
      </c>
      <c r="B348" s="325" t="s">
        <v>825</v>
      </c>
      <c r="C348" s="325" t="s">
        <v>787</v>
      </c>
      <c r="D348" s="325" t="s">
        <v>696</v>
      </c>
      <c r="E348" s="325" t="s">
        <v>265</v>
      </c>
      <c r="F348" s="325" t="s">
        <v>1010</v>
      </c>
    </row>
    <row r="349" spans="1:6" x14ac:dyDescent="0.2">
      <c r="A349" s="325" t="s">
        <v>765</v>
      </c>
      <c r="B349" s="325" t="s">
        <v>826</v>
      </c>
      <c r="C349" s="325" t="s">
        <v>787</v>
      </c>
      <c r="D349" s="325" t="s">
        <v>15</v>
      </c>
      <c r="E349" s="325" t="s">
        <v>265</v>
      </c>
      <c r="F349" s="325" t="s">
        <v>446</v>
      </c>
    </row>
    <row r="350" spans="1:6" x14ac:dyDescent="0.2">
      <c r="A350" s="325" t="s">
        <v>765</v>
      </c>
      <c r="B350" s="325" t="s">
        <v>827</v>
      </c>
      <c r="C350" s="325" t="s">
        <v>787</v>
      </c>
      <c r="D350" s="325" t="s">
        <v>551</v>
      </c>
      <c r="E350" s="325" t="s">
        <v>265</v>
      </c>
      <c r="F350" s="325" t="s">
        <v>10</v>
      </c>
    </row>
    <row r="351" spans="1:6" x14ac:dyDescent="0.2">
      <c r="A351" s="325" t="s">
        <v>765</v>
      </c>
      <c r="B351" s="325" t="s">
        <v>828</v>
      </c>
      <c r="C351" s="325" t="s">
        <v>787</v>
      </c>
      <c r="D351" s="325" t="s">
        <v>9</v>
      </c>
      <c r="E351" s="325" t="s">
        <v>265</v>
      </c>
      <c r="F351" s="325" t="s">
        <v>189</v>
      </c>
    </row>
    <row r="352" spans="1:6" x14ac:dyDescent="0.2">
      <c r="A352" s="325" t="s">
        <v>765</v>
      </c>
      <c r="B352" s="325" t="s">
        <v>829</v>
      </c>
      <c r="C352" s="325" t="s">
        <v>787</v>
      </c>
      <c r="D352" s="325" t="s">
        <v>566</v>
      </c>
      <c r="E352" s="325" t="s">
        <v>265</v>
      </c>
      <c r="F352" s="325" t="s">
        <v>135</v>
      </c>
    </row>
    <row r="353" spans="1:6" x14ac:dyDescent="0.2">
      <c r="A353" s="325" t="s">
        <v>765</v>
      </c>
      <c r="B353" s="325" t="s">
        <v>830</v>
      </c>
      <c r="C353" s="325" t="s">
        <v>787</v>
      </c>
      <c r="D353" s="325" t="s">
        <v>412</v>
      </c>
      <c r="E353" s="325" t="s">
        <v>456</v>
      </c>
      <c r="F353" s="325" t="s">
        <v>128</v>
      </c>
    </row>
    <row r="354" spans="1:6" x14ac:dyDescent="0.2">
      <c r="A354" s="325" t="s">
        <v>765</v>
      </c>
      <c r="B354" s="325" t="s">
        <v>831</v>
      </c>
      <c r="C354" s="325" t="s">
        <v>787</v>
      </c>
      <c r="D354" s="325" t="s">
        <v>369</v>
      </c>
      <c r="E354" s="325" t="s">
        <v>456</v>
      </c>
      <c r="F354" s="325" t="s">
        <v>496</v>
      </c>
    </row>
    <row r="355" spans="1:6" x14ac:dyDescent="0.2">
      <c r="A355" s="325" t="s">
        <v>765</v>
      </c>
      <c r="B355" s="325" t="s">
        <v>832</v>
      </c>
      <c r="C355" s="325" t="s">
        <v>787</v>
      </c>
      <c r="D355" s="325" t="s">
        <v>348</v>
      </c>
      <c r="E355" s="325" t="s">
        <v>265</v>
      </c>
      <c r="F355" s="325" t="s">
        <v>293</v>
      </c>
    </row>
    <row r="356" spans="1:6" x14ac:dyDescent="0.2">
      <c r="A356" s="325" t="s">
        <v>765</v>
      </c>
      <c r="B356" s="325" t="s">
        <v>833</v>
      </c>
      <c r="C356" s="325" t="s">
        <v>787</v>
      </c>
      <c r="D356" s="325" t="s">
        <v>244</v>
      </c>
      <c r="E356" s="325" t="s">
        <v>265</v>
      </c>
      <c r="F356" s="325" t="s">
        <v>543</v>
      </c>
    </row>
    <row r="357" spans="1:6" x14ac:dyDescent="0.2">
      <c r="A357" s="325" t="s">
        <v>765</v>
      </c>
      <c r="B357" s="325" t="s">
        <v>834</v>
      </c>
      <c r="C357" s="325" t="s">
        <v>787</v>
      </c>
      <c r="D357" s="325" t="s">
        <v>488</v>
      </c>
      <c r="E357" s="325" t="s">
        <v>265</v>
      </c>
      <c r="F357" s="325" t="s">
        <v>545</v>
      </c>
    </row>
    <row r="358" spans="1:6" x14ac:dyDescent="0.2">
      <c r="A358" s="325" t="s">
        <v>765</v>
      </c>
      <c r="B358" s="325" t="s">
        <v>835</v>
      </c>
      <c r="C358" s="325" t="s">
        <v>787</v>
      </c>
      <c r="D358" s="325" t="s">
        <v>397</v>
      </c>
      <c r="E358" s="325" t="s">
        <v>265</v>
      </c>
      <c r="F358" s="325" t="s">
        <v>88</v>
      </c>
    </row>
    <row r="359" spans="1:6" x14ac:dyDescent="0.2">
      <c r="A359" s="325" t="s">
        <v>765</v>
      </c>
      <c r="B359" s="325" t="s">
        <v>836</v>
      </c>
      <c r="C359" s="325" t="s">
        <v>787</v>
      </c>
      <c r="D359" s="325" t="s">
        <v>440</v>
      </c>
      <c r="E359" s="325" t="s">
        <v>265</v>
      </c>
      <c r="F359" s="325" t="s">
        <v>368</v>
      </c>
    </row>
    <row r="360" spans="1:6" x14ac:dyDescent="0.2">
      <c r="A360" s="325" t="s">
        <v>765</v>
      </c>
      <c r="B360" s="325" t="s">
        <v>837</v>
      </c>
      <c r="C360" s="325" t="s">
        <v>787</v>
      </c>
      <c r="D360" s="325" t="s">
        <v>445</v>
      </c>
      <c r="E360" s="325" t="s">
        <v>265</v>
      </c>
      <c r="F360" s="325" t="s">
        <v>238</v>
      </c>
    </row>
    <row r="361" spans="1:6" x14ac:dyDescent="0.2">
      <c r="A361" s="325" t="s">
        <v>765</v>
      </c>
      <c r="B361" s="325" t="s">
        <v>838</v>
      </c>
      <c r="C361" s="325" t="s">
        <v>787</v>
      </c>
      <c r="D361" s="325" t="s">
        <v>119</v>
      </c>
      <c r="E361" s="325" t="s">
        <v>265</v>
      </c>
      <c r="F361" s="325" t="s">
        <v>557</v>
      </c>
    </row>
    <row r="362" spans="1:6" x14ac:dyDescent="0.2">
      <c r="A362" s="325" t="s">
        <v>765</v>
      </c>
      <c r="B362" s="325" t="s">
        <v>839</v>
      </c>
      <c r="C362" s="325" t="s">
        <v>787</v>
      </c>
      <c r="D362" s="325" t="s">
        <v>580</v>
      </c>
      <c r="E362" s="325" t="s">
        <v>265</v>
      </c>
      <c r="F362" s="325" t="s">
        <v>120</v>
      </c>
    </row>
    <row r="363" spans="1:6" x14ac:dyDescent="0.2">
      <c r="A363" s="325" t="s">
        <v>765</v>
      </c>
      <c r="B363" s="325" t="s">
        <v>840</v>
      </c>
      <c r="C363" s="325" t="s">
        <v>787</v>
      </c>
      <c r="D363" s="325" t="s">
        <v>64</v>
      </c>
      <c r="E363" s="325" t="s">
        <v>265</v>
      </c>
      <c r="F363" s="325" t="s">
        <v>197</v>
      </c>
    </row>
    <row r="364" spans="1:6" x14ac:dyDescent="0.2">
      <c r="A364" s="325" t="s">
        <v>765</v>
      </c>
      <c r="B364" s="325" t="s">
        <v>841</v>
      </c>
      <c r="C364" s="325" t="s">
        <v>787</v>
      </c>
      <c r="D364" s="325" t="s">
        <v>471</v>
      </c>
      <c r="E364" s="325" t="s">
        <v>265</v>
      </c>
      <c r="F364" s="325" t="s">
        <v>466</v>
      </c>
    </row>
    <row r="365" spans="1:6" x14ac:dyDescent="0.2">
      <c r="A365" s="325" t="s">
        <v>765</v>
      </c>
      <c r="B365" s="325" t="s">
        <v>842</v>
      </c>
      <c r="C365" s="325" t="s">
        <v>787</v>
      </c>
      <c r="D365" s="325" t="s">
        <v>539</v>
      </c>
      <c r="E365" s="325" t="s">
        <v>442</v>
      </c>
      <c r="F365" s="325" t="s">
        <v>394</v>
      </c>
    </row>
    <row r="366" spans="1:6" x14ac:dyDescent="0.2">
      <c r="A366" s="325" t="s">
        <v>765</v>
      </c>
      <c r="B366" s="325" t="s">
        <v>843</v>
      </c>
      <c r="C366" s="325" t="s">
        <v>787</v>
      </c>
      <c r="D366" s="325" t="s">
        <v>318</v>
      </c>
      <c r="E366" s="325" t="s">
        <v>265</v>
      </c>
      <c r="F366" s="325" t="s">
        <v>478</v>
      </c>
    </row>
    <row r="367" spans="1:6" x14ac:dyDescent="0.2">
      <c r="A367" s="325" t="s">
        <v>765</v>
      </c>
      <c r="B367" s="325" t="s">
        <v>844</v>
      </c>
      <c r="C367" s="325" t="s">
        <v>787</v>
      </c>
      <c r="D367" s="325" t="s">
        <v>257</v>
      </c>
      <c r="E367" s="325" t="s">
        <v>265</v>
      </c>
      <c r="F367" s="325" t="s">
        <v>338</v>
      </c>
    </row>
    <row r="368" spans="1:6" x14ac:dyDescent="0.2">
      <c r="A368" s="325" t="s">
        <v>765</v>
      </c>
      <c r="B368" s="325" t="s">
        <v>845</v>
      </c>
      <c r="C368" s="325" t="s">
        <v>787</v>
      </c>
      <c r="D368" s="325" t="s">
        <v>751</v>
      </c>
      <c r="E368" s="325" t="s">
        <v>265</v>
      </c>
      <c r="F368" s="325" t="s">
        <v>753</v>
      </c>
    </row>
    <row r="369" spans="1:6" x14ac:dyDescent="0.2">
      <c r="A369" s="325" t="s">
        <v>765</v>
      </c>
      <c r="B369" s="325" t="s">
        <v>846</v>
      </c>
      <c r="C369" s="325" t="s">
        <v>787</v>
      </c>
      <c r="D369" s="325" t="s">
        <v>55</v>
      </c>
      <c r="E369" s="325" t="s">
        <v>265</v>
      </c>
      <c r="F369" s="325" t="s">
        <v>305</v>
      </c>
    </row>
    <row r="370" spans="1:6" x14ac:dyDescent="0.2">
      <c r="A370" s="325" t="s">
        <v>765</v>
      </c>
      <c r="B370" s="325" t="s">
        <v>847</v>
      </c>
      <c r="C370" s="325" t="s">
        <v>787</v>
      </c>
      <c r="D370" s="325" t="s">
        <v>522</v>
      </c>
      <c r="E370" s="325" t="s">
        <v>265</v>
      </c>
      <c r="F370" s="325" t="s">
        <v>602</v>
      </c>
    </row>
    <row r="371" spans="1:6" x14ac:dyDescent="0.2">
      <c r="A371" s="325" t="s">
        <v>765</v>
      </c>
      <c r="B371" s="325" t="s">
        <v>848</v>
      </c>
      <c r="C371" s="325" t="s">
        <v>787</v>
      </c>
      <c r="D371" s="325" t="s">
        <v>370</v>
      </c>
      <c r="E371" s="325" t="s">
        <v>265</v>
      </c>
      <c r="F371" s="325" t="s">
        <v>484</v>
      </c>
    </row>
    <row r="372" spans="1:6" x14ac:dyDescent="0.2">
      <c r="A372" s="325" t="s">
        <v>765</v>
      </c>
      <c r="B372" s="325" t="s">
        <v>849</v>
      </c>
      <c r="C372" s="325" t="s">
        <v>787</v>
      </c>
      <c r="D372" s="325" t="s">
        <v>752</v>
      </c>
      <c r="E372" s="325" t="s">
        <v>265</v>
      </c>
      <c r="F372" s="325" t="s">
        <v>754</v>
      </c>
    </row>
    <row r="373" spans="1:6" x14ac:dyDescent="0.2">
      <c r="A373" s="325" t="s">
        <v>765</v>
      </c>
      <c r="B373" s="325" t="s">
        <v>850</v>
      </c>
      <c r="C373" s="325" t="s">
        <v>787</v>
      </c>
      <c r="D373" s="325" t="s">
        <v>585</v>
      </c>
      <c r="E373" s="325" t="s">
        <v>265</v>
      </c>
      <c r="F373" s="325" t="s">
        <v>564</v>
      </c>
    </row>
    <row r="374" spans="1:6" x14ac:dyDescent="0.2">
      <c r="A374" s="325" t="s">
        <v>765</v>
      </c>
      <c r="B374" s="325" t="s">
        <v>851</v>
      </c>
      <c r="C374" s="325" t="s">
        <v>787</v>
      </c>
      <c r="D374" s="325" t="s">
        <v>603</v>
      </c>
      <c r="E374" s="325" t="s">
        <v>265</v>
      </c>
      <c r="F374" s="325" t="s">
        <v>703</v>
      </c>
    </row>
    <row r="375" spans="1:6" x14ac:dyDescent="0.2">
      <c r="A375" s="325" t="s">
        <v>765</v>
      </c>
      <c r="B375" s="325" t="s">
        <v>852</v>
      </c>
      <c r="C375" s="325" t="s">
        <v>787</v>
      </c>
      <c r="D375" s="325" t="s">
        <v>604</v>
      </c>
      <c r="E375" s="325" t="s">
        <v>265</v>
      </c>
      <c r="F375" s="325" t="s">
        <v>702</v>
      </c>
    </row>
    <row r="376" spans="1:6" x14ac:dyDescent="0.2">
      <c r="A376" s="325" t="s">
        <v>765</v>
      </c>
      <c r="B376" s="325" t="s">
        <v>853</v>
      </c>
      <c r="C376" s="325" t="s">
        <v>787</v>
      </c>
      <c r="D376" s="325" t="s">
        <v>565</v>
      </c>
      <c r="E376" s="325" t="s">
        <v>265</v>
      </c>
      <c r="F376" s="325" t="s">
        <v>306</v>
      </c>
    </row>
    <row r="377" spans="1:6" x14ac:dyDescent="0.2">
      <c r="A377" s="325" t="s">
        <v>765</v>
      </c>
      <c r="B377" s="325" t="s">
        <v>854</v>
      </c>
      <c r="C377" s="325" t="s">
        <v>787</v>
      </c>
      <c r="D377" s="325" t="s">
        <v>354</v>
      </c>
      <c r="E377" s="325" t="s">
        <v>265</v>
      </c>
      <c r="F377" s="325" t="s">
        <v>390</v>
      </c>
    </row>
    <row r="378" spans="1:6" x14ac:dyDescent="0.2">
      <c r="A378" s="325" t="s">
        <v>765</v>
      </c>
      <c r="B378" s="325" t="s">
        <v>855</v>
      </c>
      <c r="C378" s="325" t="s">
        <v>787</v>
      </c>
      <c r="D378" s="325" t="s">
        <v>93</v>
      </c>
      <c r="E378" s="325" t="s">
        <v>265</v>
      </c>
      <c r="F378" s="325" t="s">
        <v>170</v>
      </c>
    </row>
    <row r="379" spans="1:6" x14ac:dyDescent="0.2">
      <c r="A379" s="325" t="s">
        <v>765</v>
      </c>
      <c r="B379" s="325" t="s">
        <v>856</v>
      </c>
      <c r="C379" s="325" t="s">
        <v>787</v>
      </c>
      <c r="D379" s="325" t="s">
        <v>198</v>
      </c>
      <c r="E379" s="325" t="s">
        <v>265</v>
      </c>
      <c r="F379" s="325" t="s">
        <v>139</v>
      </c>
    </row>
    <row r="380" spans="1:6" x14ac:dyDescent="0.2">
      <c r="A380" s="325" t="s">
        <v>765</v>
      </c>
      <c r="B380" s="325" t="s">
        <v>857</v>
      </c>
      <c r="C380" s="325" t="s">
        <v>787</v>
      </c>
      <c r="D380" s="325" t="s">
        <v>249</v>
      </c>
      <c r="E380" s="325" t="s">
        <v>265</v>
      </c>
      <c r="F380" s="325" t="s">
        <v>27</v>
      </c>
    </row>
    <row r="381" spans="1:6" x14ac:dyDescent="0.2">
      <c r="A381" s="325" t="s">
        <v>765</v>
      </c>
      <c r="B381" s="325" t="s">
        <v>858</v>
      </c>
      <c r="C381" s="325" t="s">
        <v>787</v>
      </c>
      <c r="D381" s="325" t="s">
        <v>152</v>
      </c>
      <c r="E381" s="325" t="s">
        <v>442</v>
      </c>
      <c r="F381" s="325" t="s">
        <v>555</v>
      </c>
    </row>
    <row r="382" spans="1:6" x14ac:dyDescent="0.2">
      <c r="A382" s="325" t="s">
        <v>765</v>
      </c>
      <c r="B382" s="325" t="s">
        <v>859</v>
      </c>
      <c r="C382" s="325" t="s">
        <v>787</v>
      </c>
      <c r="D382" s="325" t="s">
        <v>547</v>
      </c>
      <c r="E382" s="325" t="s">
        <v>265</v>
      </c>
      <c r="F382" s="325" t="s">
        <v>374</v>
      </c>
    </row>
    <row r="383" spans="1:6" x14ac:dyDescent="0.2">
      <c r="A383" s="325" t="s">
        <v>765</v>
      </c>
      <c r="B383" s="325" t="s">
        <v>860</v>
      </c>
      <c r="C383" s="325" t="s">
        <v>787</v>
      </c>
      <c r="D383" s="325" t="s">
        <v>490</v>
      </c>
      <c r="E383" s="325" t="s">
        <v>265</v>
      </c>
      <c r="F383" s="325" t="s">
        <v>177</v>
      </c>
    </row>
    <row r="384" spans="1:6" x14ac:dyDescent="0.2">
      <c r="A384" s="325" t="s">
        <v>765</v>
      </c>
      <c r="B384" s="325" t="s">
        <v>861</v>
      </c>
      <c r="C384" s="325" t="s">
        <v>787</v>
      </c>
      <c r="D384" s="325" t="s">
        <v>209</v>
      </c>
      <c r="E384" s="325" t="s">
        <v>265</v>
      </c>
      <c r="F384" s="325" t="s">
        <v>41</v>
      </c>
    </row>
    <row r="385" spans="1:6" x14ac:dyDescent="0.2">
      <c r="A385" s="325" t="s">
        <v>765</v>
      </c>
      <c r="B385" s="325" t="s">
        <v>862</v>
      </c>
      <c r="C385" s="325" t="s">
        <v>787</v>
      </c>
      <c r="D385" s="325" t="s">
        <v>163</v>
      </c>
      <c r="E385" s="325" t="s">
        <v>265</v>
      </c>
      <c r="F385" s="325" t="s">
        <v>98</v>
      </c>
    </row>
    <row r="386" spans="1:6" x14ac:dyDescent="0.2">
      <c r="A386" s="325" t="s">
        <v>765</v>
      </c>
      <c r="B386" s="325" t="s">
        <v>863</v>
      </c>
      <c r="C386" s="325" t="s">
        <v>787</v>
      </c>
      <c r="D386" s="325" t="s">
        <v>200</v>
      </c>
      <c r="E386" s="325" t="s">
        <v>265</v>
      </c>
      <c r="F386" s="325" t="s">
        <v>230</v>
      </c>
    </row>
    <row r="387" spans="1:6" x14ac:dyDescent="0.2">
      <c r="A387" s="325" t="s">
        <v>765</v>
      </c>
      <c r="B387" s="325" t="s">
        <v>864</v>
      </c>
      <c r="C387" s="325" t="s">
        <v>787</v>
      </c>
      <c r="D387" s="325" t="s">
        <v>54</v>
      </c>
      <c r="E387" s="325" t="s">
        <v>265</v>
      </c>
      <c r="F387" s="325" t="s">
        <v>192</v>
      </c>
    </row>
    <row r="388" spans="1:6" x14ac:dyDescent="0.2">
      <c r="A388" s="325" t="s">
        <v>765</v>
      </c>
      <c r="B388" s="325" t="s">
        <v>876</v>
      </c>
      <c r="C388" s="325" t="s">
        <v>787</v>
      </c>
      <c r="D388" s="325" t="s">
        <v>327</v>
      </c>
      <c r="E388" s="325" t="s">
        <v>265</v>
      </c>
      <c r="F388" s="325" t="s">
        <v>102</v>
      </c>
    </row>
    <row r="389" spans="1:6" x14ac:dyDescent="0.2">
      <c r="A389" s="325" t="s">
        <v>765</v>
      </c>
      <c r="B389" s="325" t="s">
        <v>877</v>
      </c>
      <c r="C389" s="325" t="s">
        <v>787</v>
      </c>
      <c r="D389" s="325" t="s">
        <v>356</v>
      </c>
      <c r="E389" s="325" t="s">
        <v>265</v>
      </c>
      <c r="F389" s="325" t="s">
        <v>1011</v>
      </c>
    </row>
    <row r="390" spans="1:6" x14ac:dyDescent="0.2">
      <c r="A390" s="325" t="s">
        <v>765</v>
      </c>
      <c r="B390" s="325" t="s">
        <v>878</v>
      </c>
      <c r="C390" s="325" t="s">
        <v>787</v>
      </c>
      <c r="D390" s="325" t="s">
        <v>657</v>
      </c>
      <c r="E390" s="325" t="s">
        <v>265</v>
      </c>
      <c r="F390" s="325" t="s">
        <v>264</v>
      </c>
    </row>
    <row r="391" spans="1:6" x14ac:dyDescent="0.2">
      <c r="A391" s="325" t="s">
        <v>765</v>
      </c>
      <c r="B391" s="325" t="s">
        <v>879</v>
      </c>
      <c r="C391" s="325" t="s">
        <v>787</v>
      </c>
      <c r="D391" s="325" t="s">
        <v>659</v>
      </c>
      <c r="E391" s="325" t="s">
        <v>265</v>
      </c>
      <c r="F391" s="325" t="s">
        <v>229</v>
      </c>
    </row>
    <row r="392" spans="1:6" x14ac:dyDescent="0.2">
      <c r="A392" s="325" t="s">
        <v>765</v>
      </c>
      <c r="B392" s="325" t="s">
        <v>880</v>
      </c>
      <c r="C392" s="325" t="s">
        <v>787</v>
      </c>
      <c r="D392" s="325" t="s">
        <v>661</v>
      </c>
      <c r="E392" s="325" t="s">
        <v>265</v>
      </c>
      <c r="F392" s="325" t="s">
        <v>336</v>
      </c>
    </row>
    <row r="393" spans="1:6" x14ac:dyDescent="0.2">
      <c r="A393" s="325" t="s">
        <v>765</v>
      </c>
      <c r="B393" s="325" t="s">
        <v>881</v>
      </c>
      <c r="C393" s="325" t="s">
        <v>787</v>
      </c>
      <c r="D393" s="325" t="s">
        <v>72</v>
      </c>
      <c r="E393" s="325" t="s">
        <v>265</v>
      </c>
      <c r="F393" s="325" t="s">
        <v>451</v>
      </c>
    </row>
    <row r="394" spans="1:6" x14ac:dyDescent="0.2">
      <c r="A394" s="325" t="s">
        <v>765</v>
      </c>
      <c r="B394" s="325" t="s">
        <v>882</v>
      </c>
      <c r="C394" s="325" t="s">
        <v>787</v>
      </c>
      <c r="D394" s="325" t="s">
        <v>35</v>
      </c>
      <c r="E394" s="325" t="s">
        <v>265</v>
      </c>
      <c r="F394" s="325" t="s">
        <v>414</v>
      </c>
    </row>
    <row r="395" spans="1:6" x14ac:dyDescent="0.2">
      <c r="A395" s="325" t="s">
        <v>765</v>
      </c>
      <c r="B395" s="325" t="s">
        <v>883</v>
      </c>
      <c r="C395" s="325" t="s">
        <v>787</v>
      </c>
      <c r="D395" s="325" t="s">
        <v>118</v>
      </c>
      <c r="E395" s="325" t="s">
        <v>442</v>
      </c>
      <c r="F395" s="325" t="s">
        <v>62</v>
      </c>
    </row>
    <row r="396" spans="1:6" x14ac:dyDescent="0.2">
      <c r="A396" s="325" t="s">
        <v>765</v>
      </c>
      <c r="B396" s="325" t="s">
        <v>884</v>
      </c>
      <c r="C396" s="325" t="s">
        <v>787</v>
      </c>
      <c r="D396" s="325" t="s">
        <v>254</v>
      </c>
      <c r="E396" s="325" t="s">
        <v>442</v>
      </c>
      <c r="F396" s="325" t="s">
        <v>148</v>
      </c>
    </row>
    <row r="397" spans="1:6" x14ac:dyDescent="0.2">
      <c r="A397" s="325" t="s">
        <v>765</v>
      </c>
      <c r="B397" s="325" t="s">
        <v>885</v>
      </c>
      <c r="C397" s="325" t="s">
        <v>787</v>
      </c>
      <c r="D397" s="325" t="s">
        <v>396</v>
      </c>
      <c r="E397" s="325" t="s">
        <v>442</v>
      </c>
      <c r="F397" s="325" t="s">
        <v>8</v>
      </c>
    </row>
    <row r="398" spans="1:6" x14ac:dyDescent="0.2">
      <c r="A398" s="325" t="s">
        <v>765</v>
      </c>
      <c r="B398" s="325" t="s">
        <v>886</v>
      </c>
      <c r="C398" s="325" t="s">
        <v>787</v>
      </c>
      <c r="D398" s="325" t="s">
        <v>279</v>
      </c>
      <c r="E398" s="325" t="s">
        <v>442</v>
      </c>
      <c r="F398" s="325" t="s">
        <v>475</v>
      </c>
    </row>
    <row r="399" spans="1:6" x14ac:dyDescent="0.2">
      <c r="A399" s="325" t="s">
        <v>765</v>
      </c>
      <c r="B399" s="325" t="s">
        <v>887</v>
      </c>
      <c r="C399" s="325" t="s">
        <v>787</v>
      </c>
      <c r="D399" s="325" t="s">
        <v>66</v>
      </c>
      <c r="E399" s="325" t="s">
        <v>442</v>
      </c>
      <c r="F399" s="325" t="s">
        <v>245</v>
      </c>
    </row>
    <row r="400" spans="1:6" x14ac:dyDescent="0.2">
      <c r="A400" s="325" t="s">
        <v>765</v>
      </c>
      <c r="B400" s="325" t="s">
        <v>888</v>
      </c>
      <c r="C400" s="325" t="s">
        <v>787</v>
      </c>
      <c r="D400" s="325" t="s">
        <v>568</v>
      </c>
      <c r="E400" s="325" t="s">
        <v>442</v>
      </c>
      <c r="F400" s="325" t="s">
        <v>181</v>
      </c>
    </row>
    <row r="401" spans="1:6" x14ac:dyDescent="0.2">
      <c r="A401" s="325" t="s">
        <v>765</v>
      </c>
      <c r="B401" s="325" t="s">
        <v>889</v>
      </c>
      <c r="C401" s="325" t="s">
        <v>787</v>
      </c>
      <c r="D401" s="325" t="s">
        <v>712</v>
      </c>
      <c r="E401" s="325" t="s">
        <v>442</v>
      </c>
      <c r="F401" s="325" t="s">
        <v>713</v>
      </c>
    </row>
    <row r="402" spans="1:6" x14ac:dyDescent="0.2">
      <c r="A402" s="325" t="s">
        <v>765</v>
      </c>
      <c r="B402" s="325" t="s">
        <v>890</v>
      </c>
      <c r="C402" s="325" t="s">
        <v>787</v>
      </c>
      <c r="D402" s="325" t="s">
        <v>371</v>
      </c>
      <c r="E402" s="325" t="s">
        <v>442</v>
      </c>
      <c r="F402" s="325" t="s">
        <v>63</v>
      </c>
    </row>
    <row r="403" spans="1:6" x14ac:dyDescent="0.2">
      <c r="A403" s="325" t="s">
        <v>765</v>
      </c>
      <c r="B403" s="325" t="s">
        <v>891</v>
      </c>
      <c r="C403" s="325" t="s">
        <v>787</v>
      </c>
      <c r="D403" s="325" t="s">
        <v>497</v>
      </c>
      <c r="E403" s="325" t="s">
        <v>442</v>
      </c>
      <c r="F403" s="325" t="s">
        <v>1012</v>
      </c>
    </row>
    <row r="404" spans="1:6" x14ac:dyDescent="0.2">
      <c r="A404" s="325" t="s">
        <v>765</v>
      </c>
      <c r="B404" s="325" t="s">
        <v>892</v>
      </c>
      <c r="C404" s="325" t="s">
        <v>787</v>
      </c>
      <c r="D404" s="325" t="s">
        <v>699</v>
      </c>
      <c r="E404" s="325" t="s">
        <v>442</v>
      </c>
      <c r="F404" s="325" t="s">
        <v>994</v>
      </c>
    </row>
    <row r="405" spans="1:6" x14ac:dyDescent="0.2">
      <c r="A405" s="325" t="s">
        <v>765</v>
      </c>
      <c r="B405" s="325" t="s">
        <v>893</v>
      </c>
      <c r="C405" s="325" t="s">
        <v>787</v>
      </c>
      <c r="D405" s="325" t="s">
        <v>320</v>
      </c>
      <c r="E405" s="325" t="s">
        <v>442</v>
      </c>
      <c r="F405" s="325" t="s">
        <v>74</v>
      </c>
    </row>
    <row r="406" spans="1:6" x14ac:dyDescent="0.2">
      <c r="A406" s="325" t="s">
        <v>765</v>
      </c>
      <c r="B406" s="325" t="s">
        <v>894</v>
      </c>
      <c r="C406" s="325" t="s">
        <v>787</v>
      </c>
      <c r="D406" s="325" t="s">
        <v>509</v>
      </c>
      <c r="E406" s="325" t="s">
        <v>442</v>
      </c>
      <c r="F406" s="325" t="s">
        <v>236</v>
      </c>
    </row>
    <row r="407" spans="1:6" x14ac:dyDescent="0.2">
      <c r="A407" s="325" t="s">
        <v>765</v>
      </c>
      <c r="B407" s="325" t="s">
        <v>895</v>
      </c>
      <c r="C407" s="325" t="s">
        <v>787</v>
      </c>
      <c r="D407" s="325" t="s">
        <v>186</v>
      </c>
      <c r="E407" s="325" t="s">
        <v>442</v>
      </c>
      <c r="F407" s="325" t="s">
        <v>74</v>
      </c>
    </row>
    <row r="408" spans="1:6" x14ac:dyDescent="0.2">
      <c r="A408" s="325" t="s">
        <v>765</v>
      </c>
      <c r="B408" s="325" t="s">
        <v>896</v>
      </c>
      <c r="C408" s="325" t="s">
        <v>787</v>
      </c>
      <c r="D408" s="325" t="s">
        <v>517</v>
      </c>
      <c r="E408" s="325" t="s">
        <v>442</v>
      </c>
      <c r="F408" s="325" t="s">
        <v>236</v>
      </c>
    </row>
    <row r="409" spans="1:6" x14ac:dyDescent="0.2">
      <c r="A409" s="325" t="s">
        <v>765</v>
      </c>
      <c r="B409" s="325" t="s">
        <v>897</v>
      </c>
      <c r="C409" s="325" t="s">
        <v>787</v>
      </c>
      <c r="D409" s="325" t="s">
        <v>291</v>
      </c>
      <c r="E409" s="325" t="s">
        <v>442</v>
      </c>
      <c r="F409" s="325" t="s">
        <v>342</v>
      </c>
    </row>
    <row r="410" spans="1:6" x14ac:dyDescent="0.2">
      <c r="A410" s="325" t="s">
        <v>765</v>
      </c>
      <c r="B410" s="325" t="s">
        <v>898</v>
      </c>
      <c r="C410" s="325" t="s">
        <v>787</v>
      </c>
      <c r="D410" s="325" t="s">
        <v>353</v>
      </c>
      <c r="E410" s="325" t="s">
        <v>442</v>
      </c>
      <c r="F410" s="325" t="s">
        <v>559</v>
      </c>
    </row>
    <row r="411" spans="1:6" x14ac:dyDescent="0.2">
      <c r="A411" s="325" t="s">
        <v>765</v>
      </c>
      <c r="B411" s="325" t="s">
        <v>899</v>
      </c>
      <c r="C411" s="325" t="s">
        <v>787</v>
      </c>
      <c r="D411" s="325" t="s">
        <v>366</v>
      </c>
      <c r="E411" s="325" t="s">
        <v>442</v>
      </c>
      <c r="F411" s="325" t="s">
        <v>256</v>
      </c>
    </row>
    <row r="412" spans="1:6" x14ac:dyDescent="0.2">
      <c r="A412" s="325" t="s">
        <v>765</v>
      </c>
      <c r="B412" s="325" t="s">
        <v>902</v>
      </c>
      <c r="C412" s="325" t="s">
        <v>787</v>
      </c>
      <c r="D412" s="325" t="s">
        <v>323</v>
      </c>
      <c r="E412" s="325" t="s">
        <v>265</v>
      </c>
      <c r="F412" s="325" t="s">
        <v>20</v>
      </c>
    </row>
    <row r="413" spans="1:6" x14ac:dyDescent="0.2">
      <c r="A413" s="325" t="s">
        <v>765</v>
      </c>
      <c r="B413" s="325" t="s">
        <v>903</v>
      </c>
      <c r="C413" s="325" t="s">
        <v>787</v>
      </c>
      <c r="D413" s="325" t="s">
        <v>447</v>
      </c>
      <c r="E413" s="325" t="s">
        <v>265</v>
      </c>
      <c r="F413" s="325" t="s">
        <v>741</v>
      </c>
    </row>
    <row r="414" spans="1:6" x14ac:dyDescent="0.2">
      <c r="A414" s="325" t="s">
        <v>765</v>
      </c>
      <c r="B414" s="325" t="s">
        <v>904</v>
      </c>
      <c r="C414" s="325" t="s">
        <v>787</v>
      </c>
      <c r="D414" s="325" t="s">
        <v>742</v>
      </c>
      <c r="E414" s="325" t="s">
        <v>456</v>
      </c>
      <c r="F414" s="325" t="s">
        <v>743</v>
      </c>
    </row>
    <row r="415" spans="1:6" x14ac:dyDescent="0.2">
      <c r="A415" s="325" t="s">
        <v>765</v>
      </c>
      <c r="B415" s="325" t="s">
        <v>905</v>
      </c>
      <c r="C415" s="325" t="s">
        <v>787</v>
      </c>
      <c r="D415" s="325" t="s">
        <v>678</v>
      </c>
      <c r="E415" s="325" t="s">
        <v>442</v>
      </c>
      <c r="F415" s="325" t="s">
        <v>995</v>
      </c>
    </row>
    <row r="416" spans="1:6" x14ac:dyDescent="0.2">
      <c r="A416" s="325" t="s">
        <v>765</v>
      </c>
      <c r="B416" s="325" t="s">
        <v>906</v>
      </c>
      <c r="C416" s="325" t="s">
        <v>787</v>
      </c>
      <c r="D416" s="325" t="s">
        <v>679</v>
      </c>
      <c r="E416" s="325" t="s">
        <v>265</v>
      </c>
      <c r="F416" s="325" t="s">
        <v>682</v>
      </c>
    </row>
    <row r="417" spans="1:6" x14ac:dyDescent="0.2">
      <c r="A417" s="325" t="s">
        <v>765</v>
      </c>
      <c r="B417" s="325" t="s">
        <v>907</v>
      </c>
      <c r="C417" s="325" t="s">
        <v>787</v>
      </c>
      <c r="D417" s="325" t="s">
        <v>262</v>
      </c>
      <c r="E417" s="325" t="s">
        <v>442</v>
      </c>
      <c r="F417" s="325" t="s">
        <v>165</v>
      </c>
    </row>
    <row r="418" spans="1:6" x14ac:dyDescent="0.2">
      <c r="A418" s="325" t="s">
        <v>765</v>
      </c>
      <c r="B418" s="325" t="s">
        <v>908</v>
      </c>
      <c r="C418" s="325" t="s">
        <v>787</v>
      </c>
      <c r="D418" s="325" t="s">
        <v>255</v>
      </c>
      <c r="E418" s="325" t="s">
        <v>442</v>
      </c>
      <c r="F418" s="325" t="s">
        <v>535</v>
      </c>
    </row>
    <row r="419" spans="1:6" x14ac:dyDescent="0.2">
      <c r="A419" s="325" t="s">
        <v>765</v>
      </c>
      <c r="B419" s="325" t="s">
        <v>909</v>
      </c>
      <c r="C419" s="325" t="s">
        <v>787</v>
      </c>
      <c r="D419" s="325" t="s">
        <v>647</v>
      </c>
      <c r="E419" s="325" t="s">
        <v>456</v>
      </c>
      <c r="F419" s="325" t="s">
        <v>311</v>
      </c>
    </row>
    <row r="420" spans="1:6" x14ac:dyDescent="0.2">
      <c r="A420" s="325" t="s">
        <v>765</v>
      </c>
      <c r="B420" s="325" t="s">
        <v>965</v>
      </c>
      <c r="C420" s="325" t="s">
        <v>787</v>
      </c>
      <c r="D420" s="325" t="s">
        <v>201</v>
      </c>
      <c r="E420" s="325" t="s">
        <v>456</v>
      </c>
      <c r="F420" s="325" t="s">
        <v>141</v>
      </c>
    </row>
    <row r="421" spans="1:6" x14ac:dyDescent="0.2">
      <c r="A421" s="325" t="s">
        <v>765</v>
      </c>
      <c r="B421" s="325" t="s">
        <v>966</v>
      </c>
      <c r="C421" s="325" t="s">
        <v>787</v>
      </c>
      <c r="D421" s="325" t="s">
        <v>325</v>
      </c>
      <c r="E421" s="325" t="s">
        <v>456</v>
      </c>
      <c r="F421" s="325" t="s">
        <v>457</v>
      </c>
    </row>
    <row r="422" spans="1:6" x14ac:dyDescent="0.2">
      <c r="A422" s="325" t="s">
        <v>765</v>
      </c>
      <c r="B422" s="325" t="s">
        <v>974</v>
      </c>
      <c r="C422" s="325" t="s">
        <v>787</v>
      </c>
      <c r="D422" s="325" t="s">
        <v>51</v>
      </c>
      <c r="E422" s="325" t="s">
        <v>265</v>
      </c>
      <c r="F422" s="325" t="s">
        <v>266</v>
      </c>
    </row>
    <row r="423" spans="1:6" x14ac:dyDescent="0.2">
      <c r="A423" s="325" t="s">
        <v>765</v>
      </c>
      <c r="B423" s="325" t="s">
        <v>975</v>
      </c>
      <c r="C423" s="325" t="s">
        <v>787</v>
      </c>
      <c r="D423" s="325" t="s">
        <v>283</v>
      </c>
      <c r="E423" s="325" t="s">
        <v>265</v>
      </c>
      <c r="F423" s="325" t="s">
        <v>53</v>
      </c>
    </row>
    <row r="424" spans="1:6" x14ac:dyDescent="0.2">
      <c r="A424" s="325" t="s">
        <v>765</v>
      </c>
      <c r="B424" s="325" t="s">
        <v>976</v>
      </c>
      <c r="C424" s="325" t="s">
        <v>787</v>
      </c>
      <c r="D424" s="325" t="s">
        <v>542</v>
      </c>
      <c r="E424" s="325" t="s">
        <v>265</v>
      </c>
      <c r="F424" s="325" t="s">
        <v>372</v>
      </c>
    </row>
    <row r="425" spans="1:6" x14ac:dyDescent="0.2">
      <c r="A425" s="325" t="s">
        <v>765</v>
      </c>
      <c r="B425" s="325" t="s">
        <v>977</v>
      </c>
      <c r="C425" s="325" t="s">
        <v>787</v>
      </c>
      <c r="D425" s="325" t="s">
        <v>576</v>
      </c>
      <c r="E425" s="325" t="s">
        <v>265</v>
      </c>
      <c r="F425" s="325" t="s">
        <v>333</v>
      </c>
    </row>
    <row r="426" spans="1:6" x14ac:dyDescent="0.2">
      <c r="A426" s="325" t="s">
        <v>765</v>
      </c>
      <c r="B426" s="325" t="s">
        <v>793</v>
      </c>
      <c r="C426" s="325" t="s">
        <v>412</v>
      </c>
      <c r="D426" s="325" t="s">
        <v>654</v>
      </c>
      <c r="E426" s="325" t="s">
        <v>265</v>
      </c>
      <c r="F426" s="325" t="s">
        <v>998</v>
      </c>
    </row>
    <row r="427" spans="1:6" x14ac:dyDescent="0.2">
      <c r="A427" s="325" t="s">
        <v>765</v>
      </c>
      <c r="B427" s="325" t="s">
        <v>794</v>
      </c>
      <c r="C427" s="325" t="s">
        <v>412</v>
      </c>
      <c r="D427" s="325" t="s">
        <v>510</v>
      </c>
      <c r="E427" s="325" t="s">
        <v>265</v>
      </c>
      <c r="F427" s="325" t="s">
        <v>999</v>
      </c>
    </row>
    <row r="428" spans="1:6" x14ac:dyDescent="0.2">
      <c r="A428" s="325" t="s">
        <v>765</v>
      </c>
      <c r="B428" s="325" t="s">
        <v>795</v>
      </c>
      <c r="C428" s="325" t="s">
        <v>412</v>
      </c>
      <c r="D428" s="325" t="s">
        <v>400</v>
      </c>
      <c r="E428" s="325" t="s">
        <v>265</v>
      </c>
      <c r="F428" s="325" t="s">
        <v>1001</v>
      </c>
    </row>
    <row r="429" spans="1:6" x14ac:dyDescent="0.2">
      <c r="A429" s="325" t="s">
        <v>765</v>
      </c>
      <c r="B429" s="325" t="s">
        <v>796</v>
      </c>
      <c r="C429" s="325" t="s">
        <v>412</v>
      </c>
      <c r="D429" s="325" t="s">
        <v>302</v>
      </c>
      <c r="E429" s="325" t="s">
        <v>265</v>
      </c>
      <c r="F429" s="325" t="s">
        <v>1000</v>
      </c>
    </row>
    <row r="430" spans="1:6" x14ac:dyDescent="0.2">
      <c r="A430" s="325" t="s">
        <v>765</v>
      </c>
      <c r="B430" s="325" t="s">
        <v>797</v>
      </c>
      <c r="C430" s="325" t="s">
        <v>412</v>
      </c>
      <c r="D430" s="325" t="s">
        <v>28</v>
      </c>
      <c r="E430" s="325" t="s">
        <v>442</v>
      </c>
      <c r="F430" s="325" t="s">
        <v>1008</v>
      </c>
    </row>
    <row r="431" spans="1:6" x14ac:dyDescent="0.2">
      <c r="A431" s="325" t="s">
        <v>765</v>
      </c>
      <c r="B431" s="325" t="s">
        <v>798</v>
      </c>
      <c r="C431" s="325" t="s">
        <v>412</v>
      </c>
      <c r="D431" s="325" t="s">
        <v>67</v>
      </c>
      <c r="E431" s="325" t="s">
        <v>556</v>
      </c>
      <c r="F431" s="325" t="s">
        <v>1009</v>
      </c>
    </row>
    <row r="432" spans="1:6" x14ac:dyDescent="0.2">
      <c r="A432" s="325" t="s">
        <v>765</v>
      </c>
      <c r="B432" s="325" t="s">
        <v>799</v>
      </c>
      <c r="C432" s="325" t="s">
        <v>412</v>
      </c>
      <c r="D432" s="325" t="s">
        <v>168</v>
      </c>
      <c r="E432" s="325" t="s">
        <v>265</v>
      </c>
      <c r="F432" s="325" t="s">
        <v>145</v>
      </c>
    </row>
    <row r="433" spans="1:6" x14ac:dyDescent="0.2">
      <c r="A433" s="325" t="s">
        <v>765</v>
      </c>
      <c r="B433" s="325" t="s">
        <v>800</v>
      </c>
      <c r="C433" s="325" t="s">
        <v>412</v>
      </c>
      <c r="D433" s="325" t="s">
        <v>310</v>
      </c>
      <c r="E433" s="325" t="s">
        <v>265</v>
      </c>
      <c r="F433" s="325" t="s">
        <v>350</v>
      </c>
    </row>
    <row r="434" spans="1:6" x14ac:dyDescent="0.2">
      <c r="A434" s="325" t="s">
        <v>765</v>
      </c>
      <c r="B434" s="325" t="s">
        <v>801</v>
      </c>
      <c r="C434" s="325" t="s">
        <v>412</v>
      </c>
      <c r="D434" s="325" t="s">
        <v>87</v>
      </c>
      <c r="E434" s="325" t="s">
        <v>265</v>
      </c>
      <c r="F434" s="325" t="s">
        <v>79</v>
      </c>
    </row>
    <row r="435" spans="1:6" x14ac:dyDescent="0.2">
      <c r="A435" s="325" t="s">
        <v>765</v>
      </c>
      <c r="B435" s="325" t="s">
        <v>802</v>
      </c>
      <c r="C435" s="325" t="s">
        <v>412</v>
      </c>
      <c r="D435" s="325" t="s">
        <v>228</v>
      </c>
      <c r="E435" s="325" t="s">
        <v>265</v>
      </c>
      <c r="F435" s="325" t="s">
        <v>331</v>
      </c>
    </row>
    <row r="436" spans="1:6" x14ac:dyDescent="0.2">
      <c r="A436" s="325" t="s">
        <v>765</v>
      </c>
      <c r="B436" s="325" t="s">
        <v>803</v>
      </c>
      <c r="C436" s="325" t="s">
        <v>412</v>
      </c>
      <c r="D436" s="325" t="s">
        <v>144</v>
      </c>
      <c r="E436" s="325" t="s">
        <v>265</v>
      </c>
      <c r="F436" s="325" t="s">
        <v>340</v>
      </c>
    </row>
    <row r="437" spans="1:6" x14ac:dyDescent="0.2">
      <c r="A437" s="325" t="s">
        <v>765</v>
      </c>
      <c r="B437" s="325" t="s">
        <v>804</v>
      </c>
      <c r="C437" s="325" t="s">
        <v>412</v>
      </c>
      <c r="D437" s="325" t="s">
        <v>429</v>
      </c>
      <c r="E437" s="325" t="s">
        <v>265</v>
      </c>
      <c r="F437" s="325" t="s">
        <v>263</v>
      </c>
    </row>
    <row r="438" spans="1:6" x14ac:dyDescent="0.2">
      <c r="A438" s="325" t="s">
        <v>765</v>
      </c>
      <c r="B438" s="325" t="s">
        <v>805</v>
      </c>
      <c r="C438" s="325" t="s">
        <v>412</v>
      </c>
      <c r="D438" s="325" t="s">
        <v>182</v>
      </c>
      <c r="E438" s="325" t="s">
        <v>265</v>
      </c>
      <c r="F438" s="325" t="s">
        <v>223</v>
      </c>
    </row>
    <row r="439" spans="1:6" x14ac:dyDescent="0.2">
      <c r="A439" s="325" t="s">
        <v>765</v>
      </c>
      <c r="B439" s="325" t="s">
        <v>806</v>
      </c>
      <c r="C439" s="325" t="s">
        <v>412</v>
      </c>
      <c r="D439" s="325" t="s">
        <v>298</v>
      </c>
      <c r="E439" s="325" t="s">
        <v>265</v>
      </c>
      <c r="F439" s="325" t="s">
        <v>423</v>
      </c>
    </row>
    <row r="440" spans="1:6" x14ac:dyDescent="0.2">
      <c r="A440" s="325" t="s">
        <v>765</v>
      </c>
      <c r="B440" s="325" t="s">
        <v>807</v>
      </c>
      <c r="C440" s="325" t="s">
        <v>412</v>
      </c>
      <c r="D440" s="325" t="s">
        <v>571</v>
      </c>
      <c r="E440" s="325" t="s">
        <v>265</v>
      </c>
      <c r="F440" s="325" t="s">
        <v>258</v>
      </c>
    </row>
    <row r="441" spans="1:6" x14ac:dyDescent="0.2">
      <c r="A441" s="325" t="s">
        <v>765</v>
      </c>
      <c r="B441" s="325" t="s">
        <v>808</v>
      </c>
      <c r="C441" s="325" t="s">
        <v>412</v>
      </c>
      <c r="D441" s="325" t="s">
        <v>156</v>
      </c>
      <c r="E441" s="325" t="s">
        <v>265</v>
      </c>
      <c r="F441" s="325" t="s">
        <v>226</v>
      </c>
    </row>
    <row r="442" spans="1:6" x14ac:dyDescent="0.2">
      <c r="A442" s="325" t="s">
        <v>765</v>
      </c>
      <c r="B442" s="325" t="s">
        <v>809</v>
      </c>
      <c r="C442" s="325" t="s">
        <v>412</v>
      </c>
      <c r="D442" s="325" t="s">
        <v>299</v>
      </c>
      <c r="E442" s="325" t="s">
        <v>265</v>
      </c>
      <c r="F442" s="325" t="s">
        <v>3</v>
      </c>
    </row>
    <row r="443" spans="1:6" x14ac:dyDescent="0.2">
      <c r="A443" s="325" t="s">
        <v>765</v>
      </c>
      <c r="B443" s="325" t="s">
        <v>810</v>
      </c>
      <c r="C443" s="325" t="s">
        <v>412</v>
      </c>
      <c r="D443" s="325" t="s">
        <v>164</v>
      </c>
      <c r="E443" s="325" t="s">
        <v>265</v>
      </c>
      <c r="F443" s="325" t="s">
        <v>524</v>
      </c>
    </row>
    <row r="444" spans="1:6" x14ac:dyDescent="0.2">
      <c r="A444" s="325" t="s">
        <v>765</v>
      </c>
      <c r="B444" s="325" t="s">
        <v>811</v>
      </c>
      <c r="C444" s="325" t="s">
        <v>412</v>
      </c>
      <c r="D444" s="325" t="s">
        <v>403</v>
      </c>
      <c r="E444" s="325" t="s">
        <v>265</v>
      </c>
      <c r="F444" s="325" t="s">
        <v>195</v>
      </c>
    </row>
    <row r="445" spans="1:6" x14ac:dyDescent="0.2">
      <c r="A445" s="325" t="s">
        <v>765</v>
      </c>
      <c r="B445" s="325" t="s">
        <v>812</v>
      </c>
      <c r="C445" s="325" t="s">
        <v>412</v>
      </c>
      <c r="D445" s="325" t="s">
        <v>367</v>
      </c>
      <c r="E445" s="325" t="s">
        <v>265</v>
      </c>
      <c r="F445" s="325" t="s">
        <v>461</v>
      </c>
    </row>
    <row r="446" spans="1:6" x14ac:dyDescent="0.2">
      <c r="A446" s="325" t="s">
        <v>765</v>
      </c>
      <c r="B446" s="325" t="s">
        <v>813</v>
      </c>
      <c r="C446" s="325" t="s">
        <v>412</v>
      </c>
      <c r="D446" s="325" t="s">
        <v>105</v>
      </c>
      <c r="E446" s="325" t="s">
        <v>265</v>
      </c>
      <c r="F446" s="325" t="s">
        <v>393</v>
      </c>
    </row>
    <row r="447" spans="1:6" x14ac:dyDescent="0.2">
      <c r="A447" s="325" t="s">
        <v>765</v>
      </c>
      <c r="B447" s="325" t="s">
        <v>814</v>
      </c>
      <c r="C447" s="325" t="s">
        <v>412</v>
      </c>
      <c r="D447" s="325" t="s">
        <v>520</v>
      </c>
      <c r="E447" s="325" t="s">
        <v>265</v>
      </c>
      <c r="F447" s="325" t="s">
        <v>277</v>
      </c>
    </row>
    <row r="448" spans="1:6" x14ac:dyDescent="0.2">
      <c r="A448" s="325" t="s">
        <v>765</v>
      </c>
      <c r="B448" s="325" t="s">
        <v>815</v>
      </c>
      <c r="C448" s="325" t="s">
        <v>412</v>
      </c>
      <c r="D448" s="325" t="s">
        <v>469</v>
      </c>
      <c r="E448" s="325" t="s">
        <v>265</v>
      </c>
      <c r="F448" s="325" t="s">
        <v>452</v>
      </c>
    </row>
    <row r="449" spans="1:6" x14ac:dyDescent="0.2">
      <c r="A449" s="325" t="s">
        <v>765</v>
      </c>
      <c r="B449" s="325" t="s">
        <v>816</v>
      </c>
      <c r="C449" s="325" t="s">
        <v>412</v>
      </c>
      <c r="D449" s="325" t="s">
        <v>432</v>
      </c>
      <c r="E449" s="325" t="s">
        <v>265</v>
      </c>
      <c r="F449" s="325" t="s">
        <v>489</v>
      </c>
    </row>
    <row r="450" spans="1:6" x14ac:dyDescent="0.2">
      <c r="A450" s="325" t="s">
        <v>765</v>
      </c>
      <c r="B450" s="325" t="s">
        <v>817</v>
      </c>
      <c r="C450" s="325" t="s">
        <v>412</v>
      </c>
      <c r="D450" s="325" t="s">
        <v>75</v>
      </c>
      <c r="E450" s="325" t="s">
        <v>265</v>
      </c>
      <c r="F450" s="325" t="s">
        <v>288</v>
      </c>
    </row>
    <row r="451" spans="1:6" x14ac:dyDescent="0.2">
      <c r="A451" s="325" t="s">
        <v>765</v>
      </c>
      <c r="B451" s="325" t="s">
        <v>818</v>
      </c>
      <c r="C451" s="325" t="s">
        <v>412</v>
      </c>
      <c r="D451" s="325" t="s">
        <v>666</v>
      </c>
      <c r="E451" s="325" t="s">
        <v>556</v>
      </c>
      <c r="F451" s="325" t="s">
        <v>665</v>
      </c>
    </row>
    <row r="452" spans="1:6" x14ac:dyDescent="0.2">
      <c r="A452" s="325" t="s">
        <v>765</v>
      </c>
      <c r="B452" s="325" t="s">
        <v>819</v>
      </c>
      <c r="C452" s="325" t="s">
        <v>412</v>
      </c>
      <c r="D452" s="325" t="s">
        <v>111</v>
      </c>
      <c r="E452" s="325" t="s">
        <v>265</v>
      </c>
      <c r="F452" s="325" t="s">
        <v>261</v>
      </c>
    </row>
    <row r="453" spans="1:6" x14ac:dyDescent="0.2">
      <c r="A453" s="325" t="s">
        <v>765</v>
      </c>
      <c r="B453" s="325" t="s">
        <v>820</v>
      </c>
      <c r="C453" s="325" t="s">
        <v>412</v>
      </c>
      <c r="D453" s="325" t="s">
        <v>289</v>
      </c>
      <c r="E453" s="325" t="s">
        <v>265</v>
      </c>
      <c r="F453" s="325" t="s">
        <v>674</v>
      </c>
    </row>
    <row r="454" spans="1:6" x14ac:dyDescent="0.2">
      <c r="A454" s="325" t="s">
        <v>765</v>
      </c>
      <c r="B454" s="325" t="s">
        <v>821</v>
      </c>
      <c r="C454" s="325" t="s">
        <v>412</v>
      </c>
      <c r="D454" s="325" t="s">
        <v>308</v>
      </c>
      <c r="E454" s="325" t="s">
        <v>265</v>
      </c>
      <c r="F454" s="325" t="s">
        <v>675</v>
      </c>
    </row>
    <row r="455" spans="1:6" x14ac:dyDescent="0.2">
      <c r="A455" s="325" t="s">
        <v>765</v>
      </c>
      <c r="B455" s="325" t="s">
        <v>822</v>
      </c>
      <c r="C455" s="325" t="s">
        <v>412</v>
      </c>
      <c r="D455" s="325" t="s">
        <v>411</v>
      </c>
      <c r="E455" s="325" t="s">
        <v>265</v>
      </c>
      <c r="F455" s="325" t="s">
        <v>115</v>
      </c>
    </row>
    <row r="456" spans="1:6" x14ac:dyDescent="0.2">
      <c r="A456" s="325" t="s">
        <v>765</v>
      </c>
      <c r="B456" s="325" t="s">
        <v>823</v>
      </c>
      <c r="C456" s="325" t="s">
        <v>412</v>
      </c>
      <c r="D456" s="325" t="s">
        <v>425</v>
      </c>
      <c r="E456" s="325" t="s">
        <v>265</v>
      </c>
      <c r="F456" s="325" t="s">
        <v>364</v>
      </c>
    </row>
    <row r="457" spans="1:6" x14ac:dyDescent="0.2">
      <c r="A457" s="325" t="s">
        <v>765</v>
      </c>
      <c r="B457" s="325" t="s">
        <v>824</v>
      </c>
      <c r="C457" s="325" t="s">
        <v>412</v>
      </c>
      <c r="D457" s="325" t="s">
        <v>431</v>
      </c>
      <c r="E457" s="325" t="s">
        <v>265</v>
      </c>
      <c r="F457" s="325" t="s">
        <v>464</v>
      </c>
    </row>
    <row r="458" spans="1:6" x14ac:dyDescent="0.2">
      <c r="A458" s="325" t="s">
        <v>765</v>
      </c>
      <c r="B458" s="325" t="s">
        <v>825</v>
      </c>
      <c r="C458" s="325" t="s">
        <v>412</v>
      </c>
      <c r="D458" s="325" t="s">
        <v>696</v>
      </c>
      <c r="E458" s="325" t="s">
        <v>265</v>
      </c>
      <c r="F458" s="325" t="s">
        <v>1010</v>
      </c>
    </row>
    <row r="459" spans="1:6" x14ac:dyDescent="0.2">
      <c r="A459" s="325" t="s">
        <v>765</v>
      </c>
      <c r="B459" s="325" t="s">
        <v>826</v>
      </c>
      <c r="C459" s="325" t="s">
        <v>412</v>
      </c>
      <c r="D459" s="325" t="s">
        <v>15</v>
      </c>
      <c r="E459" s="325" t="s">
        <v>265</v>
      </c>
      <c r="F459" s="325" t="s">
        <v>446</v>
      </c>
    </row>
    <row r="460" spans="1:6" x14ac:dyDescent="0.2">
      <c r="A460" s="325" t="s">
        <v>765</v>
      </c>
      <c r="B460" s="325" t="s">
        <v>827</v>
      </c>
      <c r="C460" s="325" t="s">
        <v>412</v>
      </c>
      <c r="D460" s="325" t="s">
        <v>551</v>
      </c>
      <c r="E460" s="325" t="s">
        <v>265</v>
      </c>
      <c r="F460" s="325" t="s">
        <v>10</v>
      </c>
    </row>
    <row r="461" spans="1:6" x14ac:dyDescent="0.2">
      <c r="A461" s="325" t="s">
        <v>765</v>
      </c>
      <c r="B461" s="325" t="s">
        <v>828</v>
      </c>
      <c r="C461" s="325" t="s">
        <v>412</v>
      </c>
      <c r="D461" s="325" t="s">
        <v>9</v>
      </c>
      <c r="E461" s="325" t="s">
        <v>265</v>
      </c>
      <c r="F461" s="325" t="s">
        <v>189</v>
      </c>
    </row>
    <row r="462" spans="1:6" x14ac:dyDescent="0.2">
      <c r="A462" s="325" t="s">
        <v>765</v>
      </c>
      <c r="B462" s="325" t="s">
        <v>829</v>
      </c>
      <c r="C462" s="325" t="s">
        <v>412</v>
      </c>
      <c r="D462" s="325" t="s">
        <v>566</v>
      </c>
      <c r="E462" s="325" t="s">
        <v>265</v>
      </c>
      <c r="F462" s="325" t="s">
        <v>135</v>
      </c>
    </row>
    <row r="463" spans="1:6" x14ac:dyDescent="0.2">
      <c r="A463" s="325" t="s">
        <v>765</v>
      </c>
      <c r="B463" s="325" t="s">
        <v>830</v>
      </c>
      <c r="C463" s="325" t="s">
        <v>412</v>
      </c>
      <c r="D463" s="325" t="s">
        <v>270</v>
      </c>
      <c r="E463" s="325" t="s">
        <v>442</v>
      </c>
      <c r="F463" s="325" t="s">
        <v>128</v>
      </c>
    </row>
    <row r="464" spans="1:6" x14ac:dyDescent="0.2">
      <c r="A464" s="325" t="s">
        <v>765</v>
      </c>
      <c r="B464" s="325" t="s">
        <v>831</v>
      </c>
      <c r="C464" s="325" t="s">
        <v>412</v>
      </c>
      <c r="D464" s="325" t="s">
        <v>383</v>
      </c>
      <c r="E464" s="325" t="s">
        <v>442</v>
      </c>
      <c r="F464" s="325" t="s">
        <v>496</v>
      </c>
    </row>
    <row r="465" spans="1:6" x14ac:dyDescent="0.2">
      <c r="A465" s="325" t="s">
        <v>765</v>
      </c>
      <c r="B465" s="325" t="s">
        <v>832</v>
      </c>
      <c r="C465" s="325" t="s">
        <v>412</v>
      </c>
      <c r="D465" s="325" t="s">
        <v>348</v>
      </c>
      <c r="E465" s="325" t="s">
        <v>265</v>
      </c>
      <c r="F465" s="325" t="s">
        <v>293</v>
      </c>
    </row>
    <row r="466" spans="1:6" x14ac:dyDescent="0.2">
      <c r="A466" s="325" t="s">
        <v>765</v>
      </c>
      <c r="B466" s="325" t="s">
        <v>833</v>
      </c>
      <c r="C466" s="325" t="s">
        <v>412</v>
      </c>
      <c r="D466" s="325" t="s">
        <v>244</v>
      </c>
      <c r="E466" s="325" t="s">
        <v>265</v>
      </c>
      <c r="F466" s="325" t="s">
        <v>543</v>
      </c>
    </row>
    <row r="467" spans="1:6" x14ac:dyDescent="0.2">
      <c r="A467" s="325" t="s">
        <v>765</v>
      </c>
      <c r="B467" s="325" t="s">
        <v>834</v>
      </c>
      <c r="C467" s="325" t="s">
        <v>412</v>
      </c>
      <c r="D467" s="325" t="s">
        <v>488</v>
      </c>
      <c r="E467" s="325" t="s">
        <v>265</v>
      </c>
      <c r="F467" s="325" t="s">
        <v>545</v>
      </c>
    </row>
    <row r="468" spans="1:6" x14ac:dyDescent="0.2">
      <c r="A468" s="325" t="s">
        <v>765</v>
      </c>
      <c r="B468" s="325" t="s">
        <v>835</v>
      </c>
      <c r="C468" s="325" t="s">
        <v>412</v>
      </c>
      <c r="D468" s="325" t="s">
        <v>397</v>
      </c>
      <c r="E468" s="325" t="s">
        <v>265</v>
      </c>
      <c r="F468" s="325" t="s">
        <v>88</v>
      </c>
    </row>
    <row r="469" spans="1:6" x14ac:dyDescent="0.2">
      <c r="A469" s="325" t="s">
        <v>765</v>
      </c>
      <c r="B469" s="325" t="s">
        <v>836</v>
      </c>
      <c r="C469" s="325" t="s">
        <v>412</v>
      </c>
      <c r="D469" s="325" t="s">
        <v>440</v>
      </c>
      <c r="E469" s="325" t="s">
        <v>265</v>
      </c>
      <c r="F469" s="325" t="s">
        <v>368</v>
      </c>
    </row>
    <row r="470" spans="1:6" x14ac:dyDescent="0.2">
      <c r="A470" s="325" t="s">
        <v>765</v>
      </c>
      <c r="B470" s="325" t="s">
        <v>837</v>
      </c>
      <c r="C470" s="325" t="s">
        <v>412</v>
      </c>
      <c r="D470" s="325" t="s">
        <v>445</v>
      </c>
      <c r="E470" s="325" t="s">
        <v>265</v>
      </c>
      <c r="F470" s="325" t="s">
        <v>238</v>
      </c>
    </row>
    <row r="471" spans="1:6" x14ac:dyDescent="0.2">
      <c r="A471" s="325" t="s">
        <v>765</v>
      </c>
      <c r="B471" s="325" t="s">
        <v>838</v>
      </c>
      <c r="C471" s="325" t="s">
        <v>412</v>
      </c>
      <c r="D471" s="325" t="s">
        <v>119</v>
      </c>
      <c r="E471" s="325" t="s">
        <v>265</v>
      </c>
      <c r="F471" s="325" t="s">
        <v>557</v>
      </c>
    </row>
    <row r="472" spans="1:6" x14ac:dyDescent="0.2">
      <c r="A472" s="325" t="s">
        <v>765</v>
      </c>
      <c r="B472" s="325" t="s">
        <v>839</v>
      </c>
      <c r="C472" s="325" t="s">
        <v>412</v>
      </c>
      <c r="D472" s="325" t="s">
        <v>580</v>
      </c>
      <c r="E472" s="325" t="s">
        <v>265</v>
      </c>
      <c r="F472" s="325" t="s">
        <v>120</v>
      </c>
    </row>
    <row r="473" spans="1:6" x14ac:dyDescent="0.2">
      <c r="A473" s="325" t="s">
        <v>765</v>
      </c>
      <c r="B473" s="325" t="s">
        <v>840</v>
      </c>
      <c r="C473" s="325" t="s">
        <v>412</v>
      </c>
      <c r="D473" s="325" t="s">
        <v>64</v>
      </c>
      <c r="E473" s="325" t="s">
        <v>265</v>
      </c>
      <c r="F473" s="325" t="s">
        <v>197</v>
      </c>
    </row>
    <row r="474" spans="1:6" x14ac:dyDescent="0.2">
      <c r="A474" s="325" t="s">
        <v>765</v>
      </c>
      <c r="B474" s="325" t="s">
        <v>841</v>
      </c>
      <c r="C474" s="325" t="s">
        <v>412</v>
      </c>
      <c r="D474" s="325" t="s">
        <v>471</v>
      </c>
      <c r="E474" s="325" t="s">
        <v>265</v>
      </c>
      <c r="F474" s="325" t="s">
        <v>466</v>
      </c>
    </row>
    <row r="475" spans="1:6" x14ac:dyDescent="0.2">
      <c r="A475" s="325" t="s">
        <v>765</v>
      </c>
      <c r="B475" s="325" t="s">
        <v>842</v>
      </c>
      <c r="C475" s="325" t="s">
        <v>412</v>
      </c>
      <c r="D475" s="325" t="s">
        <v>539</v>
      </c>
      <c r="E475" s="325" t="s">
        <v>265</v>
      </c>
      <c r="F475" s="325" t="s">
        <v>394</v>
      </c>
    </row>
    <row r="476" spans="1:6" x14ac:dyDescent="0.2">
      <c r="A476" s="325" t="s">
        <v>765</v>
      </c>
      <c r="B476" s="325" t="s">
        <v>843</v>
      </c>
      <c r="C476" s="325" t="s">
        <v>412</v>
      </c>
      <c r="D476" s="325" t="s">
        <v>318</v>
      </c>
      <c r="E476" s="325" t="s">
        <v>265</v>
      </c>
      <c r="F476" s="325" t="s">
        <v>478</v>
      </c>
    </row>
    <row r="477" spans="1:6" x14ac:dyDescent="0.2">
      <c r="A477" s="325" t="s">
        <v>765</v>
      </c>
      <c r="B477" s="325" t="s">
        <v>844</v>
      </c>
      <c r="C477" s="325" t="s">
        <v>412</v>
      </c>
      <c r="D477" s="325" t="s">
        <v>257</v>
      </c>
      <c r="E477" s="325" t="s">
        <v>265</v>
      </c>
      <c r="F477" s="325" t="s">
        <v>338</v>
      </c>
    </row>
    <row r="478" spans="1:6" x14ac:dyDescent="0.2">
      <c r="A478" s="325" t="s">
        <v>765</v>
      </c>
      <c r="B478" s="325" t="s">
        <v>845</v>
      </c>
      <c r="C478" s="325" t="s">
        <v>412</v>
      </c>
      <c r="D478" s="325" t="s">
        <v>751</v>
      </c>
      <c r="E478" s="325" t="s">
        <v>265</v>
      </c>
      <c r="F478" s="325" t="s">
        <v>753</v>
      </c>
    </row>
    <row r="479" spans="1:6" x14ac:dyDescent="0.2">
      <c r="A479" s="325" t="s">
        <v>765</v>
      </c>
      <c r="B479" s="325" t="s">
        <v>846</v>
      </c>
      <c r="C479" s="325" t="s">
        <v>412</v>
      </c>
      <c r="D479" s="325" t="s">
        <v>55</v>
      </c>
      <c r="E479" s="325" t="s">
        <v>265</v>
      </c>
      <c r="F479" s="325" t="s">
        <v>305</v>
      </c>
    </row>
    <row r="480" spans="1:6" x14ac:dyDescent="0.2">
      <c r="A480" s="325" t="s">
        <v>765</v>
      </c>
      <c r="B480" s="325" t="s">
        <v>847</v>
      </c>
      <c r="C480" s="325" t="s">
        <v>412</v>
      </c>
      <c r="D480" s="325" t="s">
        <v>522</v>
      </c>
      <c r="E480" s="325" t="s">
        <v>265</v>
      </c>
      <c r="F480" s="325" t="s">
        <v>602</v>
      </c>
    </row>
    <row r="481" spans="1:6" x14ac:dyDescent="0.2">
      <c r="A481" s="325" t="s">
        <v>765</v>
      </c>
      <c r="B481" s="325" t="s">
        <v>848</v>
      </c>
      <c r="C481" s="325" t="s">
        <v>412</v>
      </c>
      <c r="D481" s="325" t="s">
        <v>370</v>
      </c>
      <c r="E481" s="325" t="s">
        <v>265</v>
      </c>
      <c r="F481" s="325" t="s">
        <v>484</v>
      </c>
    </row>
    <row r="482" spans="1:6" x14ac:dyDescent="0.2">
      <c r="A482" s="325" t="s">
        <v>765</v>
      </c>
      <c r="B482" s="325" t="s">
        <v>849</v>
      </c>
      <c r="C482" s="325" t="s">
        <v>412</v>
      </c>
      <c r="D482" s="325" t="s">
        <v>752</v>
      </c>
      <c r="E482" s="325" t="s">
        <v>265</v>
      </c>
      <c r="F482" s="325" t="s">
        <v>754</v>
      </c>
    </row>
    <row r="483" spans="1:6" x14ac:dyDescent="0.2">
      <c r="A483" s="325" t="s">
        <v>765</v>
      </c>
      <c r="B483" s="325" t="s">
        <v>850</v>
      </c>
      <c r="C483" s="325" t="s">
        <v>412</v>
      </c>
      <c r="D483" s="325" t="s">
        <v>585</v>
      </c>
      <c r="E483" s="325" t="s">
        <v>265</v>
      </c>
      <c r="F483" s="325" t="s">
        <v>564</v>
      </c>
    </row>
    <row r="484" spans="1:6" x14ac:dyDescent="0.2">
      <c r="A484" s="325" t="s">
        <v>765</v>
      </c>
      <c r="B484" s="325" t="s">
        <v>851</v>
      </c>
      <c r="C484" s="325" t="s">
        <v>412</v>
      </c>
      <c r="D484" s="325" t="s">
        <v>603</v>
      </c>
      <c r="E484" s="325" t="s">
        <v>265</v>
      </c>
      <c r="F484" s="325" t="s">
        <v>703</v>
      </c>
    </row>
    <row r="485" spans="1:6" x14ac:dyDescent="0.2">
      <c r="A485" s="325" t="s">
        <v>765</v>
      </c>
      <c r="B485" s="325" t="s">
        <v>852</v>
      </c>
      <c r="C485" s="325" t="s">
        <v>412</v>
      </c>
      <c r="D485" s="325" t="s">
        <v>604</v>
      </c>
      <c r="E485" s="325" t="s">
        <v>265</v>
      </c>
      <c r="F485" s="325" t="s">
        <v>702</v>
      </c>
    </row>
    <row r="486" spans="1:6" x14ac:dyDescent="0.2">
      <c r="A486" s="325" t="s">
        <v>765</v>
      </c>
      <c r="B486" s="325" t="s">
        <v>853</v>
      </c>
      <c r="C486" s="325" t="s">
        <v>412</v>
      </c>
      <c r="D486" s="325" t="s">
        <v>565</v>
      </c>
      <c r="E486" s="325" t="s">
        <v>265</v>
      </c>
      <c r="F486" s="325" t="s">
        <v>306</v>
      </c>
    </row>
    <row r="487" spans="1:6" x14ac:dyDescent="0.2">
      <c r="A487" s="325" t="s">
        <v>765</v>
      </c>
      <c r="B487" s="325" t="s">
        <v>854</v>
      </c>
      <c r="C487" s="325" t="s">
        <v>412</v>
      </c>
      <c r="D487" s="325" t="s">
        <v>354</v>
      </c>
      <c r="E487" s="325" t="s">
        <v>265</v>
      </c>
      <c r="F487" s="325" t="s">
        <v>390</v>
      </c>
    </row>
    <row r="488" spans="1:6" x14ac:dyDescent="0.2">
      <c r="A488" s="325" t="s">
        <v>765</v>
      </c>
      <c r="B488" s="325" t="s">
        <v>855</v>
      </c>
      <c r="C488" s="325" t="s">
        <v>412</v>
      </c>
      <c r="D488" s="325" t="s">
        <v>93</v>
      </c>
      <c r="E488" s="325" t="s">
        <v>265</v>
      </c>
      <c r="F488" s="325" t="s">
        <v>170</v>
      </c>
    </row>
    <row r="489" spans="1:6" x14ac:dyDescent="0.2">
      <c r="A489" s="325" t="s">
        <v>765</v>
      </c>
      <c r="B489" s="325" t="s">
        <v>856</v>
      </c>
      <c r="C489" s="325" t="s">
        <v>412</v>
      </c>
      <c r="D489" s="325" t="s">
        <v>198</v>
      </c>
      <c r="E489" s="325" t="s">
        <v>265</v>
      </c>
      <c r="F489" s="325" t="s">
        <v>139</v>
      </c>
    </row>
    <row r="490" spans="1:6" x14ac:dyDescent="0.2">
      <c r="A490" s="325" t="s">
        <v>765</v>
      </c>
      <c r="B490" s="325" t="s">
        <v>857</v>
      </c>
      <c r="C490" s="325" t="s">
        <v>412</v>
      </c>
      <c r="D490" s="325" t="s">
        <v>412</v>
      </c>
      <c r="E490" s="325" t="s">
        <v>265</v>
      </c>
      <c r="F490" s="325" t="s">
        <v>27</v>
      </c>
    </row>
    <row r="491" spans="1:6" x14ac:dyDescent="0.2">
      <c r="A491" s="325" t="s">
        <v>765</v>
      </c>
      <c r="B491" s="325" t="s">
        <v>858</v>
      </c>
      <c r="C491" s="325" t="s">
        <v>412</v>
      </c>
      <c r="D491" s="325" t="s">
        <v>152</v>
      </c>
      <c r="E491" s="325" t="s">
        <v>265</v>
      </c>
      <c r="F491" s="325" t="s">
        <v>555</v>
      </c>
    </row>
    <row r="492" spans="1:6" x14ac:dyDescent="0.2">
      <c r="A492" s="325" t="s">
        <v>765</v>
      </c>
      <c r="B492" s="325" t="s">
        <v>859</v>
      </c>
      <c r="C492" s="325" t="s">
        <v>412</v>
      </c>
      <c r="D492" s="325" t="s">
        <v>547</v>
      </c>
      <c r="E492" s="325" t="s">
        <v>265</v>
      </c>
      <c r="F492" s="325" t="s">
        <v>374</v>
      </c>
    </row>
    <row r="493" spans="1:6" x14ac:dyDescent="0.2">
      <c r="A493" s="325" t="s">
        <v>765</v>
      </c>
      <c r="B493" s="325" t="s">
        <v>860</v>
      </c>
      <c r="C493" s="325" t="s">
        <v>412</v>
      </c>
      <c r="D493" s="325" t="s">
        <v>490</v>
      </c>
      <c r="E493" s="325" t="s">
        <v>265</v>
      </c>
      <c r="F493" s="325" t="s">
        <v>177</v>
      </c>
    </row>
    <row r="494" spans="1:6" x14ac:dyDescent="0.2">
      <c r="A494" s="325" t="s">
        <v>765</v>
      </c>
      <c r="B494" s="325" t="s">
        <v>861</v>
      </c>
      <c r="C494" s="325" t="s">
        <v>412</v>
      </c>
      <c r="D494" s="325" t="s">
        <v>209</v>
      </c>
      <c r="E494" s="325" t="s">
        <v>265</v>
      </c>
      <c r="F494" s="325" t="s">
        <v>41</v>
      </c>
    </row>
    <row r="495" spans="1:6" x14ac:dyDescent="0.2">
      <c r="A495" s="325" t="s">
        <v>765</v>
      </c>
      <c r="B495" s="325" t="s">
        <v>862</v>
      </c>
      <c r="C495" s="325" t="s">
        <v>412</v>
      </c>
      <c r="D495" s="325" t="s">
        <v>163</v>
      </c>
      <c r="E495" s="325" t="s">
        <v>265</v>
      </c>
      <c r="F495" s="325" t="s">
        <v>98</v>
      </c>
    </row>
    <row r="496" spans="1:6" x14ac:dyDescent="0.2">
      <c r="A496" s="325" t="s">
        <v>765</v>
      </c>
      <c r="B496" s="325" t="s">
        <v>863</v>
      </c>
      <c r="C496" s="325" t="s">
        <v>412</v>
      </c>
      <c r="D496" s="325" t="s">
        <v>200</v>
      </c>
      <c r="E496" s="325" t="s">
        <v>265</v>
      </c>
      <c r="F496" s="325" t="s">
        <v>230</v>
      </c>
    </row>
    <row r="497" spans="1:6" x14ac:dyDescent="0.2">
      <c r="A497" s="325" t="s">
        <v>765</v>
      </c>
      <c r="B497" s="325" t="s">
        <v>864</v>
      </c>
      <c r="C497" s="325" t="s">
        <v>412</v>
      </c>
      <c r="D497" s="325" t="s">
        <v>54</v>
      </c>
      <c r="E497" s="325" t="s">
        <v>265</v>
      </c>
      <c r="F497" s="325" t="s">
        <v>192</v>
      </c>
    </row>
    <row r="498" spans="1:6" x14ac:dyDescent="0.2">
      <c r="A498" s="325" t="s">
        <v>765</v>
      </c>
      <c r="B498" s="325" t="s">
        <v>865</v>
      </c>
      <c r="C498" s="325" t="s">
        <v>412</v>
      </c>
      <c r="D498" s="325" t="s">
        <v>133</v>
      </c>
      <c r="E498" s="325" t="s">
        <v>265</v>
      </c>
      <c r="F498" s="325" t="s">
        <v>349</v>
      </c>
    </row>
    <row r="499" spans="1:6" x14ac:dyDescent="0.2">
      <c r="A499" s="325" t="s">
        <v>765</v>
      </c>
      <c r="B499" s="325" t="s">
        <v>866</v>
      </c>
      <c r="C499" s="325" t="s">
        <v>412</v>
      </c>
      <c r="D499" s="325" t="s">
        <v>232</v>
      </c>
      <c r="E499" s="325" t="s">
        <v>265</v>
      </c>
      <c r="F499" s="325" t="s">
        <v>16</v>
      </c>
    </row>
    <row r="500" spans="1:6" x14ac:dyDescent="0.2">
      <c r="A500" s="325" t="s">
        <v>765</v>
      </c>
      <c r="B500" s="325" t="s">
        <v>867</v>
      </c>
      <c r="C500" s="325" t="s">
        <v>412</v>
      </c>
      <c r="D500" s="325" t="s">
        <v>56</v>
      </c>
      <c r="E500" s="325" t="s">
        <v>265</v>
      </c>
      <c r="F500" s="325" t="s">
        <v>199</v>
      </c>
    </row>
    <row r="501" spans="1:6" x14ac:dyDescent="0.2">
      <c r="A501" s="325" t="s">
        <v>765</v>
      </c>
      <c r="B501" s="325" t="s">
        <v>868</v>
      </c>
      <c r="C501" s="325" t="s">
        <v>412</v>
      </c>
      <c r="D501" s="325" t="s">
        <v>434</v>
      </c>
      <c r="E501" s="325" t="s">
        <v>265</v>
      </c>
      <c r="F501" s="325" t="s">
        <v>514</v>
      </c>
    </row>
    <row r="502" spans="1:6" x14ac:dyDescent="0.2">
      <c r="A502" s="325" t="s">
        <v>765</v>
      </c>
      <c r="B502" s="325" t="s">
        <v>869</v>
      </c>
      <c r="C502" s="325" t="s">
        <v>412</v>
      </c>
      <c r="D502" s="325" t="s">
        <v>108</v>
      </c>
      <c r="E502" s="325" t="s">
        <v>265</v>
      </c>
      <c r="F502" s="325" t="s">
        <v>362</v>
      </c>
    </row>
    <row r="503" spans="1:6" x14ac:dyDescent="0.2">
      <c r="A503" s="325" t="s">
        <v>765</v>
      </c>
      <c r="B503" s="325" t="s">
        <v>870</v>
      </c>
      <c r="C503" s="325" t="s">
        <v>412</v>
      </c>
      <c r="D503" s="325" t="s">
        <v>657</v>
      </c>
      <c r="E503" s="325" t="s">
        <v>265</v>
      </c>
      <c r="F503" s="325" t="s">
        <v>658</v>
      </c>
    </row>
    <row r="504" spans="1:6" x14ac:dyDescent="0.2">
      <c r="A504" s="325" t="s">
        <v>765</v>
      </c>
      <c r="B504" s="325" t="s">
        <v>871</v>
      </c>
      <c r="C504" s="325" t="s">
        <v>412</v>
      </c>
      <c r="D504" s="325" t="s">
        <v>659</v>
      </c>
      <c r="E504" s="325" t="s">
        <v>265</v>
      </c>
      <c r="F504" s="325" t="s">
        <v>660</v>
      </c>
    </row>
    <row r="505" spans="1:6" x14ac:dyDescent="0.2">
      <c r="A505" s="325" t="s">
        <v>765</v>
      </c>
      <c r="B505" s="325" t="s">
        <v>872</v>
      </c>
      <c r="C505" s="325" t="s">
        <v>412</v>
      </c>
      <c r="D505" s="325" t="s">
        <v>661</v>
      </c>
      <c r="E505" s="325" t="s">
        <v>265</v>
      </c>
      <c r="F505" s="325" t="s">
        <v>662</v>
      </c>
    </row>
    <row r="506" spans="1:6" x14ac:dyDescent="0.2">
      <c r="A506" s="325" t="s">
        <v>765</v>
      </c>
      <c r="B506" s="325" t="s">
        <v>873</v>
      </c>
      <c r="C506" s="325" t="s">
        <v>412</v>
      </c>
      <c r="D506" s="325" t="s">
        <v>648</v>
      </c>
      <c r="E506" s="325" t="s">
        <v>265</v>
      </c>
      <c r="F506" s="325" t="s">
        <v>651</v>
      </c>
    </row>
    <row r="507" spans="1:6" x14ac:dyDescent="0.2">
      <c r="A507" s="325" t="s">
        <v>765</v>
      </c>
      <c r="B507" s="325" t="s">
        <v>874</v>
      </c>
      <c r="C507" s="325" t="s">
        <v>412</v>
      </c>
      <c r="D507" s="325" t="s">
        <v>649</v>
      </c>
      <c r="E507" s="325" t="s">
        <v>265</v>
      </c>
      <c r="F507" s="325" t="s">
        <v>652</v>
      </c>
    </row>
    <row r="508" spans="1:6" x14ac:dyDescent="0.2">
      <c r="A508" s="325" t="s">
        <v>765</v>
      </c>
      <c r="B508" s="325" t="s">
        <v>875</v>
      </c>
      <c r="C508" s="325" t="s">
        <v>412</v>
      </c>
      <c r="D508" s="325" t="s">
        <v>650</v>
      </c>
      <c r="E508" s="325" t="s">
        <v>265</v>
      </c>
      <c r="F508" s="325" t="s">
        <v>653</v>
      </c>
    </row>
    <row r="509" spans="1:6" x14ac:dyDescent="0.2">
      <c r="A509" s="325" t="s">
        <v>765</v>
      </c>
      <c r="B509" s="325" t="s">
        <v>876</v>
      </c>
      <c r="C509" s="325" t="s">
        <v>412</v>
      </c>
      <c r="D509" s="325" t="s">
        <v>327</v>
      </c>
      <c r="E509" s="325" t="s">
        <v>265</v>
      </c>
      <c r="F509" s="325" t="s">
        <v>102</v>
      </c>
    </row>
    <row r="510" spans="1:6" x14ac:dyDescent="0.2">
      <c r="A510" s="325" t="s">
        <v>765</v>
      </c>
      <c r="B510" s="325" t="s">
        <v>877</v>
      </c>
      <c r="C510" s="325" t="s">
        <v>412</v>
      </c>
      <c r="D510" s="325" t="s">
        <v>356</v>
      </c>
      <c r="E510" s="325" t="s">
        <v>265</v>
      </c>
      <c r="F510" s="325" t="s">
        <v>1011</v>
      </c>
    </row>
    <row r="511" spans="1:6" x14ac:dyDescent="0.2">
      <c r="A511" s="325" t="s">
        <v>765</v>
      </c>
      <c r="B511" s="325" t="s">
        <v>878</v>
      </c>
      <c r="C511" s="325" t="s">
        <v>412</v>
      </c>
      <c r="D511" s="325" t="s">
        <v>513</v>
      </c>
      <c r="E511" s="325" t="s">
        <v>442</v>
      </c>
      <c r="F511" s="325" t="s">
        <v>264</v>
      </c>
    </row>
    <row r="512" spans="1:6" x14ac:dyDescent="0.2">
      <c r="A512" s="325" t="s">
        <v>765</v>
      </c>
      <c r="B512" s="325" t="s">
        <v>879</v>
      </c>
      <c r="C512" s="325" t="s">
        <v>412</v>
      </c>
      <c r="D512" s="325" t="s">
        <v>554</v>
      </c>
      <c r="E512" s="325" t="s">
        <v>442</v>
      </c>
      <c r="F512" s="325" t="s">
        <v>229</v>
      </c>
    </row>
    <row r="513" spans="1:6" x14ac:dyDescent="0.2">
      <c r="A513" s="325" t="s">
        <v>765</v>
      </c>
      <c r="B513" s="325" t="s">
        <v>880</v>
      </c>
      <c r="C513" s="325" t="s">
        <v>412</v>
      </c>
      <c r="D513" s="325" t="s">
        <v>409</v>
      </c>
      <c r="E513" s="325" t="s">
        <v>442</v>
      </c>
      <c r="F513" s="325" t="s">
        <v>336</v>
      </c>
    </row>
    <row r="514" spans="1:6" x14ac:dyDescent="0.2">
      <c r="A514" s="325" t="s">
        <v>765</v>
      </c>
      <c r="B514" s="325" t="s">
        <v>881</v>
      </c>
      <c r="C514" s="325" t="s">
        <v>412</v>
      </c>
      <c r="D514" s="325" t="s">
        <v>72</v>
      </c>
      <c r="E514" s="325" t="s">
        <v>265</v>
      </c>
      <c r="F514" s="325" t="s">
        <v>451</v>
      </c>
    </row>
    <row r="515" spans="1:6" x14ac:dyDescent="0.2">
      <c r="A515" s="325" t="s">
        <v>765</v>
      </c>
      <c r="B515" s="325" t="s">
        <v>882</v>
      </c>
      <c r="C515" s="325" t="s">
        <v>412</v>
      </c>
      <c r="D515" s="325" t="s">
        <v>35</v>
      </c>
      <c r="E515" s="325" t="s">
        <v>265</v>
      </c>
      <c r="F515" s="325" t="s">
        <v>414</v>
      </c>
    </row>
    <row r="516" spans="1:6" x14ac:dyDescent="0.2">
      <c r="A516" s="325" t="s">
        <v>765</v>
      </c>
      <c r="B516" s="325" t="s">
        <v>883</v>
      </c>
      <c r="C516" s="325" t="s">
        <v>412</v>
      </c>
      <c r="D516" s="325" t="s">
        <v>122</v>
      </c>
      <c r="E516" s="325" t="s">
        <v>442</v>
      </c>
      <c r="F516" s="325" t="s">
        <v>62</v>
      </c>
    </row>
    <row r="517" spans="1:6" x14ac:dyDescent="0.2">
      <c r="A517" s="325" t="s">
        <v>765</v>
      </c>
      <c r="B517" s="325" t="s">
        <v>884</v>
      </c>
      <c r="C517" s="325" t="s">
        <v>412</v>
      </c>
      <c r="D517" s="325" t="s">
        <v>137</v>
      </c>
      <c r="E517" s="325" t="s">
        <v>442</v>
      </c>
      <c r="F517" s="325" t="s">
        <v>148</v>
      </c>
    </row>
    <row r="518" spans="1:6" x14ac:dyDescent="0.2">
      <c r="A518" s="325" t="s">
        <v>765</v>
      </c>
      <c r="B518" s="325" t="s">
        <v>885</v>
      </c>
      <c r="C518" s="325" t="s">
        <v>412</v>
      </c>
      <c r="D518" s="325" t="s">
        <v>369</v>
      </c>
      <c r="E518" s="325" t="s">
        <v>265</v>
      </c>
      <c r="F518" s="325" t="s">
        <v>8</v>
      </c>
    </row>
    <row r="519" spans="1:6" x14ac:dyDescent="0.2">
      <c r="A519" s="325" t="s">
        <v>765</v>
      </c>
      <c r="B519" s="325" t="s">
        <v>886</v>
      </c>
      <c r="C519" s="325" t="s">
        <v>412</v>
      </c>
      <c r="D519" s="325" t="s">
        <v>328</v>
      </c>
      <c r="E519" s="325" t="s">
        <v>456</v>
      </c>
      <c r="F519" s="325" t="s">
        <v>475</v>
      </c>
    </row>
    <row r="520" spans="1:6" x14ac:dyDescent="0.2">
      <c r="A520" s="325" t="s">
        <v>765</v>
      </c>
      <c r="B520" s="325" t="s">
        <v>887</v>
      </c>
      <c r="C520" s="325" t="s">
        <v>412</v>
      </c>
      <c r="D520" s="325" t="s">
        <v>227</v>
      </c>
      <c r="E520" s="325" t="s">
        <v>456</v>
      </c>
      <c r="F520" s="325" t="s">
        <v>245</v>
      </c>
    </row>
    <row r="521" spans="1:6" x14ac:dyDescent="0.2">
      <c r="A521" s="325" t="s">
        <v>765</v>
      </c>
      <c r="B521" s="325" t="s">
        <v>888</v>
      </c>
      <c r="C521" s="325" t="s">
        <v>412</v>
      </c>
      <c r="D521" s="325" t="s">
        <v>157</v>
      </c>
      <c r="E521" s="325" t="s">
        <v>442</v>
      </c>
      <c r="F521" s="325" t="s">
        <v>181</v>
      </c>
    </row>
    <row r="522" spans="1:6" x14ac:dyDescent="0.2">
      <c r="A522" s="325" t="s">
        <v>765</v>
      </c>
      <c r="B522" s="325" t="s">
        <v>889</v>
      </c>
      <c r="C522" s="325" t="s">
        <v>412</v>
      </c>
      <c r="D522" s="325" t="s">
        <v>712</v>
      </c>
      <c r="E522" s="325" t="s">
        <v>456</v>
      </c>
      <c r="F522" s="325" t="s">
        <v>713</v>
      </c>
    </row>
    <row r="523" spans="1:6" x14ac:dyDescent="0.2">
      <c r="A523" s="325" t="s">
        <v>765</v>
      </c>
      <c r="B523" s="325" t="s">
        <v>890</v>
      </c>
      <c r="C523" s="325" t="s">
        <v>412</v>
      </c>
      <c r="D523" s="325" t="s">
        <v>282</v>
      </c>
      <c r="E523" s="325" t="s">
        <v>442</v>
      </c>
      <c r="F523" s="325" t="s">
        <v>63</v>
      </c>
    </row>
    <row r="524" spans="1:6" x14ac:dyDescent="0.2">
      <c r="A524" s="325" t="s">
        <v>765</v>
      </c>
      <c r="B524" s="325" t="s">
        <v>891</v>
      </c>
      <c r="C524" s="325" t="s">
        <v>412</v>
      </c>
      <c r="D524" s="325" t="s">
        <v>274</v>
      </c>
      <c r="E524" s="325" t="s">
        <v>456</v>
      </c>
      <c r="F524" s="325" t="s">
        <v>1012</v>
      </c>
    </row>
    <row r="525" spans="1:6" x14ac:dyDescent="0.2">
      <c r="A525" s="325" t="s">
        <v>765</v>
      </c>
      <c r="B525" s="325" t="s">
        <v>892</v>
      </c>
      <c r="C525" s="325" t="s">
        <v>412</v>
      </c>
      <c r="D525" s="325" t="s">
        <v>699</v>
      </c>
      <c r="E525" s="325" t="s">
        <v>265</v>
      </c>
      <c r="F525" s="325" t="s">
        <v>994</v>
      </c>
    </row>
    <row r="526" spans="1:6" x14ac:dyDescent="0.2">
      <c r="A526" s="325" t="s">
        <v>765</v>
      </c>
      <c r="B526" s="325" t="s">
        <v>893</v>
      </c>
      <c r="C526" s="325" t="s">
        <v>412</v>
      </c>
      <c r="D526" s="325" t="s">
        <v>68</v>
      </c>
      <c r="E526" s="325" t="s">
        <v>456</v>
      </c>
      <c r="F526" s="325" t="s">
        <v>74</v>
      </c>
    </row>
    <row r="527" spans="1:6" x14ac:dyDescent="0.2">
      <c r="A527" s="325" t="s">
        <v>765</v>
      </c>
      <c r="B527" s="325" t="s">
        <v>894</v>
      </c>
      <c r="C527" s="325" t="s">
        <v>412</v>
      </c>
      <c r="D527" s="325" t="s">
        <v>271</v>
      </c>
      <c r="E527" s="325" t="s">
        <v>456</v>
      </c>
      <c r="F527" s="325" t="s">
        <v>236</v>
      </c>
    </row>
    <row r="528" spans="1:6" x14ac:dyDescent="0.2">
      <c r="A528" s="325" t="s">
        <v>765</v>
      </c>
      <c r="B528" s="325" t="s">
        <v>895</v>
      </c>
      <c r="C528" s="325" t="s">
        <v>412</v>
      </c>
      <c r="D528" s="325" t="s">
        <v>296</v>
      </c>
      <c r="E528" s="325" t="s">
        <v>442</v>
      </c>
      <c r="F528" s="325" t="s">
        <v>74</v>
      </c>
    </row>
    <row r="529" spans="1:6" x14ac:dyDescent="0.2">
      <c r="A529" s="325" t="s">
        <v>765</v>
      </c>
      <c r="B529" s="325" t="s">
        <v>896</v>
      </c>
      <c r="C529" s="325" t="s">
        <v>412</v>
      </c>
      <c r="D529" s="325" t="s">
        <v>316</v>
      </c>
      <c r="E529" s="325" t="s">
        <v>442</v>
      </c>
      <c r="F529" s="325" t="s">
        <v>236</v>
      </c>
    </row>
    <row r="530" spans="1:6" x14ac:dyDescent="0.2">
      <c r="A530" s="325" t="s">
        <v>765</v>
      </c>
      <c r="B530" s="325" t="s">
        <v>897</v>
      </c>
      <c r="C530" s="325" t="s">
        <v>412</v>
      </c>
      <c r="D530" s="325" t="s">
        <v>36</v>
      </c>
      <c r="E530" s="325" t="s">
        <v>456</v>
      </c>
      <c r="F530" s="325" t="s">
        <v>342</v>
      </c>
    </row>
    <row r="531" spans="1:6" x14ac:dyDescent="0.2">
      <c r="A531" s="325" t="s">
        <v>765</v>
      </c>
      <c r="B531" s="325" t="s">
        <v>898</v>
      </c>
      <c r="C531" s="325" t="s">
        <v>412</v>
      </c>
      <c r="D531" s="325" t="s">
        <v>507</v>
      </c>
      <c r="E531" s="325" t="s">
        <v>456</v>
      </c>
      <c r="F531" s="325" t="s">
        <v>559</v>
      </c>
    </row>
    <row r="532" spans="1:6" x14ac:dyDescent="0.2">
      <c r="A532" s="325" t="s">
        <v>765</v>
      </c>
      <c r="B532" s="325" t="s">
        <v>899</v>
      </c>
      <c r="C532" s="325" t="s">
        <v>412</v>
      </c>
      <c r="D532" s="325" t="s">
        <v>570</v>
      </c>
      <c r="E532" s="325" t="s">
        <v>456</v>
      </c>
      <c r="F532" s="325" t="s">
        <v>256</v>
      </c>
    </row>
    <row r="533" spans="1:6" x14ac:dyDescent="0.2">
      <c r="A533" s="325" t="s">
        <v>765</v>
      </c>
      <c r="B533" s="325" t="s">
        <v>901</v>
      </c>
      <c r="C533" s="325" t="s">
        <v>412</v>
      </c>
      <c r="D533" s="325" t="s">
        <v>21</v>
      </c>
      <c r="E533" s="325" t="s">
        <v>265</v>
      </c>
      <c r="F533" s="325" t="s">
        <v>47</v>
      </c>
    </row>
    <row r="534" spans="1:6" x14ac:dyDescent="0.2">
      <c r="A534" s="325" t="s">
        <v>765</v>
      </c>
      <c r="B534" s="325" t="s">
        <v>902</v>
      </c>
      <c r="C534" s="325" t="s">
        <v>412</v>
      </c>
      <c r="D534" s="325" t="s">
        <v>323</v>
      </c>
      <c r="E534" s="325" t="s">
        <v>265</v>
      </c>
      <c r="F534" s="325" t="s">
        <v>20</v>
      </c>
    </row>
    <row r="535" spans="1:6" x14ac:dyDescent="0.2">
      <c r="A535" s="325" t="s">
        <v>765</v>
      </c>
      <c r="B535" s="325" t="s">
        <v>903</v>
      </c>
      <c r="C535" s="325" t="s">
        <v>412</v>
      </c>
      <c r="D535" s="325" t="s">
        <v>447</v>
      </c>
      <c r="E535" s="325" t="s">
        <v>265</v>
      </c>
      <c r="F535" s="325" t="s">
        <v>741</v>
      </c>
    </row>
    <row r="536" spans="1:6" x14ac:dyDescent="0.2">
      <c r="A536" s="325" t="s">
        <v>765</v>
      </c>
      <c r="B536" s="325" t="s">
        <v>904</v>
      </c>
      <c r="C536" s="325" t="s">
        <v>412</v>
      </c>
      <c r="D536" s="325" t="s">
        <v>742</v>
      </c>
      <c r="E536" s="325" t="s">
        <v>456</v>
      </c>
      <c r="F536" s="325" t="s">
        <v>743</v>
      </c>
    </row>
    <row r="537" spans="1:6" x14ac:dyDescent="0.2">
      <c r="A537" s="325" t="s">
        <v>765</v>
      </c>
      <c r="B537" s="325" t="s">
        <v>905</v>
      </c>
      <c r="C537" s="325" t="s">
        <v>412</v>
      </c>
      <c r="D537" s="325" t="s">
        <v>493</v>
      </c>
      <c r="E537" s="325" t="s">
        <v>456</v>
      </c>
      <c r="F537" s="325" t="s">
        <v>995</v>
      </c>
    </row>
    <row r="538" spans="1:6" x14ac:dyDescent="0.2">
      <c r="A538" s="325" t="s">
        <v>765</v>
      </c>
      <c r="B538" s="325" t="s">
        <v>906</v>
      </c>
      <c r="C538" s="325" t="s">
        <v>412</v>
      </c>
      <c r="D538" s="325" t="s">
        <v>679</v>
      </c>
      <c r="E538" s="325" t="s">
        <v>265</v>
      </c>
      <c r="F538" s="325" t="s">
        <v>682</v>
      </c>
    </row>
    <row r="539" spans="1:6" x14ac:dyDescent="0.2">
      <c r="A539" s="325" t="s">
        <v>765</v>
      </c>
      <c r="B539" s="325" t="s">
        <v>907</v>
      </c>
      <c r="C539" s="325" t="s">
        <v>412</v>
      </c>
      <c r="D539" s="325" t="s">
        <v>46</v>
      </c>
      <c r="E539" s="325" t="s">
        <v>456</v>
      </c>
      <c r="F539" s="325" t="s">
        <v>165</v>
      </c>
    </row>
    <row r="540" spans="1:6" x14ac:dyDescent="0.2">
      <c r="A540" s="325" t="s">
        <v>765</v>
      </c>
      <c r="B540" s="325" t="s">
        <v>908</v>
      </c>
      <c r="C540" s="325" t="s">
        <v>412</v>
      </c>
      <c r="D540" s="325" t="s">
        <v>382</v>
      </c>
      <c r="E540" s="325" t="s">
        <v>456</v>
      </c>
      <c r="F540" s="325" t="s">
        <v>535</v>
      </c>
    </row>
    <row r="541" spans="1:6" x14ac:dyDescent="0.2">
      <c r="A541" s="325" t="s">
        <v>765</v>
      </c>
      <c r="B541" s="325" t="s">
        <v>909</v>
      </c>
      <c r="C541" s="325" t="s">
        <v>412</v>
      </c>
      <c r="D541" s="325" t="s">
        <v>169</v>
      </c>
      <c r="E541" s="325" t="s">
        <v>456</v>
      </c>
      <c r="F541" s="325" t="s">
        <v>311</v>
      </c>
    </row>
    <row r="542" spans="1:6" x14ac:dyDescent="0.2">
      <c r="A542" s="325" t="s">
        <v>765</v>
      </c>
      <c r="B542" s="325" t="s">
        <v>910</v>
      </c>
      <c r="C542" s="325" t="s">
        <v>412</v>
      </c>
      <c r="D542" s="325" t="s">
        <v>395</v>
      </c>
      <c r="E542" s="325" t="s">
        <v>456</v>
      </c>
      <c r="F542" s="325" t="s">
        <v>588</v>
      </c>
    </row>
    <row r="543" spans="1:6" x14ac:dyDescent="0.2">
      <c r="A543" s="325" t="s">
        <v>765</v>
      </c>
      <c r="B543" s="325" t="s">
        <v>911</v>
      </c>
      <c r="C543" s="325" t="s">
        <v>412</v>
      </c>
      <c r="D543" s="325" t="s">
        <v>499</v>
      </c>
      <c r="E543" s="325" t="s">
        <v>456</v>
      </c>
      <c r="F543" s="325" t="s">
        <v>314</v>
      </c>
    </row>
    <row r="544" spans="1:6" x14ac:dyDescent="0.2">
      <c r="A544" s="325" t="s">
        <v>765</v>
      </c>
      <c r="B544" s="325" t="s">
        <v>934</v>
      </c>
      <c r="C544" s="325" t="s">
        <v>412</v>
      </c>
      <c r="D544" s="325" t="s">
        <v>681</v>
      </c>
      <c r="E544" s="325" t="s">
        <v>265</v>
      </c>
      <c r="F544" s="325" t="s">
        <v>684</v>
      </c>
    </row>
    <row r="545" spans="1:6" x14ac:dyDescent="0.2">
      <c r="A545" s="325" t="s">
        <v>765</v>
      </c>
      <c r="B545" s="325" t="s">
        <v>971</v>
      </c>
      <c r="C545" s="325" t="s">
        <v>412</v>
      </c>
      <c r="D545" s="325" t="s">
        <v>413</v>
      </c>
      <c r="E545" s="325" t="s">
        <v>265</v>
      </c>
      <c r="F545" s="325" t="s">
        <v>273</v>
      </c>
    </row>
    <row r="546" spans="1:6" x14ac:dyDescent="0.2">
      <c r="A546" s="325" t="s">
        <v>765</v>
      </c>
      <c r="B546" s="325" t="s">
        <v>974</v>
      </c>
      <c r="C546" s="325" t="s">
        <v>412</v>
      </c>
      <c r="D546" s="325" t="s">
        <v>51</v>
      </c>
      <c r="E546" s="325" t="s">
        <v>265</v>
      </c>
      <c r="F546" s="325" t="s">
        <v>266</v>
      </c>
    </row>
    <row r="547" spans="1:6" x14ac:dyDescent="0.2">
      <c r="A547" s="325" t="s">
        <v>765</v>
      </c>
      <c r="B547" s="325" t="s">
        <v>975</v>
      </c>
      <c r="C547" s="325" t="s">
        <v>412</v>
      </c>
      <c r="D547" s="325" t="s">
        <v>283</v>
      </c>
      <c r="E547" s="325" t="s">
        <v>265</v>
      </c>
      <c r="F547" s="325" t="s">
        <v>53</v>
      </c>
    </row>
    <row r="548" spans="1:6" x14ac:dyDescent="0.2">
      <c r="A548" s="325" t="s">
        <v>765</v>
      </c>
      <c r="B548" s="325" t="s">
        <v>976</v>
      </c>
      <c r="C548" s="325" t="s">
        <v>412</v>
      </c>
      <c r="D548" s="325" t="s">
        <v>542</v>
      </c>
      <c r="E548" s="325" t="s">
        <v>265</v>
      </c>
      <c r="F548" s="325" t="s">
        <v>372</v>
      </c>
    </row>
    <row r="549" spans="1:6" x14ac:dyDescent="0.2">
      <c r="A549" s="325" t="s">
        <v>765</v>
      </c>
      <c r="B549" s="325" t="s">
        <v>977</v>
      </c>
      <c r="C549" s="325" t="s">
        <v>412</v>
      </c>
      <c r="D549" s="325" t="s">
        <v>576</v>
      </c>
      <c r="E549" s="325" t="s">
        <v>265</v>
      </c>
      <c r="F549" s="325" t="s">
        <v>333</v>
      </c>
    </row>
    <row r="550" spans="1:6" x14ac:dyDescent="0.2">
      <c r="A550" s="325" t="s">
        <v>765</v>
      </c>
      <c r="B550" s="325" t="s">
        <v>793</v>
      </c>
      <c r="C550" s="325" t="s">
        <v>751</v>
      </c>
      <c r="D550" s="325" t="s">
        <v>654</v>
      </c>
      <c r="E550" s="325" t="s">
        <v>265</v>
      </c>
      <c r="F550" s="325" t="s">
        <v>998</v>
      </c>
    </row>
    <row r="551" spans="1:6" x14ac:dyDescent="0.2">
      <c r="A551" s="325" t="s">
        <v>765</v>
      </c>
      <c r="B551" s="325" t="s">
        <v>794</v>
      </c>
      <c r="C551" s="325" t="s">
        <v>751</v>
      </c>
      <c r="D551" s="325" t="s">
        <v>510</v>
      </c>
      <c r="E551" s="325" t="s">
        <v>265</v>
      </c>
      <c r="F551" s="325" t="s">
        <v>999</v>
      </c>
    </row>
    <row r="552" spans="1:6" x14ac:dyDescent="0.2">
      <c r="A552" s="325" t="s">
        <v>765</v>
      </c>
      <c r="B552" s="325" t="s">
        <v>795</v>
      </c>
      <c r="C552" s="325" t="s">
        <v>751</v>
      </c>
      <c r="D552" s="325" t="s">
        <v>400</v>
      </c>
      <c r="E552" s="325" t="s">
        <v>265</v>
      </c>
      <c r="F552" s="325" t="s">
        <v>1001</v>
      </c>
    </row>
    <row r="553" spans="1:6" x14ac:dyDescent="0.2">
      <c r="A553" s="325" t="s">
        <v>765</v>
      </c>
      <c r="B553" s="325" t="s">
        <v>796</v>
      </c>
      <c r="C553" s="325" t="s">
        <v>751</v>
      </c>
      <c r="D553" s="325" t="s">
        <v>302</v>
      </c>
      <c r="E553" s="325" t="s">
        <v>265</v>
      </c>
      <c r="F553" s="325" t="s">
        <v>1000</v>
      </c>
    </row>
    <row r="554" spans="1:6" x14ac:dyDescent="0.2">
      <c r="A554" s="325" t="s">
        <v>765</v>
      </c>
      <c r="B554" s="325" t="s">
        <v>797</v>
      </c>
      <c r="C554" s="325" t="s">
        <v>751</v>
      </c>
      <c r="D554" s="325" t="s">
        <v>28</v>
      </c>
      <c r="E554" s="325" t="s">
        <v>442</v>
      </c>
      <c r="F554" s="325" t="s">
        <v>1008</v>
      </c>
    </row>
    <row r="555" spans="1:6" x14ac:dyDescent="0.2">
      <c r="A555" s="325" t="s">
        <v>765</v>
      </c>
      <c r="B555" s="325" t="s">
        <v>798</v>
      </c>
      <c r="C555" s="325" t="s">
        <v>751</v>
      </c>
      <c r="D555" s="325" t="s">
        <v>67</v>
      </c>
      <c r="E555" s="325" t="s">
        <v>556</v>
      </c>
      <c r="F555" s="325" t="s">
        <v>1009</v>
      </c>
    </row>
    <row r="556" spans="1:6" x14ac:dyDescent="0.2">
      <c r="A556" s="325" t="s">
        <v>765</v>
      </c>
      <c r="B556" s="325" t="s">
        <v>799</v>
      </c>
      <c r="C556" s="325" t="s">
        <v>751</v>
      </c>
      <c r="D556" s="325" t="s">
        <v>168</v>
      </c>
      <c r="E556" s="325" t="s">
        <v>265</v>
      </c>
      <c r="F556" s="325" t="s">
        <v>145</v>
      </c>
    </row>
    <row r="557" spans="1:6" x14ac:dyDescent="0.2">
      <c r="A557" s="325" t="s">
        <v>765</v>
      </c>
      <c r="B557" s="325" t="s">
        <v>800</v>
      </c>
      <c r="C557" s="325" t="s">
        <v>751</v>
      </c>
      <c r="D557" s="325" t="s">
        <v>310</v>
      </c>
      <c r="E557" s="325" t="s">
        <v>265</v>
      </c>
      <c r="F557" s="325" t="s">
        <v>350</v>
      </c>
    </row>
    <row r="558" spans="1:6" x14ac:dyDescent="0.2">
      <c r="A558" s="325" t="s">
        <v>765</v>
      </c>
      <c r="B558" s="325" t="s">
        <v>801</v>
      </c>
      <c r="C558" s="325" t="s">
        <v>751</v>
      </c>
      <c r="D558" s="325" t="s">
        <v>87</v>
      </c>
      <c r="E558" s="325" t="s">
        <v>265</v>
      </c>
      <c r="F558" s="325" t="s">
        <v>79</v>
      </c>
    </row>
    <row r="559" spans="1:6" x14ac:dyDescent="0.2">
      <c r="A559" s="325" t="s">
        <v>765</v>
      </c>
      <c r="B559" s="325" t="s">
        <v>802</v>
      </c>
      <c r="C559" s="325" t="s">
        <v>751</v>
      </c>
      <c r="D559" s="325" t="s">
        <v>228</v>
      </c>
      <c r="E559" s="325" t="s">
        <v>265</v>
      </c>
      <c r="F559" s="325" t="s">
        <v>331</v>
      </c>
    </row>
    <row r="560" spans="1:6" x14ac:dyDescent="0.2">
      <c r="A560" s="325" t="s">
        <v>765</v>
      </c>
      <c r="B560" s="325" t="s">
        <v>803</v>
      </c>
      <c r="C560" s="325" t="s">
        <v>751</v>
      </c>
      <c r="D560" s="325" t="s">
        <v>144</v>
      </c>
      <c r="E560" s="325" t="s">
        <v>265</v>
      </c>
      <c r="F560" s="325" t="s">
        <v>340</v>
      </c>
    </row>
    <row r="561" spans="1:6" x14ac:dyDescent="0.2">
      <c r="A561" s="325" t="s">
        <v>765</v>
      </c>
      <c r="B561" s="325" t="s">
        <v>804</v>
      </c>
      <c r="C561" s="325" t="s">
        <v>751</v>
      </c>
      <c r="D561" s="325" t="s">
        <v>429</v>
      </c>
      <c r="E561" s="325" t="s">
        <v>265</v>
      </c>
      <c r="F561" s="325" t="s">
        <v>263</v>
      </c>
    </row>
    <row r="562" spans="1:6" x14ac:dyDescent="0.2">
      <c r="A562" s="325" t="s">
        <v>765</v>
      </c>
      <c r="B562" s="325" t="s">
        <v>805</v>
      </c>
      <c r="C562" s="325" t="s">
        <v>751</v>
      </c>
      <c r="D562" s="325" t="s">
        <v>182</v>
      </c>
      <c r="E562" s="325" t="s">
        <v>265</v>
      </c>
      <c r="F562" s="325" t="s">
        <v>223</v>
      </c>
    </row>
    <row r="563" spans="1:6" x14ac:dyDescent="0.2">
      <c r="A563" s="325" t="s">
        <v>765</v>
      </c>
      <c r="B563" s="325" t="s">
        <v>806</v>
      </c>
      <c r="C563" s="325" t="s">
        <v>751</v>
      </c>
      <c r="D563" s="325" t="s">
        <v>298</v>
      </c>
      <c r="E563" s="325" t="s">
        <v>265</v>
      </c>
      <c r="F563" s="325" t="s">
        <v>423</v>
      </c>
    </row>
    <row r="564" spans="1:6" x14ac:dyDescent="0.2">
      <c r="A564" s="325" t="s">
        <v>765</v>
      </c>
      <c r="B564" s="325" t="s">
        <v>807</v>
      </c>
      <c r="C564" s="325" t="s">
        <v>751</v>
      </c>
      <c r="D564" s="325" t="s">
        <v>571</v>
      </c>
      <c r="E564" s="325" t="s">
        <v>265</v>
      </c>
      <c r="F564" s="325" t="s">
        <v>258</v>
      </c>
    </row>
    <row r="565" spans="1:6" x14ac:dyDescent="0.2">
      <c r="A565" s="325" t="s">
        <v>765</v>
      </c>
      <c r="B565" s="325" t="s">
        <v>808</v>
      </c>
      <c r="C565" s="325" t="s">
        <v>751</v>
      </c>
      <c r="D565" s="325" t="s">
        <v>156</v>
      </c>
      <c r="E565" s="325" t="s">
        <v>265</v>
      </c>
      <c r="F565" s="325" t="s">
        <v>226</v>
      </c>
    </row>
    <row r="566" spans="1:6" x14ac:dyDescent="0.2">
      <c r="A566" s="325" t="s">
        <v>765</v>
      </c>
      <c r="B566" s="325" t="s">
        <v>809</v>
      </c>
      <c r="C566" s="325" t="s">
        <v>751</v>
      </c>
      <c r="D566" s="325" t="s">
        <v>299</v>
      </c>
      <c r="E566" s="325" t="s">
        <v>265</v>
      </c>
      <c r="F566" s="325" t="s">
        <v>3</v>
      </c>
    </row>
    <row r="567" spans="1:6" x14ac:dyDescent="0.2">
      <c r="A567" s="325" t="s">
        <v>765</v>
      </c>
      <c r="B567" s="325" t="s">
        <v>810</v>
      </c>
      <c r="C567" s="325" t="s">
        <v>751</v>
      </c>
      <c r="D567" s="325" t="s">
        <v>164</v>
      </c>
      <c r="E567" s="325" t="s">
        <v>265</v>
      </c>
      <c r="F567" s="325" t="s">
        <v>524</v>
      </c>
    </row>
    <row r="568" spans="1:6" x14ac:dyDescent="0.2">
      <c r="A568" s="325" t="s">
        <v>765</v>
      </c>
      <c r="B568" s="325" t="s">
        <v>811</v>
      </c>
      <c r="C568" s="325" t="s">
        <v>751</v>
      </c>
      <c r="D568" s="325" t="s">
        <v>403</v>
      </c>
      <c r="E568" s="325" t="s">
        <v>265</v>
      </c>
      <c r="F568" s="325" t="s">
        <v>195</v>
      </c>
    </row>
    <row r="569" spans="1:6" x14ac:dyDescent="0.2">
      <c r="A569" s="325" t="s">
        <v>765</v>
      </c>
      <c r="B569" s="325" t="s">
        <v>812</v>
      </c>
      <c r="C569" s="325" t="s">
        <v>751</v>
      </c>
      <c r="D569" s="325" t="s">
        <v>367</v>
      </c>
      <c r="E569" s="325" t="s">
        <v>265</v>
      </c>
      <c r="F569" s="325" t="s">
        <v>461</v>
      </c>
    </row>
    <row r="570" spans="1:6" x14ac:dyDescent="0.2">
      <c r="A570" s="325" t="s">
        <v>765</v>
      </c>
      <c r="B570" s="325" t="s">
        <v>813</v>
      </c>
      <c r="C570" s="325" t="s">
        <v>751</v>
      </c>
      <c r="D570" s="325" t="s">
        <v>105</v>
      </c>
      <c r="E570" s="325" t="s">
        <v>265</v>
      </c>
      <c r="F570" s="325" t="s">
        <v>393</v>
      </c>
    </row>
    <row r="571" spans="1:6" x14ac:dyDescent="0.2">
      <c r="A571" s="325" t="s">
        <v>765</v>
      </c>
      <c r="B571" s="325" t="s">
        <v>814</v>
      </c>
      <c r="C571" s="325" t="s">
        <v>751</v>
      </c>
      <c r="D571" s="325" t="s">
        <v>520</v>
      </c>
      <c r="E571" s="325" t="s">
        <v>265</v>
      </c>
      <c r="F571" s="325" t="s">
        <v>277</v>
      </c>
    </row>
    <row r="572" spans="1:6" x14ac:dyDescent="0.2">
      <c r="A572" s="325" t="s">
        <v>765</v>
      </c>
      <c r="B572" s="325" t="s">
        <v>815</v>
      </c>
      <c r="C572" s="325" t="s">
        <v>751</v>
      </c>
      <c r="D572" s="325" t="s">
        <v>469</v>
      </c>
      <c r="E572" s="325" t="s">
        <v>265</v>
      </c>
      <c r="F572" s="325" t="s">
        <v>452</v>
      </c>
    </row>
    <row r="573" spans="1:6" x14ac:dyDescent="0.2">
      <c r="A573" s="325" t="s">
        <v>765</v>
      </c>
      <c r="B573" s="325" t="s">
        <v>816</v>
      </c>
      <c r="C573" s="325" t="s">
        <v>751</v>
      </c>
      <c r="D573" s="325" t="s">
        <v>432</v>
      </c>
      <c r="E573" s="325" t="s">
        <v>265</v>
      </c>
      <c r="F573" s="325" t="s">
        <v>489</v>
      </c>
    </row>
    <row r="574" spans="1:6" x14ac:dyDescent="0.2">
      <c r="A574" s="325" t="s">
        <v>765</v>
      </c>
      <c r="B574" s="325" t="s">
        <v>817</v>
      </c>
      <c r="C574" s="325" t="s">
        <v>751</v>
      </c>
      <c r="D574" s="325" t="s">
        <v>75</v>
      </c>
      <c r="E574" s="325" t="s">
        <v>265</v>
      </c>
      <c r="F574" s="325" t="s">
        <v>288</v>
      </c>
    </row>
    <row r="575" spans="1:6" x14ac:dyDescent="0.2">
      <c r="A575" s="325" t="s">
        <v>765</v>
      </c>
      <c r="B575" s="325" t="s">
        <v>818</v>
      </c>
      <c r="C575" s="325" t="s">
        <v>751</v>
      </c>
      <c r="D575" s="325" t="s">
        <v>666</v>
      </c>
      <c r="E575" s="325" t="s">
        <v>556</v>
      </c>
      <c r="F575" s="325" t="s">
        <v>665</v>
      </c>
    </row>
    <row r="576" spans="1:6" x14ac:dyDescent="0.2">
      <c r="A576" s="325" t="s">
        <v>765</v>
      </c>
      <c r="B576" s="325" t="s">
        <v>819</v>
      </c>
      <c r="C576" s="325" t="s">
        <v>751</v>
      </c>
      <c r="D576" s="325" t="s">
        <v>111</v>
      </c>
      <c r="E576" s="325" t="s">
        <v>265</v>
      </c>
      <c r="F576" s="325" t="s">
        <v>261</v>
      </c>
    </row>
    <row r="577" spans="1:6" x14ac:dyDescent="0.2">
      <c r="A577" s="325" t="s">
        <v>765</v>
      </c>
      <c r="B577" s="325" t="s">
        <v>820</v>
      </c>
      <c r="C577" s="325" t="s">
        <v>751</v>
      </c>
      <c r="D577" s="325" t="s">
        <v>289</v>
      </c>
      <c r="E577" s="325" t="s">
        <v>265</v>
      </c>
      <c r="F577" s="325" t="s">
        <v>674</v>
      </c>
    </row>
    <row r="578" spans="1:6" x14ac:dyDescent="0.2">
      <c r="A578" s="325" t="s">
        <v>765</v>
      </c>
      <c r="B578" s="325" t="s">
        <v>821</v>
      </c>
      <c r="C578" s="325" t="s">
        <v>751</v>
      </c>
      <c r="D578" s="325" t="s">
        <v>308</v>
      </c>
      <c r="E578" s="325" t="s">
        <v>265</v>
      </c>
      <c r="F578" s="325" t="s">
        <v>675</v>
      </c>
    </row>
    <row r="579" spans="1:6" x14ac:dyDescent="0.2">
      <c r="A579" s="325" t="s">
        <v>765</v>
      </c>
      <c r="B579" s="325" t="s">
        <v>822</v>
      </c>
      <c r="C579" s="325" t="s">
        <v>751</v>
      </c>
      <c r="D579" s="325" t="s">
        <v>411</v>
      </c>
      <c r="E579" s="325" t="s">
        <v>265</v>
      </c>
      <c r="F579" s="325" t="s">
        <v>115</v>
      </c>
    </row>
    <row r="580" spans="1:6" x14ac:dyDescent="0.2">
      <c r="A580" s="325" t="s">
        <v>765</v>
      </c>
      <c r="B580" s="325" t="s">
        <v>823</v>
      </c>
      <c r="C580" s="325" t="s">
        <v>751</v>
      </c>
      <c r="D580" s="325" t="s">
        <v>425</v>
      </c>
      <c r="E580" s="325" t="s">
        <v>265</v>
      </c>
      <c r="F580" s="325" t="s">
        <v>364</v>
      </c>
    </row>
    <row r="581" spans="1:6" x14ac:dyDescent="0.2">
      <c r="A581" s="325" t="s">
        <v>765</v>
      </c>
      <c r="B581" s="325" t="s">
        <v>824</v>
      </c>
      <c r="C581" s="325" t="s">
        <v>751</v>
      </c>
      <c r="D581" s="325" t="s">
        <v>431</v>
      </c>
      <c r="E581" s="325" t="s">
        <v>265</v>
      </c>
      <c r="F581" s="325" t="s">
        <v>464</v>
      </c>
    </row>
    <row r="582" spans="1:6" x14ac:dyDescent="0.2">
      <c r="A582" s="325" t="s">
        <v>765</v>
      </c>
      <c r="B582" s="325" t="s">
        <v>825</v>
      </c>
      <c r="C582" s="325" t="s">
        <v>751</v>
      </c>
      <c r="D582" s="325" t="s">
        <v>696</v>
      </c>
      <c r="E582" s="325" t="s">
        <v>265</v>
      </c>
      <c r="F582" s="325" t="s">
        <v>1010</v>
      </c>
    </row>
    <row r="583" spans="1:6" x14ac:dyDescent="0.2">
      <c r="A583" s="325" t="s">
        <v>765</v>
      </c>
      <c r="B583" s="325" t="s">
        <v>826</v>
      </c>
      <c r="C583" s="325" t="s">
        <v>751</v>
      </c>
      <c r="D583" s="325" t="s">
        <v>15</v>
      </c>
      <c r="E583" s="325" t="s">
        <v>265</v>
      </c>
      <c r="F583" s="325" t="s">
        <v>446</v>
      </c>
    </row>
    <row r="584" spans="1:6" x14ac:dyDescent="0.2">
      <c r="A584" s="325" t="s">
        <v>765</v>
      </c>
      <c r="B584" s="325" t="s">
        <v>827</v>
      </c>
      <c r="C584" s="325" t="s">
        <v>751</v>
      </c>
      <c r="D584" s="325" t="s">
        <v>551</v>
      </c>
      <c r="E584" s="325" t="s">
        <v>265</v>
      </c>
      <c r="F584" s="325" t="s">
        <v>10</v>
      </c>
    </row>
    <row r="585" spans="1:6" x14ac:dyDescent="0.2">
      <c r="A585" s="325" t="s">
        <v>765</v>
      </c>
      <c r="B585" s="325" t="s">
        <v>828</v>
      </c>
      <c r="C585" s="325" t="s">
        <v>751</v>
      </c>
      <c r="D585" s="325" t="s">
        <v>9</v>
      </c>
      <c r="E585" s="325" t="s">
        <v>265</v>
      </c>
      <c r="F585" s="325" t="s">
        <v>189</v>
      </c>
    </row>
    <row r="586" spans="1:6" x14ac:dyDescent="0.2">
      <c r="A586" s="325" t="s">
        <v>765</v>
      </c>
      <c r="B586" s="325" t="s">
        <v>829</v>
      </c>
      <c r="C586" s="325" t="s">
        <v>751</v>
      </c>
      <c r="D586" s="325" t="s">
        <v>566</v>
      </c>
      <c r="E586" s="325" t="s">
        <v>265</v>
      </c>
      <c r="F586" s="325" t="s">
        <v>135</v>
      </c>
    </row>
    <row r="587" spans="1:6" x14ac:dyDescent="0.2">
      <c r="A587" s="325" t="s">
        <v>765</v>
      </c>
      <c r="B587" s="325" t="s">
        <v>830</v>
      </c>
      <c r="C587" s="325" t="s">
        <v>751</v>
      </c>
      <c r="D587" s="325" t="s">
        <v>412</v>
      </c>
      <c r="E587" s="325" t="s">
        <v>456</v>
      </c>
      <c r="F587" s="325" t="s">
        <v>128</v>
      </c>
    </row>
    <row r="588" spans="1:6" x14ac:dyDescent="0.2">
      <c r="A588" s="325" t="s">
        <v>765</v>
      </c>
      <c r="B588" s="325" t="s">
        <v>831</v>
      </c>
      <c r="C588" s="325" t="s">
        <v>751</v>
      </c>
      <c r="D588" s="325" t="s">
        <v>369</v>
      </c>
      <c r="E588" s="325" t="s">
        <v>456</v>
      </c>
      <c r="F588" s="325" t="s">
        <v>496</v>
      </c>
    </row>
    <row r="589" spans="1:6" x14ac:dyDescent="0.2">
      <c r="A589" s="325" t="s">
        <v>765</v>
      </c>
      <c r="B589" s="325" t="s">
        <v>832</v>
      </c>
      <c r="C589" s="325" t="s">
        <v>751</v>
      </c>
      <c r="D589" s="325" t="s">
        <v>348</v>
      </c>
      <c r="E589" s="325" t="s">
        <v>265</v>
      </c>
      <c r="F589" s="325" t="s">
        <v>293</v>
      </c>
    </row>
    <row r="590" spans="1:6" x14ac:dyDescent="0.2">
      <c r="A590" s="325" t="s">
        <v>765</v>
      </c>
      <c r="B590" s="325" t="s">
        <v>833</v>
      </c>
      <c r="C590" s="325" t="s">
        <v>751</v>
      </c>
      <c r="D590" s="325" t="s">
        <v>244</v>
      </c>
      <c r="E590" s="325" t="s">
        <v>265</v>
      </c>
      <c r="F590" s="325" t="s">
        <v>543</v>
      </c>
    </row>
    <row r="591" spans="1:6" x14ac:dyDescent="0.2">
      <c r="A591" s="325" t="s">
        <v>765</v>
      </c>
      <c r="B591" s="325" t="s">
        <v>834</v>
      </c>
      <c r="C591" s="325" t="s">
        <v>751</v>
      </c>
      <c r="D591" s="325" t="s">
        <v>488</v>
      </c>
      <c r="E591" s="325" t="s">
        <v>265</v>
      </c>
      <c r="F591" s="325" t="s">
        <v>545</v>
      </c>
    </row>
    <row r="592" spans="1:6" x14ac:dyDescent="0.2">
      <c r="A592" s="325" t="s">
        <v>765</v>
      </c>
      <c r="B592" s="325" t="s">
        <v>835</v>
      </c>
      <c r="C592" s="325" t="s">
        <v>751</v>
      </c>
      <c r="D592" s="325" t="s">
        <v>397</v>
      </c>
      <c r="E592" s="325" t="s">
        <v>265</v>
      </c>
      <c r="F592" s="325" t="s">
        <v>88</v>
      </c>
    </row>
    <row r="593" spans="1:6" x14ac:dyDescent="0.2">
      <c r="A593" s="325" t="s">
        <v>765</v>
      </c>
      <c r="B593" s="325" t="s">
        <v>836</v>
      </c>
      <c r="C593" s="325" t="s">
        <v>751</v>
      </c>
      <c r="D593" s="325" t="s">
        <v>440</v>
      </c>
      <c r="E593" s="325" t="s">
        <v>265</v>
      </c>
      <c r="F593" s="325" t="s">
        <v>368</v>
      </c>
    </row>
    <row r="594" spans="1:6" x14ac:dyDescent="0.2">
      <c r="A594" s="325" t="s">
        <v>765</v>
      </c>
      <c r="B594" s="325" t="s">
        <v>837</v>
      </c>
      <c r="C594" s="325" t="s">
        <v>751</v>
      </c>
      <c r="D594" s="325" t="s">
        <v>445</v>
      </c>
      <c r="E594" s="325" t="s">
        <v>265</v>
      </c>
      <c r="F594" s="325" t="s">
        <v>238</v>
      </c>
    </row>
    <row r="595" spans="1:6" x14ac:dyDescent="0.2">
      <c r="A595" s="325" t="s">
        <v>765</v>
      </c>
      <c r="B595" s="325" t="s">
        <v>838</v>
      </c>
      <c r="C595" s="325" t="s">
        <v>751</v>
      </c>
      <c r="D595" s="325" t="s">
        <v>119</v>
      </c>
      <c r="E595" s="325" t="s">
        <v>265</v>
      </c>
      <c r="F595" s="325" t="s">
        <v>557</v>
      </c>
    </row>
    <row r="596" spans="1:6" x14ac:dyDescent="0.2">
      <c r="A596" s="325" t="s">
        <v>765</v>
      </c>
      <c r="B596" s="325" t="s">
        <v>839</v>
      </c>
      <c r="C596" s="325" t="s">
        <v>751</v>
      </c>
      <c r="D596" s="325" t="s">
        <v>580</v>
      </c>
      <c r="E596" s="325" t="s">
        <v>265</v>
      </c>
      <c r="F596" s="325" t="s">
        <v>120</v>
      </c>
    </row>
    <row r="597" spans="1:6" x14ac:dyDescent="0.2">
      <c r="A597" s="325" t="s">
        <v>765</v>
      </c>
      <c r="B597" s="325" t="s">
        <v>840</v>
      </c>
      <c r="C597" s="325" t="s">
        <v>751</v>
      </c>
      <c r="D597" s="325" t="s">
        <v>64</v>
      </c>
      <c r="E597" s="325" t="s">
        <v>265</v>
      </c>
      <c r="F597" s="325" t="s">
        <v>197</v>
      </c>
    </row>
    <row r="598" spans="1:6" x14ac:dyDescent="0.2">
      <c r="A598" s="325" t="s">
        <v>765</v>
      </c>
      <c r="B598" s="325" t="s">
        <v>841</v>
      </c>
      <c r="C598" s="325" t="s">
        <v>751</v>
      </c>
      <c r="D598" s="325" t="s">
        <v>471</v>
      </c>
      <c r="E598" s="325" t="s">
        <v>265</v>
      </c>
      <c r="F598" s="325" t="s">
        <v>466</v>
      </c>
    </row>
    <row r="599" spans="1:6" x14ac:dyDescent="0.2">
      <c r="A599" s="325" t="s">
        <v>765</v>
      </c>
      <c r="B599" s="325" t="s">
        <v>842</v>
      </c>
      <c r="C599" s="325" t="s">
        <v>751</v>
      </c>
      <c r="D599" s="325" t="s">
        <v>539</v>
      </c>
      <c r="E599" s="325" t="s">
        <v>265</v>
      </c>
      <c r="F599" s="325" t="s">
        <v>394</v>
      </c>
    </row>
    <row r="600" spans="1:6" x14ac:dyDescent="0.2">
      <c r="A600" s="325" t="s">
        <v>765</v>
      </c>
      <c r="B600" s="325" t="s">
        <v>843</v>
      </c>
      <c r="C600" s="325" t="s">
        <v>751</v>
      </c>
      <c r="D600" s="325" t="s">
        <v>318</v>
      </c>
      <c r="E600" s="325" t="s">
        <v>265</v>
      </c>
      <c r="F600" s="325" t="s">
        <v>478</v>
      </c>
    </row>
    <row r="601" spans="1:6" x14ac:dyDescent="0.2">
      <c r="A601" s="325" t="s">
        <v>765</v>
      </c>
      <c r="B601" s="325" t="s">
        <v>844</v>
      </c>
      <c r="C601" s="325" t="s">
        <v>751</v>
      </c>
      <c r="D601" s="325" t="s">
        <v>257</v>
      </c>
      <c r="E601" s="325" t="s">
        <v>265</v>
      </c>
      <c r="F601" s="325" t="s">
        <v>338</v>
      </c>
    </row>
    <row r="602" spans="1:6" x14ac:dyDescent="0.2">
      <c r="A602" s="325" t="s">
        <v>765</v>
      </c>
      <c r="B602" s="325" t="s">
        <v>845</v>
      </c>
      <c r="C602" s="325" t="s">
        <v>751</v>
      </c>
      <c r="D602" s="325" t="s">
        <v>751</v>
      </c>
      <c r="E602" s="325" t="s">
        <v>265</v>
      </c>
      <c r="F602" s="325" t="s">
        <v>753</v>
      </c>
    </row>
    <row r="603" spans="1:6" x14ac:dyDescent="0.2">
      <c r="A603" s="325" t="s">
        <v>765</v>
      </c>
      <c r="B603" s="325" t="s">
        <v>846</v>
      </c>
      <c r="C603" s="325" t="s">
        <v>751</v>
      </c>
      <c r="D603" s="325" t="s">
        <v>55</v>
      </c>
      <c r="E603" s="325" t="s">
        <v>265</v>
      </c>
      <c r="F603" s="325" t="s">
        <v>305</v>
      </c>
    </row>
    <row r="604" spans="1:6" x14ac:dyDescent="0.2">
      <c r="A604" s="325" t="s">
        <v>765</v>
      </c>
      <c r="B604" s="325" t="s">
        <v>847</v>
      </c>
      <c r="C604" s="325" t="s">
        <v>751</v>
      </c>
      <c r="D604" s="325" t="s">
        <v>522</v>
      </c>
      <c r="E604" s="325" t="s">
        <v>265</v>
      </c>
      <c r="F604" s="325" t="s">
        <v>602</v>
      </c>
    </row>
    <row r="605" spans="1:6" x14ac:dyDescent="0.2">
      <c r="A605" s="325" t="s">
        <v>765</v>
      </c>
      <c r="B605" s="325" t="s">
        <v>848</v>
      </c>
      <c r="C605" s="325" t="s">
        <v>751</v>
      </c>
      <c r="D605" s="325" t="s">
        <v>370</v>
      </c>
      <c r="E605" s="325" t="s">
        <v>265</v>
      </c>
      <c r="F605" s="325" t="s">
        <v>484</v>
      </c>
    </row>
    <row r="606" spans="1:6" x14ac:dyDescent="0.2">
      <c r="A606" s="325" t="s">
        <v>765</v>
      </c>
      <c r="B606" s="325" t="s">
        <v>849</v>
      </c>
      <c r="C606" s="325" t="s">
        <v>751</v>
      </c>
      <c r="D606" s="325" t="s">
        <v>752</v>
      </c>
      <c r="E606" s="325" t="s">
        <v>265</v>
      </c>
      <c r="F606" s="325" t="s">
        <v>754</v>
      </c>
    </row>
    <row r="607" spans="1:6" x14ac:dyDescent="0.2">
      <c r="A607" s="325" t="s">
        <v>765</v>
      </c>
      <c r="B607" s="325" t="s">
        <v>850</v>
      </c>
      <c r="C607" s="325" t="s">
        <v>751</v>
      </c>
      <c r="D607" s="325" t="s">
        <v>585</v>
      </c>
      <c r="E607" s="325" t="s">
        <v>265</v>
      </c>
      <c r="F607" s="325" t="s">
        <v>564</v>
      </c>
    </row>
    <row r="608" spans="1:6" x14ac:dyDescent="0.2">
      <c r="A608" s="325" t="s">
        <v>765</v>
      </c>
      <c r="B608" s="325" t="s">
        <v>851</v>
      </c>
      <c r="C608" s="325" t="s">
        <v>751</v>
      </c>
      <c r="D608" s="325" t="s">
        <v>603</v>
      </c>
      <c r="E608" s="325" t="s">
        <v>265</v>
      </c>
      <c r="F608" s="325" t="s">
        <v>703</v>
      </c>
    </row>
    <row r="609" spans="1:6" x14ac:dyDescent="0.2">
      <c r="A609" s="325" t="s">
        <v>765</v>
      </c>
      <c r="B609" s="325" t="s">
        <v>852</v>
      </c>
      <c r="C609" s="325" t="s">
        <v>751</v>
      </c>
      <c r="D609" s="325" t="s">
        <v>604</v>
      </c>
      <c r="E609" s="325" t="s">
        <v>265</v>
      </c>
      <c r="F609" s="325" t="s">
        <v>702</v>
      </c>
    </row>
    <row r="610" spans="1:6" x14ac:dyDescent="0.2">
      <c r="A610" s="325" t="s">
        <v>765</v>
      </c>
      <c r="B610" s="325" t="s">
        <v>853</v>
      </c>
      <c r="C610" s="325" t="s">
        <v>751</v>
      </c>
      <c r="D610" s="325" t="s">
        <v>565</v>
      </c>
      <c r="E610" s="325" t="s">
        <v>265</v>
      </c>
      <c r="F610" s="325" t="s">
        <v>306</v>
      </c>
    </row>
    <row r="611" spans="1:6" x14ac:dyDescent="0.2">
      <c r="A611" s="325" t="s">
        <v>765</v>
      </c>
      <c r="B611" s="325" t="s">
        <v>854</v>
      </c>
      <c r="C611" s="325" t="s">
        <v>751</v>
      </c>
      <c r="D611" s="325" t="s">
        <v>354</v>
      </c>
      <c r="E611" s="325" t="s">
        <v>265</v>
      </c>
      <c r="F611" s="325" t="s">
        <v>390</v>
      </c>
    </row>
    <row r="612" spans="1:6" x14ac:dyDescent="0.2">
      <c r="A612" s="325" t="s">
        <v>765</v>
      </c>
      <c r="B612" s="325" t="s">
        <v>855</v>
      </c>
      <c r="C612" s="325" t="s">
        <v>751</v>
      </c>
      <c r="D612" s="325" t="s">
        <v>93</v>
      </c>
      <c r="E612" s="325" t="s">
        <v>265</v>
      </c>
      <c r="F612" s="325" t="s">
        <v>170</v>
      </c>
    </row>
    <row r="613" spans="1:6" x14ac:dyDescent="0.2">
      <c r="A613" s="325" t="s">
        <v>765</v>
      </c>
      <c r="B613" s="325" t="s">
        <v>856</v>
      </c>
      <c r="C613" s="325" t="s">
        <v>751</v>
      </c>
      <c r="D613" s="325" t="s">
        <v>198</v>
      </c>
      <c r="E613" s="325" t="s">
        <v>265</v>
      </c>
      <c r="F613" s="325" t="s">
        <v>139</v>
      </c>
    </row>
    <row r="614" spans="1:6" x14ac:dyDescent="0.2">
      <c r="A614" s="325" t="s">
        <v>765</v>
      </c>
      <c r="B614" s="325" t="s">
        <v>857</v>
      </c>
      <c r="C614" s="325" t="s">
        <v>751</v>
      </c>
      <c r="D614" s="325" t="s">
        <v>542</v>
      </c>
      <c r="E614" s="325" t="s">
        <v>265</v>
      </c>
      <c r="F614" s="325" t="s">
        <v>27</v>
      </c>
    </row>
    <row r="615" spans="1:6" x14ac:dyDescent="0.2">
      <c r="A615" s="325" t="s">
        <v>765</v>
      </c>
      <c r="B615" s="325" t="s">
        <v>858</v>
      </c>
      <c r="C615" s="325" t="s">
        <v>751</v>
      </c>
      <c r="D615" s="325" t="s">
        <v>152</v>
      </c>
      <c r="E615" s="325" t="s">
        <v>265</v>
      </c>
      <c r="F615" s="325" t="s">
        <v>555</v>
      </c>
    </row>
    <row r="616" spans="1:6" x14ac:dyDescent="0.2">
      <c r="A616" s="325" t="s">
        <v>765</v>
      </c>
      <c r="B616" s="325" t="s">
        <v>859</v>
      </c>
      <c r="C616" s="325" t="s">
        <v>751</v>
      </c>
      <c r="D616" s="325" t="s">
        <v>547</v>
      </c>
      <c r="E616" s="325" t="s">
        <v>265</v>
      </c>
      <c r="F616" s="325" t="s">
        <v>374</v>
      </c>
    </row>
    <row r="617" spans="1:6" x14ac:dyDescent="0.2">
      <c r="A617" s="325" t="s">
        <v>765</v>
      </c>
      <c r="B617" s="325" t="s">
        <v>860</v>
      </c>
      <c r="C617" s="325" t="s">
        <v>751</v>
      </c>
      <c r="D617" s="325" t="s">
        <v>490</v>
      </c>
      <c r="E617" s="325" t="s">
        <v>265</v>
      </c>
      <c r="F617" s="325" t="s">
        <v>177</v>
      </c>
    </row>
    <row r="618" spans="1:6" x14ac:dyDescent="0.2">
      <c r="A618" s="325" t="s">
        <v>765</v>
      </c>
      <c r="B618" s="325" t="s">
        <v>861</v>
      </c>
      <c r="C618" s="325" t="s">
        <v>751</v>
      </c>
      <c r="D618" s="325" t="s">
        <v>209</v>
      </c>
      <c r="E618" s="325" t="s">
        <v>265</v>
      </c>
      <c r="F618" s="325" t="s">
        <v>41</v>
      </c>
    </row>
    <row r="619" spans="1:6" x14ac:dyDescent="0.2">
      <c r="A619" s="325" t="s">
        <v>765</v>
      </c>
      <c r="B619" s="325" t="s">
        <v>862</v>
      </c>
      <c r="C619" s="325" t="s">
        <v>751</v>
      </c>
      <c r="D619" s="325" t="s">
        <v>163</v>
      </c>
      <c r="E619" s="325" t="s">
        <v>265</v>
      </c>
      <c r="F619" s="325" t="s">
        <v>98</v>
      </c>
    </row>
    <row r="620" spans="1:6" x14ac:dyDescent="0.2">
      <c r="A620" s="325" t="s">
        <v>765</v>
      </c>
      <c r="B620" s="325" t="s">
        <v>863</v>
      </c>
      <c r="C620" s="325" t="s">
        <v>751</v>
      </c>
      <c r="D620" s="325" t="s">
        <v>200</v>
      </c>
      <c r="E620" s="325" t="s">
        <v>265</v>
      </c>
      <c r="F620" s="325" t="s">
        <v>230</v>
      </c>
    </row>
    <row r="621" spans="1:6" x14ac:dyDescent="0.2">
      <c r="A621" s="325" t="s">
        <v>765</v>
      </c>
      <c r="B621" s="325" t="s">
        <v>864</v>
      </c>
      <c r="C621" s="325" t="s">
        <v>751</v>
      </c>
      <c r="D621" s="325" t="s">
        <v>54</v>
      </c>
      <c r="E621" s="325" t="s">
        <v>265</v>
      </c>
      <c r="F621" s="325" t="s">
        <v>192</v>
      </c>
    </row>
    <row r="622" spans="1:6" x14ac:dyDescent="0.2">
      <c r="A622" s="325" t="s">
        <v>765</v>
      </c>
      <c r="B622" s="325" t="s">
        <v>865</v>
      </c>
      <c r="C622" s="325" t="s">
        <v>751</v>
      </c>
      <c r="D622" s="325" t="s">
        <v>133</v>
      </c>
      <c r="E622" s="325" t="s">
        <v>265</v>
      </c>
      <c r="F622" s="325" t="s">
        <v>349</v>
      </c>
    </row>
    <row r="623" spans="1:6" x14ac:dyDescent="0.2">
      <c r="A623" s="325" t="s">
        <v>765</v>
      </c>
      <c r="B623" s="325" t="s">
        <v>866</v>
      </c>
      <c r="C623" s="325" t="s">
        <v>751</v>
      </c>
      <c r="D623" s="325" t="s">
        <v>232</v>
      </c>
      <c r="E623" s="325" t="s">
        <v>265</v>
      </c>
      <c r="F623" s="325" t="s">
        <v>16</v>
      </c>
    </row>
    <row r="624" spans="1:6" x14ac:dyDescent="0.2">
      <c r="A624" s="325" t="s">
        <v>765</v>
      </c>
      <c r="B624" s="325" t="s">
        <v>867</v>
      </c>
      <c r="C624" s="325" t="s">
        <v>751</v>
      </c>
      <c r="D624" s="325" t="s">
        <v>56</v>
      </c>
      <c r="E624" s="325" t="s">
        <v>265</v>
      </c>
      <c r="F624" s="325" t="s">
        <v>199</v>
      </c>
    </row>
    <row r="625" spans="1:6" x14ac:dyDescent="0.2">
      <c r="A625" s="325" t="s">
        <v>765</v>
      </c>
      <c r="B625" s="325" t="s">
        <v>868</v>
      </c>
      <c r="C625" s="325" t="s">
        <v>751</v>
      </c>
      <c r="D625" s="325" t="s">
        <v>434</v>
      </c>
      <c r="E625" s="325" t="s">
        <v>265</v>
      </c>
      <c r="F625" s="325" t="s">
        <v>514</v>
      </c>
    </row>
    <row r="626" spans="1:6" x14ac:dyDescent="0.2">
      <c r="A626" s="325" t="s">
        <v>765</v>
      </c>
      <c r="B626" s="325" t="s">
        <v>869</v>
      </c>
      <c r="C626" s="325" t="s">
        <v>751</v>
      </c>
      <c r="D626" s="325" t="s">
        <v>108</v>
      </c>
      <c r="E626" s="325" t="s">
        <v>265</v>
      </c>
      <c r="F626" s="325" t="s">
        <v>362</v>
      </c>
    </row>
    <row r="627" spans="1:6" x14ac:dyDescent="0.2">
      <c r="A627" s="325" t="s">
        <v>765</v>
      </c>
      <c r="B627" s="325" t="s">
        <v>870</v>
      </c>
      <c r="C627" s="325" t="s">
        <v>751</v>
      </c>
      <c r="D627" s="325" t="s">
        <v>657</v>
      </c>
      <c r="E627" s="325" t="s">
        <v>265</v>
      </c>
      <c r="F627" s="325" t="s">
        <v>658</v>
      </c>
    </row>
    <row r="628" spans="1:6" x14ac:dyDescent="0.2">
      <c r="A628" s="325" t="s">
        <v>765</v>
      </c>
      <c r="B628" s="325" t="s">
        <v>871</v>
      </c>
      <c r="C628" s="325" t="s">
        <v>751</v>
      </c>
      <c r="D628" s="325" t="s">
        <v>659</v>
      </c>
      <c r="E628" s="325" t="s">
        <v>265</v>
      </c>
      <c r="F628" s="325" t="s">
        <v>660</v>
      </c>
    </row>
    <row r="629" spans="1:6" x14ac:dyDescent="0.2">
      <c r="A629" s="325" t="s">
        <v>765</v>
      </c>
      <c r="B629" s="325" t="s">
        <v>872</v>
      </c>
      <c r="C629" s="325" t="s">
        <v>751</v>
      </c>
      <c r="D629" s="325" t="s">
        <v>661</v>
      </c>
      <c r="E629" s="325" t="s">
        <v>265</v>
      </c>
      <c r="F629" s="325" t="s">
        <v>662</v>
      </c>
    </row>
    <row r="630" spans="1:6" x14ac:dyDescent="0.2">
      <c r="A630" s="325" t="s">
        <v>765</v>
      </c>
      <c r="B630" s="325" t="s">
        <v>873</v>
      </c>
      <c r="C630" s="325" t="s">
        <v>751</v>
      </c>
      <c r="D630" s="325" t="s">
        <v>648</v>
      </c>
      <c r="E630" s="325" t="s">
        <v>265</v>
      </c>
      <c r="F630" s="325" t="s">
        <v>651</v>
      </c>
    </row>
    <row r="631" spans="1:6" x14ac:dyDescent="0.2">
      <c r="A631" s="325" t="s">
        <v>765</v>
      </c>
      <c r="B631" s="325" t="s">
        <v>874</v>
      </c>
      <c r="C631" s="325" t="s">
        <v>751</v>
      </c>
      <c r="D631" s="325" t="s">
        <v>649</v>
      </c>
      <c r="E631" s="325" t="s">
        <v>265</v>
      </c>
      <c r="F631" s="325" t="s">
        <v>652</v>
      </c>
    </row>
    <row r="632" spans="1:6" x14ac:dyDescent="0.2">
      <c r="A632" s="325" t="s">
        <v>765</v>
      </c>
      <c r="B632" s="325" t="s">
        <v>875</v>
      </c>
      <c r="C632" s="325" t="s">
        <v>751</v>
      </c>
      <c r="D632" s="325" t="s">
        <v>650</v>
      </c>
      <c r="E632" s="325" t="s">
        <v>265</v>
      </c>
      <c r="F632" s="325" t="s">
        <v>653</v>
      </c>
    </row>
    <row r="633" spans="1:6" x14ac:dyDescent="0.2">
      <c r="A633" s="325" t="s">
        <v>765</v>
      </c>
      <c r="B633" s="325" t="s">
        <v>876</v>
      </c>
      <c r="C633" s="325" t="s">
        <v>751</v>
      </c>
      <c r="D633" s="325" t="s">
        <v>327</v>
      </c>
      <c r="E633" s="325" t="s">
        <v>265</v>
      </c>
      <c r="F633" s="325" t="s">
        <v>102</v>
      </c>
    </row>
    <row r="634" spans="1:6" x14ac:dyDescent="0.2">
      <c r="A634" s="325" t="s">
        <v>765</v>
      </c>
      <c r="B634" s="325" t="s">
        <v>877</v>
      </c>
      <c r="C634" s="325" t="s">
        <v>751</v>
      </c>
      <c r="D634" s="325" t="s">
        <v>356</v>
      </c>
      <c r="E634" s="325" t="s">
        <v>265</v>
      </c>
      <c r="F634" s="325" t="s">
        <v>1011</v>
      </c>
    </row>
    <row r="635" spans="1:6" x14ac:dyDescent="0.2">
      <c r="A635" s="325" t="s">
        <v>765</v>
      </c>
      <c r="B635" s="325" t="s">
        <v>878</v>
      </c>
      <c r="C635" s="325" t="s">
        <v>751</v>
      </c>
      <c r="D635" s="325" t="s">
        <v>513</v>
      </c>
      <c r="E635" s="325" t="s">
        <v>442</v>
      </c>
      <c r="F635" s="325" t="s">
        <v>264</v>
      </c>
    </row>
    <row r="636" spans="1:6" x14ac:dyDescent="0.2">
      <c r="A636" s="325" t="s">
        <v>765</v>
      </c>
      <c r="B636" s="325" t="s">
        <v>879</v>
      </c>
      <c r="C636" s="325" t="s">
        <v>751</v>
      </c>
      <c r="D636" s="325" t="s">
        <v>554</v>
      </c>
      <c r="E636" s="325" t="s">
        <v>442</v>
      </c>
      <c r="F636" s="325" t="s">
        <v>229</v>
      </c>
    </row>
    <row r="637" spans="1:6" x14ac:dyDescent="0.2">
      <c r="A637" s="325" t="s">
        <v>765</v>
      </c>
      <c r="B637" s="325" t="s">
        <v>880</v>
      </c>
      <c r="C637" s="325" t="s">
        <v>751</v>
      </c>
      <c r="D637" s="325" t="s">
        <v>409</v>
      </c>
      <c r="E637" s="325" t="s">
        <v>442</v>
      </c>
      <c r="F637" s="325" t="s">
        <v>336</v>
      </c>
    </row>
    <row r="638" spans="1:6" x14ac:dyDescent="0.2">
      <c r="A638" s="325" t="s">
        <v>765</v>
      </c>
      <c r="B638" s="325" t="s">
        <v>881</v>
      </c>
      <c r="C638" s="325" t="s">
        <v>751</v>
      </c>
      <c r="D638" s="325" t="s">
        <v>72</v>
      </c>
      <c r="E638" s="325" t="s">
        <v>265</v>
      </c>
      <c r="F638" s="325" t="s">
        <v>451</v>
      </c>
    </row>
    <row r="639" spans="1:6" x14ac:dyDescent="0.2">
      <c r="A639" s="325" t="s">
        <v>765</v>
      </c>
      <c r="B639" s="325" t="s">
        <v>882</v>
      </c>
      <c r="C639" s="325" t="s">
        <v>751</v>
      </c>
      <c r="D639" s="325" t="s">
        <v>35</v>
      </c>
      <c r="E639" s="325" t="s">
        <v>265</v>
      </c>
      <c r="F639" s="325" t="s">
        <v>414</v>
      </c>
    </row>
    <row r="640" spans="1:6" x14ac:dyDescent="0.2">
      <c r="A640" s="325" t="s">
        <v>765</v>
      </c>
      <c r="B640" s="325" t="s">
        <v>883</v>
      </c>
      <c r="C640" s="325" t="s">
        <v>751</v>
      </c>
      <c r="D640" s="325" t="s">
        <v>110</v>
      </c>
      <c r="E640" s="325" t="s">
        <v>442</v>
      </c>
      <c r="F640" s="325" t="s">
        <v>62</v>
      </c>
    </row>
    <row r="641" spans="1:6" x14ac:dyDescent="0.2">
      <c r="A641" s="325" t="s">
        <v>765</v>
      </c>
      <c r="B641" s="325" t="s">
        <v>884</v>
      </c>
      <c r="C641" s="325" t="s">
        <v>751</v>
      </c>
      <c r="D641" s="325" t="s">
        <v>122</v>
      </c>
      <c r="E641" s="325" t="s">
        <v>442</v>
      </c>
      <c r="F641" s="325" t="s">
        <v>148</v>
      </c>
    </row>
    <row r="642" spans="1:6" x14ac:dyDescent="0.2">
      <c r="A642" s="325" t="s">
        <v>765</v>
      </c>
      <c r="B642" s="325" t="s">
        <v>885</v>
      </c>
      <c r="C642" s="325" t="s">
        <v>751</v>
      </c>
      <c r="D642" s="325" t="s">
        <v>392</v>
      </c>
      <c r="E642" s="325" t="s">
        <v>456</v>
      </c>
      <c r="F642" s="325" t="s">
        <v>8</v>
      </c>
    </row>
    <row r="643" spans="1:6" x14ac:dyDescent="0.2">
      <c r="A643" s="325" t="s">
        <v>765</v>
      </c>
      <c r="B643" s="325" t="s">
        <v>886</v>
      </c>
      <c r="C643" s="325" t="s">
        <v>751</v>
      </c>
      <c r="D643" s="325" t="s">
        <v>355</v>
      </c>
      <c r="E643" s="325" t="s">
        <v>456</v>
      </c>
      <c r="F643" s="325" t="s">
        <v>475</v>
      </c>
    </row>
    <row r="644" spans="1:6" x14ac:dyDescent="0.2">
      <c r="A644" s="325" t="s">
        <v>765</v>
      </c>
      <c r="B644" s="325" t="s">
        <v>887</v>
      </c>
      <c r="C644" s="325" t="s">
        <v>751</v>
      </c>
      <c r="D644" s="325" t="s">
        <v>253</v>
      </c>
      <c r="E644" s="325" t="s">
        <v>456</v>
      </c>
      <c r="F644" s="325" t="s">
        <v>245</v>
      </c>
    </row>
    <row r="645" spans="1:6" x14ac:dyDescent="0.2">
      <c r="A645" s="325" t="s">
        <v>765</v>
      </c>
      <c r="B645" s="325" t="s">
        <v>888</v>
      </c>
      <c r="C645" s="325" t="s">
        <v>751</v>
      </c>
      <c r="D645" s="325" t="s">
        <v>561</v>
      </c>
      <c r="E645" s="325" t="s">
        <v>456</v>
      </c>
      <c r="F645" s="325" t="s">
        <v>181</v>
      </c>
    </row>
    <row r="646" spans="1:6" x14ac:dyDescent="0.2">
      <c r="A646" s="325" t="s">
        <v>765</v>
      </c>
      <c r="B646" s="325" t="s">
        <v>889</v>
      </c>
      <c r="C646" s="325" t="s">
        <v>751</v>
      </c>
      <c r="D646" s="325" t="s">
        <v>712</v>
      </c>
      <c r="E646" s="325" t="s">
        <v>265</v>
      </c>
      <c r="F646" s="325" t="s">
        <v>713</v>
      </c>
    </row>
    <row r="647" spans="1:6" x14ac:dyDescent="0.2">
      <c r="A647" s="325" t="s">
        <v>765</v>
      </c>
      <c r="B647" s="325" t="s">
        <v>890</v>
      </c>
      <c r="C647" s="325" t="s">
        <v>751</v>
      </c>
      <c r="D647" s="325" t="s">
        <v>78</v>
      </c>
      <c r="E647" s="325" t="s">
        <v>456</v>
      </c>
      <c r="F647" s="325" t="s">
        <v>63</v>
      </c>
    </row>
    <row r="648" spans="1:6" x14ac:dyDescent="0.2">
      <c r="A648" s="325" t="s">
        <v>765</v>
      </c>
      <c r="B648" s="325" t="s">
        <v>891</v>
      </c>
      <c r="C648" s="325" t="s">
        <v>751</v>
      </c>
      <c r="D648" s="325" t="s">
        <v>582</v>
      </c>
      <c r="E648" s="325" t="s">
        <v>456</v>
      </c>
      <c r="F648" s="325" t="s">
        <v>1012</v>
      </c>
    </row>
    <row r="649" spans="1:6" x14ac:dyDescent="0.2">
      <c r="A649" s="325" t="s">
        <v>765</v>
      </c>
      <c r="B649" s="325" t="s">
        <v>892</v>
      </c>
      <c r="C649" s="325" t="s">
        <v>751</v>
      </c>
      <c r="D649" s="325" t="s">
        <v>699</v>
      </c>
      <c r="E649" s="325" t="s">
        <v>265</v>
      </c>
      <c r="F649" s="325" t="s">
        <v>994</v>
      </c>
    </row>
    <row r="650" spans="1:6" x14ac:dyDescent="0.2">
      <c r="A650" s="325" t="s">
        <v>765</v>
      </c>
      <c r="B650" s="325" t="s">
        <v>893</v>
      </c>
      <c r="C650" s="325" t="s">
        <v>751</v>
      </c>
      <c r="D650" s="325" t="s">
        <v>166</v>
      </c>
      <c r="E650" s="325" t="s">
        <v>456</v>
      </c>
      <c r="F650" s="325" t="s">
        <v>74</v>
      </c>
    </row>
    <row r="651" spans="1:6" x14ac:dyDescent="0.2">
      <c r="A651" s="325" t="s">
        <v>765</v>
      </c>
      <c r="B651" s="325" t="s">
        <v>894</v>
      </c>
      <c r="C651" s="325" t="s">
        <v>751</v>
      </c>
      <c r="D651" s="325" t="s">
        <v>94</v>
      </c>
      <c r="E651" s="325" t="s">
        <v>456</v>
      </c>
      <c r="F651" s="325" t="s">
        <v>236</v>
      </c>
    </row>
    <row r="652" spans="1:6" x14ac:dyDescent="0.2">
      <c r="A652" s="325" t="s">
        <v>765</v>
      </c>
      <c r="B652" s="325" t="s">
        <v>895</v>
      </c>
      <c r="C652" s="325" t="s">
        <v>751</v>
      </c>
      <c r="D652" s="325" t="s">
        <v>506</v>
      </c>
      <c r="E652" s="325" t="s">
        <v>456</v>
      </c>
      <c r="F652" s="325" t="s">
        <v>74</v>
      </c>
    </row>
    <row r="653" spans="1:6" x14ac:dyDescent="0.2">
      <c r="A653" s="325" t="s">
        <v>765</v>
      </c>
      <c r="B653" s="325" t="s">
        <v>896</v>
      </c>
      <c r="C653" s="325" t="s">
        <v>751</v>
      </c>
      <c r="D653" s="325" t="s">
        <v>205</v>
      </c>
      <c r="E653" s="325" t="s">
        <v>456</v>
      </c>
      <c r="F653" s="325" t="s">
        <v>236</v>
      </c>
    </row>
    <row r="654" spans="1:6" x14ac:dyDescent="0.2">
      <c r="A654" s="325" t="s">
        <v>765</v>
      </c>
      <c r="B654" s="325" t="s">
        <v>897</v>
      </c>
      <c r="C654" s="325" t="s">
        <v>751</v>
      </c>
      <c r="D654" s="325" t="s">
        <v>284</v>
      </c>
      <c r="E654" s="325" t="s">
        <v>456</v>
      </c>
      <c r="F654" s="325" t="s">
        <v>342</v>
      </c>
    </row>
    <row r="655" spans="1:6" x14ac:dyDescent="0.2">
      <c r="A655" s="325" t="s">
        <v>765</v>
      </c>
      <c r="B655" s="325" t="s">
        <v>898</v>
      </c>
      <c r="C655" s="325" t="s">
        <v>751</v>
      </c>
      <c r="D655" s="325" t="s">
        <v>332</v>
      </c>
      <c r="E655" s="325" t="s">
        <v>456</v>
      </c>
      <c r="F655" s="325" t="s">
        <v>559</v>
      </c>
    </row>
    <row r="656" spans="1:6" x14ac:dyDescent="0.2">
      <c r="A656" s="325" t="s">
        <v>765</v>
      </c>
      <c r="B656" s="325" t="s">
        <v>899</v>
      </c>
      <c r="C656" s="325" t="s">
        <v>751</v>
      </c>
      <c r="D656" s="325" t="s">
        <v>361</v>
      </c>
      <c r="E656" s="325" t="s">
        <v>456</v>
      </c>
      <c r="F656" s="325" t="s">
        <v>256</v>
      </c>
    </row>
    <row r="657" spans="1:6" x14ac:dyDescent="0.2">
      <c r="A657" s="325" t="s">
        <v>765</v>
      </c>
      <c r="B657" s="325" t="s">
        <v>901</v>
      </c>
      <c r="C657" s="325" t="s">
        <v>751</v>
      </c>
      <c r="D657" s="325" t="s">
        <v>21</v>
      </c>
      <c r="E657" s="325" t="s">
        <v>265</v>
      </c>
      <c r="F657" s="325" t="s">
        <v>47</v>
      </c>
    </row>
    <row r="658" spans="1:6" x14ac:dyDescent="0.2">
      <c r="A658" s="325" t="s">
        <v>765</v>
      </c>
      <c r="B658" s="325" t="s">
        <v>902</v>
      </c>
      <c r="C658" s="325" t="s">
        <v>751</v>
      </c>
      <c r="D658" s="325" t="s">
        <v>323</v>
      </c>
      <c r="E658" s="325" t="s">
        <v>265</v>
      </c>
      <c r="F658" s="325" t="s">
        <v>20</v>
      </c>
    </row>
    <row r="659" spans="1:6" x14ac:dyDescent="0.2">
      <c r="A659" s="325" t="s">
        <v>765</v>
      </c>
      <c r="B659" s="325" t="s">
        <v>903</v>
      </c>
      <c r="C659" s="325" t="s">
        <v>751</v>
      </c>
      <c r="D659" s="325" t="s">
        <v>447</v>
      </c>
      <c r="E659" s="325" t="s">
        <v>265</v>
      </c>
      <c r="F659" s="325" t="s">
        <v>741</v>
      </c>
    </row>
    <row r="660" spans="1:6" x14ac:dyDescent="0.2">
      <c r="A660" s="325" t="s">
        <v>765</v>
      </c>
      <c r="B660" s="325" t="s">
        <v>904</v>
      </c>
      <c r="C660" s="325" t="s">
        <v>751</v>
      </c>
      <c r="D660" s="325" t="s">
        <v>742</v>
      </c>
      <c r="E660" s="325" t="s">
        <v>456</v>
      </c>
      <c r="F660" s="325" t="s">
        <v>743</v>
      </c>
    </row>
    <row r="661" spans="1:6" x14ac:dyDescent="0.2">
      <c r="A661" s="325" t="s">
        <v>765</v>
      </c>
      <c r="B661" s="325" t="s">
        <v>905</v>
      </c>
      <c r="C661" s="325" t="s">
        <v>751</v>
      </c>
      <c r="D661" s="325" t="s">
        <v>516</v>
      </c>
      <c r="E661" s="325" t="s">
        <v>456</v>
      </c>
      <c r="F661" s="325" t="s">
        <v>995</v>
      </c>
    </row>
    <row r="662" spans="1:6" x14ac:dyDescent="0.2">
      <c r="A662" s="325" t="s">
        <v>765</v>
      </c>
      <c r="B662" s="325" t="s">
        <v>906</v>
      </c>
      <c r="C662" s="325" t="s">
        <v>751</v>
      </c>
      <c r="D662" s="325" t="s">
        <v>679</v>
      </c>
      <c r="E662" s="325" t="s">
        <v>265</v>
      </c>
      <c r="F662" s="325" t="s">
        <v>682</v>
      </c>
    </row>
    <row r="663" spans="1:6" x14ac:dyDescent="0.2">
      <c r="A663" s="325" t="s">
        <v>765</v>
      </c>
      <c r="B663" s="325" t="s">
        <v>907</v>
      </c>
      <c r="C663" s="325" t="s">
        <v>751</v>
      </c>
      <c r="D663" s="325" t="s">
        <v>30</v>
      </c>
      <c r="E663" s="325" t="s">
        <v>456</v>
      </c>
      <c r="F663" s="325" t="s">
        <v>165</v>
      </c>
    </row>
    <row r="664" spans="1:6" x14ac:dyDescent="0.2">
      <c r="A664" s="325" t="s">
        <v>765</v>
      </c>
      <c r="B664" s="325" t="s">
        <v>908</v>
      </c>
      <c r="C664" s="325" t="s">
        <v>751</v>
      </c>
      <c r="D664" s="325" t="s">
        <v>280</v>
      </c>
      <c r="E664" s="325" t="s">
        <v>456</v>
      </c>
      <c r="F664" s="325" t="s">
        <v>535</v>
      </c>
    </row>
    <row r="665" spans="1:6" x14ac:dyDescent="0.2">
      <c r="A665" s="325" t="s">
        <v>765</v>
      </c>
      <c r="B665" s="325" t="s">
        <v>909</v>
      </c>
      <c r="C665" s="325" t="s">
        <v>751</v>
      </c>
      <c r="D665" s="325" t="s">
        <v>386</v>
      </c>
      <c r="E665" s="325" t="s">
        <v>456</v>
      </c>
      <c r="F665" s="325" t="s">
        <v>311</v>
      </c>
    </row>
    <row r="666" spans="1:6" x14ac:dyDescent="0.2">
      <c r="A666" s="325" t="s">
        <v>765</v>
      </c>
      <c r="B666" s="325" t="s">
        <v>910</v>
      </c>
      <c r="C666" s="325" t="s">
        <v>751</v>
      </c>
      <c r="D666" s="325" t="s">
        <v>395</v>
      </c>
      <c r="E666" s="325" t="s">
        <v>456</v>
      </c>
      <c r="F666" s="325" t="s">
        <v>588</v>
      </c>
    </row>
    <row r="667" spans="1:6" x14ac:dyDescent="0.2">
      <c r="A667" s="325" t="s">
        <v>765</v>
      </c>
      <c r="B667" s="325" t="s">
        <v>911</v>
      </c>
      <c r="C667" s="325" t="s">
        <v>751</v>
      </c>
      <c r="D667" s="325" t="s">
        <v>499</v>
      </c>
      <c r="E667" s="325" t="s">
        <v>456</v>
      </c>
      <c r="F667" s="325" t="s">
        <v>314</v>
      </c>
    </row>
    <row r="668" spans="1:6" x14ac:dyDescent="0.2">
      <c r="A668" s="325" t="s">
        <v>765</v>
      </c>
      <c r="B668" s="325" t="s">
        <v>971</v>
      </c>
      <c r="C668" s="325" t="s">
        <v>751</v>
      </c>
      <c r="D668" s="325" t="s">
        <v>413</v>
      </c>
      <c r="E668" s="325" t="s">
        <v>265</v>
      </c>
      <c r="F668" s="325" t="s">
        <v>273</v>
      </c>
    </row>
    <row r="669" spans="1:6" x14ac:dyDescent="0.2">
      <c r="A669" s="325" t="s">
        <v>765</v>
      </c>
      <c r="B669" s="325" t="s">
        <v>974</v>
      </c>
      <c r="C669" s="325" t="s">
        <v>751</v>
      </c>
      <c r="D669" s="325" t="s">
        <v>51</v>
      </c>
      <c r="E669" s="325" t="s">
        <v>265</v>
      </c>
      <c r="F669" s="325" t="s">
        <v>266</v>
      </c>
    </row>
    <row r="670" spans="1:6" x14ac:dyDescent="0.2">
      <c r="A670" s="325" t="s">
        <v>765</v>
      </c>
      <c r="B670" s="325" t="s">
        <v>975</v>
      </c>
      <c r="C670" s="325" t="s">
        <v>751</v>
      </c>
      <c r="D670" s="325" t="s">
        <v>283</v>
      </c>
      <c r="E670" s="325" t="s">
        <v>265</v>
      </c>
      <c r="F670" s="325" t="s">
        <v>53</v>
      </c>
    </row>
    <row r="671" spans="1:6" x14ac:dyDescent="0.2">
      <c r="A671" s="325" t="s">
        <v>765</v>
      </c>
      <c r="B671" s="325" t="s">
        <v>976</v>
      </c>
      <c r="C671" s="325" t="s">
        <v>751</v>
      </c>
      <c r="D671" s="325" t="s">
        <v>270</v>
      </c>
      <c r="E671" s="325" t="s">
        <v>442</v>
      </c>
      <c r="F671" s="325" t="s">
        <v>372</v>
      </c>
    </row>
    <row r="672" spans="1:6" x14ac:dyDescent="0.2">
      <c r="A672" s="325" t="s">
        <v>765</v>
      </c>
      <c r="B672" s="325" t="s">
        <v>977</v>
      </c>
      <c r="C672" s="325" t="s">
        <v>751</v>
      </c>
      <c r="D672" s="325" t="s">
        <v>576</v>
      </c>
      <c r="E672" s="325" t="s">
        <v>265</v>
      </c>
      <c r="F672" s="325" t="s">
        <v>333</v>
      </c>
    </row>
    <row r="673" spans="1:6" x14ac:dyDescent="0.2">
      <c r="A673" s="325" t="s">
        <v>765</v>
      </c>
      <c r="B673" s="325" t="s">
        <v>793</v>
      </c>
      <c r="C673" s="325" t="s">
        <v>752</v>
      </c>
      <c r="D673" s="325" t="s">
        <v>654</v>
      </c>
      <c r="E673" s="325" t="s">
        <v>265</v>
      </c>
      <c r="F673" s="325" t="s">
        <v>998</v>
      </c>
    </row>
    <row r="674" spans="1:6" x14ac:dyDescent="0.2">
      <c r="A674" s="325" t="s">
        <v>765</v>
      </c>
      <c r="B674" s="325" t="s">
        <v>794</v>
      </c>
      <c r="C674" s="325" t="s">
        <v>752</v>
      </c>
      <c r="D674" s="325" t="s">
        <v>510</v>
      </c>
      <c r="E674" s="325" t="s">
        <v>265</v>
      </c>
      <c r="F674" s="325" t="s">
        <v>999</v>
      </c>
    </row>
    <row r="675" spans="1:6" x14ac:dyDescent="0.2">
      <c r="A675" s="325" t="s">
        <v>765</v>
      </c>
      <c r="B675" s="325" t="s">
        <v>795</v>
      </c>
      <c r="C675" s="325" t="s">
        <v>752</v>
      </c>
      <c r="D675" s="325" t="s">
        <v>400</v>
      </c>
      <c r="E675" s="325" t="s">
        <v>265</v>
      </c>
      <c r="F675" s="325" t="s">
        <v>1001</v>
      </c>
    </row>
    <row r="676" spans="1:6" x14ac:dyDescent="0.2">
      <c r="A676" s="325" t="s">
        <v>765</v>
      </c>
      <c r="B676" s="325" t="s">
        <v>796</v>
      </c>
      <c r="C676" s="325" t="s">
        <v>752</v>
      </c>
      <c r="D676" s="325" t="s">
        <v>302</v>
      </c>
      <c r="E676" s="325" t="s">
        <v>265</v>
      </c>
      <c r="F676" s="325" t="s">
        <v>1000</v>
      </c>
    </row>
    <row r="677" spans="1:6" x14ac:dyDescent="0.2">
      <c r="A677" s="325" t="s">
        <v>765</v>
      </c>
      <c r="B677" s="325" t="s">
        <v>797</v>
      </c>
      <c r="C677" s="325" t="s">
        <v>752</v>
      </c>
      <c r="D677" s="325" t="s">
        <v>28</v>
      </c>
      <c r="E677" s="325" t="s">
        <v>442</v>
      </c>
      <c r="F677" s="325" t="s">
        <v>1008</v>
      </c>
    </row>
    <row r="678" spans="1:6" x14ac:dyDescent="0.2">
      <c r="A678" s="325" t="s">
        <v>765</v>
      </c>
      <c r="B678" s="325" t="s">
        <v>798</v>
      </c>
      <c r="C678" s="325" t="s">
        <v>752</v>
      </c>
      <c r="D678" s="325" t="s">
        <v>67</v>
      </c>
      <c r="E678" s="325" t="s">
        <v>556</v>
      </c>
      <c r="F678" s="325" t="s">
        <v>1009</v>
      </c>
    </row>
    <row r="679" spans="1:6" x14ac:dyDescent="0.2">
      <c r="A679" s="325" t="s">
        <v>765</v>
      </c>
      <c r="B679" s="325" t="s">
        <v>799</v>
      </c>
      <c r="C679" s="325" t="s">
        <v>752</v>
      </c>
      <c r="D679" s="325" t="s">
        <v>168</v>
      </c>
      <c r="E679" s="325" t="s">
        <v>265</v>
      </c>
      <c r="F679" s="325" t="s">
        <v>145</v>
      </c>
    </row>
    <row r="680" spans="1:6" x14ac:dyDescent="0.2">
      <c r="A680" s="325" t="s">
        <v>765</v>
      </c>
      <c r="B680" s="325" t="s">
        <v>800</v>
      </c>
      <c r="C680" s="325" t="s">
        <v>752</v>
      </c>
      <c r="D680" s="325" t="s">
        <v>310</v>
      </c>
      <c r="E680" s="325" t="s">
        <v>265</v>
      </c>
      <c r="F680" s="325" t="s">
        <v>350</v>
      </c>
    </row>
    <row r="681" spans="1:6" x14ac:dyDescent="0.2">
      <c r="A681" s="325" t="s">
        <v>765</v>
      </c>
      <c r="B681" s="325" t="s">
        <v>801</v>
      </c>
      <c r="C681" s="325" t="s">
        <v>752</v>
      </c>
      <c r="D681" s="325" t="s">
        <v>87</v>
      </c>
      <c r="E681" s="325" t="s">
        <v>265</v>
      </c>
      <c r="F681" s="325" t="s">
        <v>79</v>
      </c>
    </row>
    <row r="682" spans="1:6" x14ac:dyDescent="0.2">
      <c r="A682" s="325" t="s">
        <v>765</v>
      </c>
      <c r="B682" s="325" t="s">
        <v>802</v>
      </c>
      <c r="C682" s="325" t="s">
        <v>752</v>
      </c>
      <c r="D682" s="325" t="s">
        <v>228</v>
      </c>
      <c r="E682" s="325" t="s">
        <v>265</v>
      </c>
      <c r="F682" s="325" t="s">
        <v>331</v>
      </c>
    </row>
    <row r="683" spans="1:6" x14ac:dyDescent="0.2">
      <c r="A683" s="325" t="s">
        <v>765</v>
      </c>
      <c r="B683" s="325" t="s">
        <v>803</v>
      </c>
      <c r="C683" s="325" t="s">
        <v>752</v>
      </c>
      <c r="D683" s="325" t="s">
        <v>144</v>
      </c>
      <c r="E683" s="325" t="s">
        <v>265</v>
      </c>
      <c r="F683" s="325" t="s">
        <v>340</v>
      </c>
    </row>
    <row r="684" spans="1:6" x14ac:dyDescent="0.2">
      <c r="A684" s="325" t="s">
        <v>765</v>
      </c>
      <c r="B684" s="325" t="s">
        <v>804</v>
      </c>
      <c r="C684" s="325" t="s">
        <v>752</v>
      </c>
      <c r="D684" s="325" t="s">
        <v>429</v>
      </c>
      <c r="E684" s="325" t="s">
        <v>265</v>
      </c>
      <c r="F684" s="325" t="s">
        <v>263</v>
      </c>
    </row>
    <row r="685" spans="1:6" x14ac:dyDescent="0.2">
      <c r="A685" s="325" t="s">
        <v>765</v>
      </c>
      <c r="B685" s="325" t="s">
        <v>805</v>
      </c>
      <c r="C685" s="325" t="s">
        <v>752</v>
      </c>
      <c r="D685" s="325" t="s">
        <v>182</v>
      </c>
      <c r="E685" s="325" t="s">
        <v>265</v>
      </c>
      <c r="F685" s="325" t="s">
        <v>223</v>
      </c>
    </row>
    <row r="686" spans="1:6" x14ac:dyDescent="0.2">
      <c r="A686" s="325" t="s">
        <v>765</v>
      </c>
      <c r="B686" s="325" t="s">
        <v>806</v>
      </c>
      <c r="C686" s="325" t="s">
        <v>752</v>
      </c>
      <c r="D686" s="325" t="s">
        <v>298</v>
      </c>
      <c r="E686" s="325" t="s">
        <v>265</v>
      </c>
      <c r="F686" s="325" t="s">
        <v>423</v>
      </c>
    </row>
    <row r="687" spans="1:6" x14ac:dyDescent="0.2">
      <c r="A687" s="325" t="s">
        <v>765</v>
      </c>
      <c r="B687" s="325" t="s">
        <v>807</v>
      </c>
      <c r="C687" s="325" t="s">
        <v>752</v>
      </c>
      <c r="D687" s="325" t="s">
        <v>571</v>
      </c>
      <c r="E687" s="325" t="s">
        <v>265</v>
      </c>
      <c r="F687" s="325" t="s">
        <v>258</v>
      </c>
    </row>
    <row r="688" spans="1:6" x14ac:dyDescent="0.2">
      <c r="A688" s="325" t="s">
        <v>765</v>
      </c>
      <c r="B688" s="325" t="s">
        <v>808</v>
      </c>
      <c r="C688" s="325" t="s">
        <v>752</v>
      </c>
      <c r="D688" s="325" t="s">
        <v>156</v>
      </c>
      <c r="E688" s="325" t="s">
        <v>265</v>
      </c>
      <c r="F688" s="325" t="s">
        <v>226</v>
      </c>
    </row>
    <row r="689" spans="1:6" x14ac:dyDescent="0.2">
      <c r="A689" s="325" t="s">
        <v>765</v>
      </c>
      <c r="B689" s="325" t="s">
        <v>809</v>
      </c>
      <c r="C689" s="325" t="s">
        <v>752</v>
      </c>
      <c r="D689" s="325" t="s">
        <v>299</v>
      </c>
      <c r="E689" s="325" t="s">
        <v>265</v>
      </c>
      <c r="F689" s="325" t="s">
        <v>3</v>
      </c>
    </row>
    <row r="690" spans="1:6" x14ac:dyDescent="0.2">
      <c r="A690" s="325" t="s">
        <v>765</v>
      </c>
      <c r="B690" s="325" t="s">
        <v>810</v>
      </c>
      <c r="C690" s="325" t="s">
        <v>752</v>
      </c>
      <c r="D690" s="325" t="s">
        <v>164</v>
      </c>
      <c r="E690" s="325" t="s">
        <v>265</v>
      </c>
      <c r="F690" s="325" t="s">
        <v>524</v>
      </c>
    </row>
    <row r="691" spans="1:6" x14ac:dyDescent="0.2">
      <c r="A691" s="325" t="s">
        <v>765</v>
      </c>
      <c r="B691" s="325" t="s">
        <v>811</v>
      </c>
      <c r="C691" s="325" t="s">
        <v>752</v>
      </c>
      <c r="D691" s="325" t="s">
        <v>403</v>
      </c>
      <c r="E691" s="325" t="s">
        <v>265</v>
      </c>
      <c r="F691" s="325" t="s">
        <v>195</v>
      </c>
    </row>
    <row r="692" spans="1:6" x14ac:dyDescent="0.2">
      <c r="A692" s="325" t="s">
        <v>765</v>
      </c>
      <c r="B692" s="325" t="s">
        <v>812</v>
      </c>
      <c r="C692" s="325" t="s">
        <v>752</v>
      </c>
      <c r="D692" s="325" t="s">
        <v>367</v>
      </c>
      <c r="E692" s="325" t="s">
        <v>265</v>
      </c>
      <c r="F692" s="325" t="s">
        <v>461</v>
      </c>
    </row>
    <row r="693" spans="1:6" x14ac:dyDescent="0.2">
      <c r="A693" s="325" t="s">
        <v>765</v>
      </c>
      <c r="B693" s="325" t="s">
        <v>813</v>
      </c>
      <c r="C693" s="325" t="s">
        <v>752</v>
      </c>
      <c r="D693" s="325" t="s">
        <v>105</v>
      </c>
      <c r="E693" s="325" t="s">
        <v>265</v>
      </c>
      <c r="F693" s="325" t="s">
        <v>393</v>
      </c>
    </row>
    <row r="694" spans="1:6" x14ac:dyDescent="0.2">
      <c r="A694" s="325" t="s">
        <v>765</v>
      </c>
      <c r="B694" s="325" t="s">
        <v>814</v>
      </c>
      <c r="C694" s="325" t="s">
        <v>752</v>
      </c>
      <c r="D694" s="325" t="s">
        <v>520</v>
      </c>
      <c r="E694" s="325" t="s">
        <v>265</v>
      </c>
      <c r="F694" s="325" t="s">
        <v>277</v>
      </c>
    </row>
    <row r="695" spans="1:6" x14ac:dyDescent="0.2">
      <c r="A695" s="325" t="s">
        <v>765</v>
      </c>
      <c r="B695" s="325" t="s">
        <v>815</v>
      </c>
      <c r="C695" s="325" t="s">
        <v>752</v>
      </c>
      <c r="D695" s="325" t="s">
        <v>469</v>
      </c>
      <c r="E695" s="325" t="s">
        <v>265</v>
      </c>
      <c r="F695" s="325" t="s">
        <v>452</v>
      </c>
    </row>
    <row r="696" spans="1:6" x14ac:dyDescent="0.2">
      <c r="A696" s="325" t="s">
        <v>765</v>
      </c>
      <c r="B696" s="325" t="s">
        <v>816</v>
      </c>
      <c r="C696" s="325" t="s">
        <v>752</v>
      </c>
      <c r="D696" s="325" t="s">
        <v>432</v>
      </c>
      <c r="E696" s="325" t="s">
        <v>265</v>
      </c>
      <c r="F696" s="325" t="s">
        <v>489</v>
      </c>
    </row>
    <row r="697" spans="1:6" x14ac:dyDescent="0.2">
      <c r="A697" s="325" t="s">
        <v>765</v>
      </c>
      <c r="B697" s="325" t="s">
        <v>817</v>
      </c>
      <c r="C697" s="325" t="s">
        <v>752</v>
      </c>
      <c r="D697" s="325" t="s">
        <v>75</v>
      </c>
      <c r="E697" s="325" t="s">
        <v>265</v>
      </c>
      <c r="F697" s="325" t="s">
        <v>288</v>
      </c>
    </row>
    <row r="698" spans="1:6" x14ac:dyDescent="0.2">
      <c r="A698" s="325" t="s">
        <v>765</v>
      </c>
      <c r="B698" s="325" t="s">
        <v>818</v>
      </c>
      <c r="C698" s="325" t="s">
        <v>752</v>
      </c>
      <c r="D698" s="325" t="s">
        <v>666</v>
      </c>
      <c r="E698" s="325" t="s">
        <v>556</v>
      </c>
      <c r="F698" s="325" t="s">
        <v>665</v>
      </c>
    </row>
    <row r="699" spans="1:6" x14ac:dyDescent="0.2">
      <c r="A699" s="325" t="s">
        <v>765</v>
      </c>
      <c r="B699" s="325" t="s">
        <v>819</v>
      </c>
      <c r="C699" s="325" t="s">
        <v>752</v>
      </c>
      <c r="D699" s="325" t="s">
        <v>111</v>
      </c>
      <c r="E699" s="325" t="s">
        <v>265</v>
      </c>
      <c r="F699" s="325" t="s">
        <v>261</v>
      </c>
    </row>
    <row r="700" spans="1:6" x14ac:dyDescent="0.2">
      <c r="A700" s="325" t="s">
        <v>765</v>
      </c>
      <c r="B700" s="325" t="s">
        <v>820</v>
      </c>
      <c r="C700" s="325" t="s">
        <v>752</v>
      </c>
      <c r="D700" s="325" t="s">
        <v>289</v>
      </c>
      <c r="E700" s="325" t="s">
        <v>265</v>
      </c>
      <c r="F700" s="325" t="s">
        <v>674</v>
      </c>
    </row>
    <row r="701" spans="1:6" x14ac:dyDescent="0.2">
      <c r="A701" s="325" t="s">
        <v>765</v>
      </c>
      <c r="B701" s="325" t="s">
        <v>821</v>
      </c>
      <c r="C701" s="325" t="s">
        <v>752</v>
      </c>
      <c r="D701" s="325" t="s">
        <v>308</v>
      </c>
      <c r="E701" s="325" t="s">
        <v>265</v>
      </c>
      <c r="F701" s="325" t="s">
        <v>675</v>
      </c>
    </row>
    <row r="702" spans="1:6" x14ac:dyDescent="0.2">
      <c r="A702" s="325" t="s">
        <v>765</v>
      </c>
      <c r="B702" s="325" t="s">
        <v>822</v>
      </c>
      <c r="C702" s="325" t="s">
        <v>752</v>
      </c>
      <c r="D702" s="325" t="s">
        <v>411</v>
      </c>
      <c r="E702" s="325" t="s">
        <v>265</v>
      </c>
      <c r="F702" s="325" t="s">
        <v>115</v>
      </c>
    </row>
    <row r="703" spans="1:6" x14ac:dyDescent="0.2">
      <c r="A703" s="325" t="s">
        <v>765</v>
      </c>
      <c r="B703" s="325" t="s">
        <v>823</v>
      </c>
      <c r="C703" s="325" t="s">
        <v>752</v>
      </c>
      <c r="D703" s="325" t="s">
        <v>425</v>
      </c>
      <c r="E703" s="325" t="s">
        <v>265</v>
      </c>
      <c r="F703" s="325" t="s">
        <v>364</v>
      </c>
    </row>
    <row r="704" spans="1:6" x14ac:dyDescent="0.2">
      <c r="A704" s="325" t="s">
        <v>765</v>
      </c>
      <c r="B704" s="325" t="s">
        <v>824</v>
      </c>
      <c r="C704" s="325" t="s">
        <v>752</v>
      </c>
      <c r="D704" s="325" t="s">
        <v>431</v>
      </c>
      <c r="E704" s="325" t="s">
        <v>265</v>
      </c>
      <c r="F704" s="325" t="s">
        <v>464</v>
      </c>
    </row>
    <row r="705" spans="1:6" x14ac:dyDescent="0.2">
      <c r="A705" s="325" t="s">
        <v>765</v>
      </c>
      <c r="B705" s="325" t="s">
        <v>825</v>
      </c>
      <c r="C705" s="325" t="s">
        <v>752</v>
      </c>
      <c r="D705" s="325" t="s">
        <v>696</v>
      </c>
      <c r="E705" s="325" t="s">
        <v>265</v>
      </c>
      <c r="F705" s="325" t="s">
        <v>1010</v>
      </c>
    </row>
    <row r="706" spans="1:6" x14ac:dyDescent="0.2">
      <c r="A706" s="325" t="s">
        <v>765</v>
      </c>
      <c r="B706" s="325" t="s">
        <v>826</v>
      </c>
      <c r="C706" s="325" t="s">
        <v>752</v>
      </c>
      <c r="D706" s="325" t="s">
        <v>15</v>
      </c>
      <c r="E706" s="325" t="s">
        <v>265</v>
      </c>
      <c r="F706" s="325" t="s">
        <v>446</v>
      </c>
    </row>
    <row r="707" spans="1:6" x14ac:dyDescent="0.2">
      <c r="A707" s="325" t="s">
        <v>765</v>
      </c>
      <c r="B707" s="325" t="s">
        <v>827</v>
      </c>
      <c r="C707" s="325" t="s">
        <v>752</v>
      </c>
      <c r="D707" s="325" t="s">
        <v>551</v>
      </c>
      <c r="E707" s="325" t="s">
        <v>265</v>
      </c>
      <c r="F707" s="325" t="s">
        <v>10</v>
      </c>
    </row>
    <row r="708" spans="1:6" x14ac:dyDescent="0.2">
      <c r="A708" s="325" t="s">
        <v>765</v>
      </c>
      <c r="B708" s="325" t="s">
        <v>828</v>
      </c>
      <c r="C708" s="325" t="s">
        <v>752</v>
      </c>
      <c r="D708" s="325" t="s">
        <v>9</v>
      </c>
      <c r="E708" s="325" t="s">
        <v>265</v>
      </c>
      <c r="F708" s="325" t="s">
        <v>189</v>
      </c>
    </row>
    <row r="709" spans="1:6" x14ac:dyDescent="0.2">
      <c r="A709" s="325" t="s">
        <v>765</v>
      </c>
      <c r="B709" s="325" t="s">
        <v>829</v>
      </c>
      <c r="C709" s="325" t="s">
        <v>752</v>
      </c>
      <c r="D709" s="325" t="s">
        <v>566</v>
      </c>
      <c r="E709" s="325" t="s">
        <v>265</v>
      </c>
      <c r="F709" s="325" t="s">
        <v>135</v>
      </c>
    </row>
    <row r="710" spans="1:6" x14ac:dyDescent="0.2">
      <c r="A710" s="325" t="s">
        <v>765</v>
      </c>
      <c r="B710" s="325" t="s">
        <v>830</v>
      </c>
      <c r="C710" s="325" t="s">
        <v>752</v>
      </c>
      <c r="D710" s="325" t="s">
        <v>412</v>
      </c>
      <c r="E710" s="325" t="s">
        <v>456</v>
      </c>
      <c r="F710" s="325" t="s">
        <v>128</v>
      </c>
    </row>
    <row r="711" spans="1:6" x14ac:dyDescent="0.2">
      <c r="A711" s="325" t="s">
        <v>765</v>
      </c>
      <c r="B711" s="325" t="s">
        <v>831</v>
      </c>
      <c r="C711" s="325" t="s">
        <v>752</v>
      </c>
      <c r="D711" s="325" t="s">
        <v>369</v>
      </c>
      <c r="E711" s="325" t="s">
        <v>456</v>
      </c>
      <c r="F711" s="325" t="s">
        <v>496</v>
      </c>
    </row>
    <row r="712" spans="1:6" x14ac:dyDescent="0.2">
      <c r="A712" s="325" t="s">
        <v>765</v>
      </c>
      <c r="B712" s="325" t="s">
        <v>832</v>
      </c>
      <c r="C712" s="325" t="s">
        <v>752</v>
      </c>
      <c r="D712" s="325" t="s">
        <v>348</v>
      </c>
      <c r="E712" s="325" t="s">
        <v>265</v>
      </c>
      <c r="F712" s="325" t="s">
        <v>293</v>
      </c>
    </row>
    <row r="713" spans="1:6" x14ac:dyDescent="0.2">
      <c r="A713" s="325" t="s">
        <v>765</v>
      </c>
      <c r="B713" s="325" t="s">
        <v>833</v>
      </c>
      <c r="C713" s="325" t="s">
        <v>752</v>
      </c>
      <c r="D713" s="325" t="s">
        <v>244</v>
      </c>
      <c r="E713" s="325" t="s">
        <v>265</v>
      </c>
      <c r="F713" s="325" t="s">
        <v>543</v>
      </c>
    </row>
    <row r="714" spans="1:6" x14ac:dyDescent="0.2">
      <c r="A714" s="325" t="s">
        <v>765</v>
      </c>
      <c r="B714" s="325" t="s">
        <v>834</v>
      </c>
      <c r="C714" s="325" t="s">
        <v>752</v>
      </c>
      <c r="D714" s="325" t="s">
        <v>488</v>
      </c>
      <c r="E714" s="325" t="s">
        <v>265</v>
      </c>
      <c r="F714" s="325" t="s">
        <v>545</v>
      </c>
    </row>
    <row r="715" spans="1:6" x14ac:dyDescent="0.2">
      <c r="A715" s="325" t="s">
        <v>765</v>
      </c>
      <c r="B715" s="325" t="s">
        <v>835</v>
      </c>
      <c r="C715" s="325" t="s">
        <v>752</v>
      </c>
      <c r="D715" s="325" t="s">
        <v>397</v>
      </c>
      <c r="E715" s="325" t="s">
        <v>265</v>
      </c>
      <c r="F715" s="325" t="s">
        <v>88</v>
      </c>
    </row>
    <row r="716" spans="1:6" x14ac:dyDescent="0.2">
      <c r="A716" s="325" t="s">
        <v>765</v>
      </c>
      <c r="B716" s="325" t="s">
        <v>836</v>
      </c>
      <c r="C716" s="325" t="s">
        <v>752</v>
      </c>
      <c r="D716" s="325" t="s">
        <v>440</v>
      </c>
      <c r="E716" s="325" t="s">
        <v>265</v>
      </c>
      <c r="F716" s="325" t="s">
        <v>368</v>
      </c>
    </row>
    <row r="717" spans="1:6" x14ac:dyDescent="0.2">
      <c r="A717" s="325" t="s">
        <v>765</v>
      </c>
      <c r="B717" s="325" t="s">
        <v>837</v>
      </c>
      <c r="C717" s="325" t="s">
        <v>752</v>
      </c>
      <c r="D717" s="325" t="s">
        <v>445</v>
      </c>
      <c r="E717" s="325" t="s">
        <v>265</v>
      </c>
      <c r="F717" s="325" t="s">
        <v>238</v>
      </c>
    </row>
    <row r="718" spans="1:6" x14ac:dyDescent="0.2">
      <c r="A718" s="325" t="s">
        <v>765</v>
      </c>
      <c r="B718" s="325" t="s">
        <v>838</v>
      </c>
      <c r="C718" s="325" t="s">
        <v>752</v>
      </c>
      <c r="D718" s="325" t="s">
        <v>119</v>
      </c>
      <c r="E718" s="325" t="s">
        <v>265</v>
      </c>
      <c r="F718" s="325" t="s">
        <v>557</v>
      </c>
    </row>
    <row r="719" spans="1:6" x14ac:dyDescent="0.2">
      <c r="A719" s="325" t="s">
        <v>765</v>
      </c>
      <c r="B719" s="325" t="s">
        <v>839</v>
      </c>
      <c r="C719" s="325" t="s">
        <v>752</v>
      </c>
      <c r="D719" s="325" t="s">
        <v>580</v>
      </c>
      <c r="E719" s="325" t="s">
        <v>265</v>
      </c>
      <c r="F719" s="325" t="s">
        <v>120</v>
      </c>
    </row>
    <row r="720" spans="1:6" x14ac:dyDescent="0.2">
      <c r="A720" s="325" t="s">
        <v>765</v>
      </c>
      <c r="B720" s="325" t="s">
        <v>840</v>
      </c>
      <c r="C720" s="325" t="s">
        <v>752</v>
      </c>
      <c r="D720" s="325" t="s">
        <v>64</v>
      </c>
      <c r="E720" s="325" t="s">
        <v>265</v>
      </c>
      <c r="F720" s="325" t="s">
        <v>197</v>
      </c>
    </row>
    <row r="721" spans="1:6" x14ac:dyDescent="0.2">
      <c r="A721" s="325" t="s">
        <v>765</v>
      </c>
      <c r="B721" s="325" t="s">
        <v>841</v>
      </c>
      <c r="C721" s="325" t="s">
        <v>752</v>
      </c>
      <c r="D721" s="325" t="s">
        <v>471</v>
      </c>
      <c r="E721" s="325" t="s">
        <v>265</v>
      </c>
      <c r="F721" s="325" t="s">
        <v>466</v>
      </c>
    </row>
    <row r="722" spans="1:6" x14ac:dyDescent="0.2">
      <c r="A722" s="325" t="s">
        <v>765</v>
      </c>
      <c r="B722" s="325" t="s">
        <v>842</v>
      </c>
      <c r="C722" s="325" t="s">
        <v>752</v>
      </c>
      <c r="D722" s="325" t="s">
        <v>539</v>
      </c>
      <c r="E722" s="325" t="s">
        <v>265</v>
      </c>
      <c r="F722" s="325" t="s">
        <v>394</v>
      </c>
    </row>
    <row r="723" spans="1:6" x14ac:dyDescent="0.2">
      <c r="A723" s="325" t="s">
        <v>765</v>
      </c>
      <c r="B723" s="325" t="s">
        <v>843</v>
      </c>
      <c r="C723" s="325" t="s">
        <v>752</v>
      </c>
      <c r="D723" s="325" t="s">
        <v>318</v>
      </c>
      <c r="E723" s="325" t="s">
        <v>265</v>
      </c>
      <c r="F723" s="325" t="s">
        <v>478</v>
      </c>
    </row>
    <row r="724" spans="1:6" x14ac:dyDescent="0.2">
      <c r="A724" s="325" t="s">
        <v>765</v>
      </c>
      <c r="B724" s="325" t="s">
        <v>844</v>
      </c>
      <c r="C724" s="325" t="s">
        <v>752</v>
      </c>
      <c r="D724" s="325" t="s">
        <v>257</v>
      </c>
      <c r="E724" s="325" t="s">
        <v>265</v>
      </c>
      <c r="F724" s="325" t="s">
        <v>338</v>
      </c>
    </row>
    <row r="725" spans="1:6" x14ac:dyDescent="0.2">
      <c r="A725" s="325" t="s">
        <v>765</v>
      </c>
      <c r="B725" s="325" t="s">
        <v>845</v>
      </c>
      <c r="C725" s="325" t="s">
        <v>752</v>
      </c>
      <c r="D725" s="325" t="s">
        <v>751</v>
      </c>
      <c r="E725" s="325" t="s">
        <v>265</v>
      </c>
      <c r="F725" s="325" t="s">
        <v>753</v>
      </c>
    </row>
    <row r="726" spans="1:6" x14ac:dyDescent="0.2">
      <c r="A726" s="325" t="s">
        <v>765</v>
      </c>
      <c r="B726" s="325" t="s">
        <v>846</v>
      </c>
      <c r="C726" s="325" t="s">
        <v>752</v>
      </c>
      <c r="D726" s="325" t="s">
        <v>55</v>
      </c>
      <c r="E726" s="325" t="s">
        <v>265</v>
      </c>
      <c r="F726" s="325" t="s">
        <v>305</v>
      </c>
    </row>
    <row r="727" spans="1:6" x14ac:dyDescent="0.2">
      <c r="A727" s="325" t="s">
        <v>765</v>
      </c>
      <c r="B727" s="325" t="s">
        <v>847</v>
      </c>
      <c r="C727" s="325" t="s">
        <v>752</v>
      </c>
      <c r="D727" s="325" t="s">
        <v>522</v>
      </c>
      <c r="E727" s="325" t="s">
        <v>265</v>
      </c>
      <c r="F727" s="325" t="s">
        <v>602</v>
      </c>
    </row>
    <row r="728" spans="1:6" x14ac:dyDescent="0.2">
      <c r="A728" s="325" t="s">
        <v>765</v>
      </c>
      <c r="B728" s="325" t="s">
        <v>848</v>
      </c>
      <c r="C728" s="325" t="s">
        <v>752</v>
      </c>
      <c r="D728" s="325" t="s">
        <v>370</v>
      </c>
      <c r="E728" s="325" t="s">
        <v>265</v>
      </c>
      <c r="F728" s="325" t="s">
        <v>484</v>
      </c>
    </row>
    <row r="729" spans="1:6" x14ac:dyDescent="0.2">
      <c r="A729" s="325" t="s">
        <v>765</v>
      </c>
      <c r="B729" s="325" t="s">
        <v>849</v>
      </c>
      <c r="C729" s="325" t="s">
        <v>752</v>
      </c>
      <c r="D729" s="325" t="s">
        <v>752</v>
      </c>
      <c r="E729" s="325" t="s">
        <v>265</v>
      </c>
      <c r="F729" s="325" t="s">
        <v>754</v>
      </c>
    </row>
    <row r="730" spans="1:6" x14ac:dyDescent="0.2">
      <c r="A730" s="325" t="s">
        <v>765</v>
      </c>
      <c r="B730" s="325" t="s">
        <v>850</v>
      </c>
      <c r="C730" s="325" t="s">
        <v>752</v>
      </c>
      <c r="D730" s="325" t="s">
        <v>585</v>
      </c>
      <c r="E730" s="325" t="s">
        <v>265</v>
      </c>
      <c r="F730" s="325" t="s">
        <v>564</v>
      </c>
    </row>
    <row r="731" spans="1:6" x14ac:dyDescent="0.2">
      <c r="A731" s="325" t="s">
        <v>765</v>
      </c>
      <c r="B731" s="325" t="s">
        <v>851</v>
      </c>
      <c r="C731" s="325" t="s">
        <v>752</v>
      </c>
      <c r="D731" s="325" t="s">
        <v>603</v>
      </c>
      <c r="E731" s="325" t="s">
        <v>265</v>
      </c>
      <c r="F731" s="325" t="s">
        <v>703</v>
      </c>
    </row>
    <row r="732" spans="1:6" x14ac:dyDescent="0.2">
      <c r="A732" s="325" t="s">
        <v>765</v>
      </c>
      <c r="B732" s="325" t="s">
        <v>852</v>
      </c>
      <c r="C732" s="325" t="s">
        <v>752</v>
      </c>
      <c r="D732" s="325" t="s">
        <v>604</v>
      </c>
      <c r="E732" s="325" t="s">
        <v>265</v>
      </c>
      <c r="F732" s="325" t="s">
        <v>702</v>
      </c>
    </row>
    <row r="733" spans="1:6" x14ac:dyDescent="0.2">
      <c r="A733" s="325" t="s">
        <v>765</v>
      </c>
      <c r="B733" s="325" t="s">
        <v>853</v>
      </c>
      <c r="C733" s="325" t="s">
        <v>752</v>
      </c>
      <c r="D733" s="325" t="s">
        <v>565</v>
      </c>
      <c r="E733" s="325" t="s">
        <v>265</v>
      </c>
      <c r="F733" s="325" t="s">
        <v>306</v>
      </c>
    </row>
    <row r="734" spans="1:6" x14ac:dyDescent="0.2">
      <c r="A734" s="325" t="s">
        <v>765</v>
      </c>
      <c r="B734" s="325" t="s">
        <v>854</v>
      </c>
      <c r="C734" s="325" t="s">
        <v>752</v>
      </c>
      <c r="D734" s="325" t="s">
        <v>354</v>
      </c>
      <c r="E734" s="325" t="s">
        <v>265</v>
      </c>
      <c r="F734" s="325" t="s">
        <v>390</v>
      </c>
    </row>
    <row r="735" spans="1:6" x14ac:dyDescent="0.2">
      <c r="A735" s="325" t="s">
        <v>765</v>
      </c>
      <c r="B735" s="325" t="s">
        <v>855</v>
      </c>
      <c r="C735" s="325" t="s">
        <v>752</v>
      </c>
      <c r="D735" s="325" t="s">
        <v>93</v>
      </c>
      <c r="E735" s="325" t="s">
        <v>265</v>
      </c>
      <c r="F735" s="325" t="s">
        <v>170</v>
      </c>
    </row>
    <row r="736" spans="1:6" x14ac:dyDescent="0.2">
      <c r="A736" s="325" t="s">
        <v>765</v>
      </c>
      <c r="B736" s="325" t="s">
        <v>856</v>
      </c>
      <c r="C736" s="325" t="s">
        <v>752</v>
      </c>
      <c r="D736" s="325" t="s">
        <v>198</v>
      </c>
      <c r="E736" s="325" t="s">
        <v>265</v>
      </c>
      <c r="F736" s="325" t="s">
        <v>139</v>
      </c>
    </row>
    <row r="737" spans="1:6" x14ac:dyDescent="0.2">
      <c r="A737" s="325" t="s">
        <v>765</v>
      </c>
      <c r="B737" s="325" t="s">
        <v>857</v>
      </c>
      <c r="C737" s="325" t="s">
        <v>752</v>
      </c>
      <c r="D737" s="325" t="s">
        <v>51</v>
      </c>
      <c r="E737" s="325" t="s">
        <v>265</v>
      </c>
      <c r="F737" s="325" t="s">
        <v>27</v>
      </c>
    </row>
    <row r="738" spans="1:6" x14ac:dyDescent="0.2">
      <c r="A738" s="325" t="s">
        <v>765</v>
      </c>
      <c r="B738" s="325" t="s">
        <v>858</v>
      </c>
      <c r="C738" s="325" t="s">
        <v>752</v>
      </c>
      <c r="D738" s="325" t="s">
        <v>152</v>
      </c>
      <c r="E738" s="325" t="s">
        <v>265</v>
      </c>
      <c r="F738" s="325" t="s">
        <v>555</v>
      </c>
    </row>
    <row r="739" spans="1:6" x14ac:dyDescent="0.2">
      <c r="A739" s="325" t="s">
        <v>765</v>
      </c>
      <c r="B739" s="325" t="s">
        <v>859</v>
      </c>
      <c r="C739" s="325" t="s">
        <v>752</v>
      </c>
      <c r="D739" s="325" t="s">
        <v>547</v>
      </c>
      <c r="E739" s="325" t="s">
        <v>265</v>
      </c>
      <c r="F739" s="325" t="s">
        <v>374</v>
      </c>
    </row>
    <row r="740" spans="1:6" x14ac:dyDescent="0.2">
      <c r="A740" s="325" t="s">
        <v>765</v>
      </c>
      <c r="B740" s="325" t="s">
        <v>860</v>
      </c>
      <c r="C740" s="325" t="s">
        <v>752</v>
      </c>
      <c r="D740" s="325" t="s">
        <v>490</v>
      </c>
      <c r="E740" s="325" t="s">
        <v>265</v>
      </c>
      <c r="F740" s="325" t="s">
        <v>177</v>
      </c>
    </row>
    <row r="741" spans="1:6" x14ac:dyDescent="0.2">
      <c r="A741" s="325" t="s">
        <v>765</v>
      </c>
      <c r="B741" s="325" t="s">
        <v>861</v>
      </c>
      <c r="C741" s="325" t="s">
        <v>752</v>
      </c>
      <c r="D741" s="325" t="s">
        <v>209</v>
      </c>
      <c r="E741" s="325" t="s">
        <v>265</v>
      </c>
      <c r="F741" s="325" t="s">
        <v>41</v>
      </c>
    </row>
    <row r="742" spans="1:6" x14ac:dyDescent="0.2">
      <c r="A742" s="325" t="s">
        <v>765</v>
      </c>
      <c r="B742" s="325" t="s">
        <v>862</v>
      </c>
      <c r="C742" s="325" t="s">
        <v>752</v>
      </c>
      <c r="D742" s="325" t="s">
        <v>163</v>
      </c>
      <c r="E742" s="325" t="s">
        <v>265</v>
      </c>
      <c r="F742" s="325" t="s">
        <v>98</v>
      </c>
    </row>
    <row r="743" spans="1:6" x14ac:dyDescent="0.2">
      <c r="A743" s="325" t="s">
        <v>765</v>
      </c>
      <c r="B743" s="325" t="s">
        <v>863</v>
      </c>
      <c r="C743" s="325" t="s">
        <v>752</v>
      </c>
      <c r="D743" s="325" t="s">
        <v>200</v>
      </c>
      <c r="E743" s="325" t="s">
        <v>265</v>
      </c>
      <c r="F743" s="325" t="s">
        <v>230</v>
      </c>
    </row>
    <row r="744" spans="1:6" x14ac:dyDescent="0.2">
      <c r="A744" s="325" t="s">
        <v>765</v>
      </c>
      <c r="B744" s="325" t="s">
        <v>864</v>
      </c>
      <c r="C744" s="325" t="s">
        <v>752</v>
      </c>
      <c r="D744" s="325" t="s">
        <v>54</v>
      </c>
      <c r="E744" s="325" t="s">
        <v>265</v>
      </c>
      <c r="F744" s="325" t="s">
        <v>192</v>
      </c>
    </row>
    <row r="745" spans="1:6" x14ac:dyDescent="0.2">
      <c r="A745" s="325" t="s">
        <v>765</v>
      </c>
      <c r="B745" s="325" t="s">
        <v>865</v>
      </c>
      <c r="C745" s="325" t="s">
        <v>752</v>
      </c>
      <c r="D745" s="325" t="s">
        <v>133</v>
      </c>
      <c r="E745" s="325" t="s">
        <v>265</v>
      </c>
      <c r="F745" s="325" t="s">
        <v>349</v>
      </c>
    </row>
    <row r="746" spans="1:6" x14ac:dyDescent="0.2">
      <c r="A746" s="325" t="s">
        <v>765</v>
      </c>
      <c r="B746" s="325" t="s">
        <v>866</v>
      </c>
      <c r="C746" s="325" t="s">
        <v>752</v>
      </c>
      <c r="D746" s="325" t="s">
        <v>232</v>
      </c>
      <c r="E746" s="325" t="s">
        <v>265</v>
      </c>
      <c r="F746" s="325" t="s">
        <v>16</v>
      </c>
    </row>
    <row r="747" spans="1:6" x14ac:dyDescent="0.2">
      <c r="A747" s="325" t="s">
        <v>765</v>
      </c>
      <c r="B747" s="325" t="s">
        <v>867</v>
      </c>
      <c r="C747" s="325" t="s">
        <v>752</v>
      </c>
      <c r="D747" s="325" t="s">
        <v>56</v>
      </c>
      <c r="E747" s="325" t="s">
        <v>265</v>
      </c>
      <c r="F747" s="325" t="s">
        <v>199</v>
      </c>
    </row>
    <row r="748" spans="1:6" x14ac:dyDescent="0.2">
      <c r="A748" s="325" t="s">
        <v>765</v>
      </c>
      <c r="B748" s="325" t="s">
        <v>868</v>
      </c>
      <c r="C748" s="325" t="s">
        <v>752</v>
      </c>
      <c r="D748" s="325" t="s">
        <v>434</v>
      </c>
      <c r="E748" s="325" t="s">
        <v>265</v>
      </c>
      <c r="F748" s="325" t="s">
        <v>514</v>
      </c>
    </row>
    <row r="749" spans="1:6" x14ac:dyDescent="0.2">
      <c r="A749" s="325" t="s">
        <v>765</v>
      </c>
      <c r="B749" s="325" t="s">
        <v>869</v>
      </c>
      <c r="C749" s="325" t="s">
        <v>752</v>
      </c>
      <c r="D749" s="325" t="s">
        <v>108</v>
      </c>
      <c r="E749" s="325" t="s">
        <v>265</v>
      </c>
      <c r="F749" s="325" t="s">
        <v>362</v>
      </c>
    </row>
    <row r="750" spans="1:6" x14ac:dyDescent="0.2">
      <c r="A750" s="325" t="s">
        <v>765</v>
      </c>
      <c r="B750" s="325" t="s">
        <v>870</v>
      </c>
      <c r="C750" s="325" t="s">
        <v>752</v>
      </c>
      <c r="D750" s="325" t="s">
        <v>657</v>
      </c>
      <c r="E750" s="325" t="s">
        <v>265</v>
      </c>
      <c r="F750" s="325" t="s">
        <v>658</v>
      </c>
    </row>
    <row r="751" spans="1:6" x14ac:dyDescent="0.2">
      <c r="A751" s="325" t="s">
        <v>765</v>
      </c>
      <c r="B751" s="325" t="s">
        <v>871</v>
      </c>
      <c r="C751" s="325" t="s">
        <v>752</v>
      </c>
      <c r="D751" s="325" t="s">
        <v>659</v>
      </c>
      <c r="E751" s="325" t="s">
        <v>265</v>
      </c>
      <c r="F751" s="325" t="s">
        <v>660</v>
      </c>
    </row>
    <row r="752" spans="1:6" x14ac:dyDescent="0.2">
      <c r="A752" s="325" t="s">
        <v>765</v>
      </c>
      <c r="B752" s="325" t="s">
        <v>872</v>
      </c>
      <c r="C752" s="325" t="s">
        <v>752</v>
      </c>
      <c r="D752" s="325" t="s">
        <v>661</v>
      </c>
      <c r="E752" s="325" t="s">
        <v>265</v>
      </c>
      <c r="F752" s="325" t="s">
        <v>662</v>
      </c>
    </row>
    <row r="753" spans="1:6" x14ac:dyDescent="0.2">
      <c r="A753" s="325" t="s">
        <v>765</v>
      </c>
      <c r="B753" s="325" t="s">
        <v>873</v>
      </c>
      <c r="C753" s="325" t="s">
        <v>752</v>
      </c>
      <c r="D753" s="325" t="s">
        <v>648</v>
      </c>
      <c r="E753" s="325" t="s">
        <v>265</v>
      </c>
      <c r="F753" s="325" t="s">
        <v>651</v>
      </c>
    </row>
    <row r="754" spans="1:6" x14ac:dyDescent="0.2">
      <c r="A754" s="325" t="s">
        <v>765</v>
      </c>
      <c r="B754" s="325" t="s">
        <v>874</v>
      </c>
      <c r="C754" s="325" t="s">
        <v>752</v>
      </c>
      <c r="D754" s="325" t="s">
        <v>649</v>
      </c>
      <c r="E754" s="325" t="s">
        <v>265</v>
      </c>
      <c r="F754" s="325" t="s">
        <v>652</v>
      </c>
    </row>
    <row r="755" spans="1:6" x14ac:dyDescent="0.2">
      <c r="A755" s="325" t="s">
        <v>765</v>
      </c>
      <c r="B755" s="325" t="s">
        <v>875</v>
      </c>
      <c r="C755" s="325" t="s">
        <v>752</v>
      </c>
      <c r="D755" s="325" t="s">
        <v>650</v>
      </c>
      <c r="E755" s="325" t="s">
        <v>265</v>
      </c>
      <c r="F755" s="325" t="s">
        <v>653</v>
      </c>
    </row>
    <row r="756" spans="1:6" x14ac:dyDescent="0.2">
      <c r="A756" s="325" t="s">
        <v>765</v>
      </c>
      <c r="B756" s="325" t="s">
        <v>876</v>
      </c>
      <c r="C756" s="325" t="s">
        <v>752</v>
      </c>
      <c r="D756" s="325" t="s">
        <v>327</v>
      </c>
      <c r="E756" s="325" t="s">
        <v>265</v>
      </c>
      <c r="F756" s="325" t="s">
        <v>102</v>
      </c>
    </row>
    <row r="757" spans="1:6" x14ac:dyDescent="0.2">
      <c r="A757" s="325" t="s">
        <v>765</v>
      </c>
      <c r="B757" s="325" t="s">
        <v>877</v>
      </c>
      <c r="C757" s="325" t="s">
        <v>752</v>
      </c>
      <c r="D757" s="325" t="s">
        <v>356</v>
      </c>
      <c r="E757" s="325" t="s">
        <v>265</v>
      </c>
      <c r="F757" s="325" t="s">
        <v>1011</v>
      </c>
    </row>
    <row r="758" spans="1:6" x14ac:dyDescent="0.2">
      <c r="A758" s="325" t="s">
        <v>765</v>
      </c>
      <c r="B758" s="325" t="s">
        <v>878</v>
      </c>
      <c r="C758" s="325" t="s">
        <v>752</v>
      </c>
      <c r="D758" s="325" t="s">
        <v>513</v>
      </c>
      <c r="E758" s="325" t="s">
        <v>442</v>
      </c>
      <c r="F758" s="325" t="s">
        <v>264</v>
      </c>
    </row>
    <row r="759" spans="1:6" x14ac:dyDescent="0.2">
      <c r="A759" s="325" t="s">
        <v>765</v>
      </c>
      <c r="B759" s="325" t="s">
        <v>879</v>
      </c>
      <c r="C759" s="325" t="s">
        <v>752</v>
      </c>
      <c r="D759" s="325" t="s">
        <v>554</v>
      </c>
      <c r="E759" s="325" t="s">
        <v>442</v>
      </c>
      <c r="F759" s="325" t="s">
        <v>229</v>
      </c>
    </row>
    <row r="760" spans="1:6" x14ac:dyDescent="0.2">
      <c r="A760" s="325" t="s">
        <v>765</v>
      </c>
      <c r="B760" s="325" t="s">
        <v>880</v>
      </c>
      <c r="C760" s="325" t="s">
        <v>752</v>
      </c>
      <c r="D760" s="325" t="s">
        <v>409</v>
      </c>
      <c r="E760" s="325" t="s">
        <v>442</v>
      </c>
      <c r="F760" s="325" t="s">
        <v>336</v>
      </c>
    </row>
    <row r="761" spans="1:6" x14ac:dyDescent="0.2">
      <c r="A761" s="325" t="s">
        <v>765</v>
      </c>
      <c r="B761" s="325" t="s">
        <v>881</v>
      </c>
      <c r="C761" s="325" t="s">
        <v>752</v>
      </c>
      <c r="D761" s="325" t="s">
        <v>72</v>
      </c>
      <c r="E761" s="325" t="s">
        <v>265</v>
      </c>
      <c r="F761" s="325" t="s">
        <v>451</v>
      </c>
    </row>
    <row r="762" spans="1:6" x14ac:dyDescent="0.2">
      <c r="A762" s="325" t="s">
        <v>765</v>
      </c>
      <c r="B762" s="325" t="s">
        <v>882</v>
      </c>
      <c r="C762" s="325" t="s">
        <v>752</v>
      </c>
      <c r="D762" s="325" t="s">
        <v>35</v>
      </c>
      <c r="E762" s="325" t="s">
        <v>265</v>
      </c>
      <c r="F762" s="325" t="s">
        <v>414</v>
      </c>
    </row>
    <row r="763" spans="1:6" x14ac:dyDescent="0.2">
      <c r="A763" s="325" t="s">
        <v>765</v>
      </c>
      <c r="B763" s="325" t="s">
        <v>883</v>
      </c>
      <c r="C763" s="325" t="s">
        <v>752</v>
      </c>
      <c r="D763" s="325" t="s">
        <v>391</v>
      </c>
      <c r="E763" s="325" t="s">
        <v>456</v>
      </c>
      <c r="F763" s="325" t="s">
        <v>62</v>
      </c>
    </row>
    <row r="764" spans="1:6" x14ac:dyDescent="0.2">
      <c r="A764" s="325" t="s">
        <v>765</v>
      </c>
      <c r="B764" s="325" t="s">
        <v>884</v>
      </c>
      <c r="C764" s="325" t="s">
        <v>752</v>
      </c>
      <c r="D764" s="325" t="s">
        <v>12</v>
      </c>
      <c r="E764" s="325" t="s">
        <v>456</v>
      </c>
      <c r="F764" s="325" t="s">
        <v>148</v>
      </c>
    </row>
    <row r="765" spans="1:6" x14ac:dyDescent="0.2">
      <c r="A765" s="325" t="s">
        <v>765</v>
      </c>
      <c r="B765" s="325" t="s">
        <v>885</v>
      </c>
      <c r="C765" s="325" t="s">
        <v>752</v>
      </c>
      <c r="D765" s="325" t="s">
        <v>149</v>
      </c>
      <c r="E765" s="325" t="s">
        <v>456</v>
      </c>
      <c r="F765" s="325" t="s">
        <v>8</v>
      </c>
    </row>
    <row r="766" spans="1:6" x14ac:dyDescent="0.2">
      <c r="A766" s="325" t="s">
        <v>765</v>
      </c>
      <c r="B766" s="325" t="s">
        <v>886</v>
      </c>
      <c r="C766" s="325" t="s">
        <v>752</v>
      </c>
      <c r="D766" s="325" t="s">
        <v>538</v>
      </c>
      <c r="E766" s="325" t="s">
        <v>456</v>
      </c>
      <c r="F766" s="325" t="s">
        <v>475</v>
      </c>
    </row>
    <row r="767" spans="1:6" x14ac:dyDescent="0.2">
      <c r="A767" s="325" t="s">
        <v>765</v>
      </c>
      <c r="B767" s="325" t="s">
        <v>887</v>
      </c>
      <c r="C767" s="325" t="s">
        <v>752</v>
      </c>
      <c r="D767" s="325" t="s">
        <v>422</v>
      </c>
      <c r="E767" s="325" t="s">
        <v>456</v>
      </c>
      <c r="F767" s="325" t="s">
        <v>245</v>
      </c>
    </row>
    <row r="768" spans="1:6" x14ac:dyDescent="0.2">
      <c r="A768" s="325" t="s">
        <v>765</v>
      </c>
      <c r="B768" s="325" t="s">
        <v>888</v>
      </c>
      <c r="C768" s="325" t="s">
        <v>752</v>
      </c>
      <c r="D768" s="325" t="s">
        <v>337</v>
      </c>
      <c r="E768" s="325" t="s">
        <v>456</v>
      </c>
      <c r="F768" s="325" t="s">
        <v>181</v>
      </c>
    </row>
    <row r="769" spans="1:6" x14ac:dyDescent="0.2">
      <c r="A769" s="325" t="s">
        <v>765</v>
      </c>
      <c r="B769" s="325" t="s">
        <v>889</v>
      </c>
      <c r="C769" s="325" t="s">
        <v>752</v>
      </c>
      <c r="D769" s="325" t="s">
        <v>712</v>
      </c>
      <c r="E769" s="325" t="s">
        <v>456</v>
      </c>
      <c r="F769" s="325" t="s">
        <v>713</v>
      </c>
    </row>
    <row r="770" spans="1:6" x14ac:dyDescent="0.2">
      <c r="A770" s="325" t="s">
        <v>765</v>
      </c>
      <c r="B770" s="325" t="s">
        <v>890</v>
      </c>
      <c r="C770" s="325" t="s">
        <v>752</v>
      </c>
      <c r="D770" s="325" t="s">
        <v>31</v>
      </c>
      <c r="E770" s="325" t="s">
        <v>456</v>
      </c>
      <c r="F770" s="325" t="s">
        <v>63</v>
      </c>
    </row>
    <row r="771" spans="1:6" x14ac:dyDescent="0.2">
      <c r="A771" s="325" t="s">
        <v>765</v>
      </c>
      <c r="B771" s="325" t="s">
        <v>891</v>
      </c>
      <c r="C771" s="325" t="s">
        <v>752</v>
      </c>
      <c r="D771" s="325" t="s">
        <v>515</v>
      </c>
      <c r="E771" s="325" t="s">
        <v>456</v>
      </c>
      <c r="F771" s="325" t="s">
        <v>1012</v>
      </c>
    </row>
    <row r="772" spans="1:6" x14ac:dyDescent="0.2">
      <c r="A772" s="325" t="s">
        <v>765</v>
      </c>
      <c r="B772" s="325" t="s">
        <v>892</v>
      </c>
      <c r="C772" s="325" t="s">
        <v>752</v>
      </c>
      <c r="D772" s="325" t="s">
        <v>699</v>
      </c>
      <c r="E772" s="325" t="s">
        <v>265</v>
      </c>
      <c r="F772" s="325" t="s">
        <v>994</v>
      </c>
    </row>
    <row r="773" spans="1:6" x14ac:dyDescent="0.2">
      <c r="A773" s="325" t="s">
        <v>765</v>
      </c>
      <c r="B773" s="325" t="s">
        <v>893</v>
      </c>
      <c r="C773" s="325" t="s">
        <v>752</v>
      </c>
      <c r="D773" s="325" t="s">
        <v>34</v>
      </c>
      <c r="E773" s="325" t="s">
        <v>456</v>
      </c>
      <c r="F773" s="325" t="s">
        <v>74</v>
      </c>
    </row>
    <row r="774" spans="1:6" x14ac:dyDescent="0.2">
      <c r="A774" s="325" t="s">
        <v>765</v>
      </c>
      <c r="B774" s="325" t="s">
        <v>894</v>
      </c>
      <c r="C774" s="325" t="s">
        <v>752</v>
      </c>
      <c r="D774" s="325" t="s">
        <v>235</v>
      </c>
      <c r="E774" s="325" t="s">
        <v>456</v>
      </c>
      <c r="F774" s="325" t="s">
        <v>236</v>
      </c>
    </row>
    <row r="775" spans="1:6" x14ac:dyDescent="0.2">
      <c r="A775" s="325" t="s">
        <v>765</v>
      </c>
      <c r="B775" s="325" t="s">
        <v>895</v>
      </c>
      <c r="C775" s="325" t="s">
        <v>752</v>
      </c>
      <c r="D775" s="325" t="s">
        <v>506</v>
      </c>
      <c r="E775" s="325" t="s">
        <v>456</v>
      </c>
      <c r="F775" s="325" t="s">
        <v>74</v>
      </c>
    </row>
    <row r="776" spans="1:6" x14ac:dyDescent="0.2">
      <c r="A776" s="325" t="s">
        <v>765</v>
      </c>
      <c r="B776" s="325" t="s">
        <v>896</v>
      </c>
      <c r="C776" s="325" t="s">
        <v>752</v>
      </c>
      <c r="D776" s="325" t="s">
        <v>205</v>
      </c>
      <c r="E776" s="325" t="s">
        <v>456</v>
      </c>
      <c r="F776" s="325" t="s">
        <v>236</v>
      </c>
    </row>
    <row r="777" spans="1:6" x14ac:dyDescent="0.2">
      <c r="A777" s="325" t="s">
        <v>765</v>
      </c>
      <c r="B777" s="325" t="s">
        <v>897</v>
      </c>
      <c r="C777" s="325" t="s">
        <v>752</v>
      </c>
      <c r="D777" s="325" t="s">
        <v>505</v>
      </c>
      <c r="E777" s="325" t="s">
        <v>456</v>
      </c>
      <c r="F777" s="325" t="s">
        <v>342</v>
      </c>
    </row>
    <row r="778" spans="1:6" x14ac:dyDescent="0.2">
      <c r="A778" s="325" t="s">
        <v>765</v>
      </c>
      <c r="B778" s="325" t="s">
        <v>898</v>
      </c>
      <c r="C778" s="325" t="s">
        <v>752</v>
      </c>
      <c r="D778" s="325" t="s">
        <v>106</v>
      </c>
      <c r="E778" s="325" t="s">
        <v>456</v>
      </c>
      <c r="F778" s="325" t="s">
        <v>559</v>
      </c>
    </row>
    <row r="779" spans="1:6" x14ac:dyDescent="0.2">
      <c r="A779" s="325" t="s">
        <v>765</v>
      </c>
      <c r="B779" s="325" t="s">
        <v>899</v>
      </c>
      <c r="C779" s="325" t="s">
        <v>752</v>
      </c>
      <c r="D779" s="325" t="s">
        <v>239</v>
      </c>
      <c r="E779" s="325" t="s">
        <v>456</v>
      </c>
      <c r="F779" s="325" t="s">
        <v>256</v>
      </c>
    </row>
    <row r="780" spans="1:6" x14ac:dyDescent="0.2">
      <c r="A780" s="325" t="s">
        <v>765</v>
      </c>
      <c r="B780" s="325" t="s">
        <v>901</v>
      </c>
      <c r="C780" s="325" t="s">
        <v>752</v>
      </c>
      <c r="D780" s="325" t="s">
        <v>21</v>
      </c>
      <c r="E780" s="325" t="s">
        <v>265</v>
      </c>
      <c r="F780" s="325" t="s">
        <v>47</v>
      </c>
    </row>
    <row r="781" spans="1:6" x14ac:dyDescent="0.2">
      <c r="A781" s="325" t="s">
        <v>765</v>
      </c>
      <c r="B781" s="325" t="s">
        <v>902</v>
      </c>
      <c r="C781" s="325" t="s">
        <v>752</v>
      </c>
      <c r="D781" s="325" t="s">
        <v>323</v>
      </c>
      <c r="E781" s="325" t="s">
        <v>265</v>
      </c>
      <c r="F781" s="325" t="s">
        <v>20</v>
      </c>
    </row>
    <row r="782" spans="1:6" x14ac:dyDescent="0.2">
      <c r="A782" s="325" t="s">
        <v>765</v>
      </c>
      <c r="B782" s="325" t="s">
        <v>903</v>
      </c>
      <c r="C782" s="325" t="s">
        <v>752</v>
      </c>
      <c r="D782" s="325" t="s">
        <v>447</v>
      </c>
      <c r="E782" s="325" t="s">
        <v>265</v>
      </c>
      <c r="F782" s="325" t="s">
        <v>741</v>
      </c>
    </row>
    <row r="783" spans="1:6" x14ac:dyDescent="0.2">
      <c r="A783" s="325" t="s">
        <v>765</v>
      </c>
      <c r="B783" s="325" t="s">
        <v>904</v>
      </c>
      <c r="C783" s="325" t="s">
        <v>752</v>
      </c>
      <c r="D783" s="325" t="s">
        <v>742</v>
      </c>
      <c r="E783" s="325" t="s">
        <v>456</v>
      </c>
      <c r="F783" s="325" t="s">
        <v>743</v>
      </c>
    </row>
    <row r="784" spans="1:6" x14ac:dyDescent="0.2">
      <c r="A784" s="325" t="s">
        <v>765</v>
      </c>
      <c r="B784" s="325" t="s">
        <v>905</v>
      </c>
      <c r="C784" s="325" t="s">
        <v>752</v>
      </c>
      <c r="D784" s="325" t="s">
        <v>32</v>
      </c>
      <c r="E784" s="325" t="s">
        <v>456</v>
      </c>
      <c r="F784" s="325" t="s">
        <v>995</v>
      </c>
    </row>
    <row r="785" spans="1:6" x14ac:dyDescent="0.2">
      <c r="A785" s="325" t="s">
        <v>765</v>
      </c>
      <c r="B785" s="325" t="s">
        <v>906</v>
      </c>
      <c r="C785" s="325" t="s">
        <v>752</v>
      </c>
      <c r="D785" s="325" t="s">
        <v>679</v>
      </c>
      <c r="E785" s="325" t="s">
        <v>265</v>
      </c>
      <c r="F785" s="325" t="s">
        <v>682</v>
      </c>
    </row>
    <row r="786" spans="1:6" x14ac:dyDescent="0.2">
      <c r="A786" s="325" t="s">
        <v>765</v>
      </c>
      <c r="B786" s="325" t="s">
        <v>907</v>
      </c>
      <c r="C786" s="325" t="s">
        <v>752</v>
      </c>
      <c r="D786" s="325" t="s">
        <v>533</v>
      </c>
      <c r="E786" s="325" t="s">
        <v>456</v>
      </c>
      <c r="F786" s="325" t="s">
        <v>165</v>
      </c>
    </row>
    <row r="787" spans="1:6" x14ac:dyDescent="0.2">
      <c r="A787" s="325" t="s">
        <v>765</v>
      </c>
      <c r="B787" s="325" t="s">
        <v>908</v>
      </c>
      <c r="C787" s="325" t="s">
        <v>752</v>
      </c>
      <c r="D787" s="325" t="s">
        <v>100</v>
      </c>
      <c r="E787" s="325" t="s">
        <v>456</v>
      </c>
      <c r="F787" s="325" t="s">
        <v>535</v>
      </c>
    </row>
    <row r="788" spans="1:6" x14ac:dyDescent="0.2">
      <c r="A788" s="325" t="s">
        <v>765</v>
      </c>
      <c r="B788" s="325" t="s">
        <v>909</v>
      </c>
      <c r="C788" s="325" t="s">
        <v>752</v>
      </c>
      <c r="D788" s="325" t="s">
        <v>375</v>
      </c>
      <c r="E788" s="325" t="s">
        <v>456</v>
      </c>
      <c r="F788" s="325" t="s">
        <v>311</v>
      </c>
    </row>
    <row r="789" spans="1:6" x14ac:dyDescent="0.2">
      <c r="A789" s="325" t="s">
        <v>765</v>
      </c>
      <c r="B789" s="325" t="s">
        <v>910</v>
      </c>
      <c r="C789" s="325" t="s">
        <v>752</v>
      </c>
      <c r="D789" s="325" t="s">
        <v>395</v>
      </c>
      <c r="E789" s="325" t="s">
        <v>456</v>
      </c>
      <c r="F789" s="325" t="s">
        <v>588</v>
      </c>
    </row>
    <row r="790" spans="1:6" x14ac:dyDescent="0.2">
      <c r="A790" s="325" t="s">
        <v>765</v>
      </c>
      <c r="B790" s="325" t="s">
        <v>911</v>
      </c>
      <c r="C790" s="325" t="s">
        <v>752</v>
      </c>
      <c r="D790" s="325" t="s">
        <v>499</v>
      </c>
      <c r="E790" s="325" t="s">
        <v>456</v>
      </c>
      <c r="F790" s="325" t="s">
        <v>314</v>
      </c>
    </row>
    <row r="791" spans="1:6" x14ac:dyDescent="0.2">
      <c r="A791" s="325" t="s">
        <v>765</v>
      </c>
      <c r="B791" s="325" t="s">
        <v>934</v>
      </c>
      <c r="C791" s="325" t="s">
        <v>752</v>
      </c>
      <c r="D791" s="325" t="s">
        <v>681</v>
      </c>
      <c r="E791" s="325" t="s">
        <v>265</v>
      </c>
      <c r="F791" s="325" t="s">
        <v>684</v>
      </c>
    </row>
    <row r="792" spans="1:6" x14ac:dyDescent="0.2">
      <c r="A792" s="325" t="s">
        <v>765</v>
      </c>
      <c r="B792" s="325" t="s">
        <v>971</v>
      </c>
      <c r="C792" s="325" t="s">
        <v>752</v>
      </c>
      <c r="D792" s="325" t="s">
        <v>413</v>
      </c>
      <c r="E792" s="325" t="s">
        <v>265</v>
      </c>
      <c r="F792" s="325" t="s">
        <v>273</v>
      </c>
    </row>
    <row r="793" spans="1:6" x14ac:dyDescent="0.2">
      <c r="A793" s="325" t="s">
        <v>765</v>
      </c>
      <c r="B793" s="325" t="s">
        <v>974</v>
      </c>
      <c r="C793" s="325" t="s">
        <v>752</v>
      </c>
      <c r="D793" s="325" t="s">
        <v>270</v>
      </c>
      <c r="E793" s="325" t="s">
        <v>442</v>
      </c>
      <c r="F793" s="325" t="s">
        <v>266</v>
      </c>
    </row>
    <row r="794" spans="1:6" x14ac:dyDescent="0.2">
      <c r="A794" s="325" t="s">
        <v>765</v>
      </c>
      <c r="B794" s="325" t="s">
        <v>975</v>
      </c>
      <c r="C794" s="325" t="s">
        <v>752</v>
      </c>
      <c r="D794" s="325" t="s">
        <v>283</v>
      </c>
      <c r="E794" s="325" t="s">
        <v>265</v>
      </c>
      <c r="F794" s="325" t="s">
        <v>53</v>
      </c>
    </row>
    <row r="795" spans="1:6" x14ac:dyDescent="0.2">
      <c r="A795" s="325" t="s">
        <v>765</v>
      </c>
      <c r="B795" s="325" t="s">
        <v>976</v>
      </c>
      <c r="C795" s="325" t="s">
        <v>752</v>
      </c>
      <c r="D795" s="325" t="s">
        <v>542</v>
      </c>
      <c r="E795" s="325" t="s">
        <v>265</v>
      </c>
      <c r="F795" s="325" t="s">
        <v>372</v>
      </c>
    </row>
    <row r="796" spans="1:6" x14ac:dyDescent="0.2">
      <c r="A796" s="325" t="s">
        <v>765</v>
      </c>
      <c r="B796" s="325" t="s">
        <v>977</v>
      </c>
      <c r="C796" s="325" t="s">
        <v>752</v>
      </c>
      <c r="D796" s="325" t="s">
        <v>576</v>
      </c>
      <c r="E796" s="325" t="s">
        <v>265</v>
      </c>
      <c r="F796" s="325" t="s">
        <v>333</v>
      </c>
    </row>
    <row r="797" spans="1:6" x14ac:dyDescent="0.2">
      <c r="A797" s="325" t="s">
        <v>765</v>
      </c>
      <c r="B797" s="325" t="s">
        <v>793</v>
      </c>
      <c r="C797" s="325" t="s">
        <v>788</v>
      </c>
      <c r="D797" s="325" t="s">
        <v>654</v>
      </c>
      <c r="E797" s="325" t="s">
        <v>265</v>
      </c>
      <c r="F797" s="325" t="s">
        <v>998</v>
      </c>
    </row>
    <row r="798" spans="1:6" x14ac:dyDescent="0.2">
      <c r="A798" s="325" t="s">
        <v>765</v>
      </c>
      <c r="B798" s="325" t="s">
        <v>794</v>
      </c>
      <c r="C798" s="325" t="s">
        <v>788</v>
      </c>
      <c r="D798" s="325" t="s">
        <v>510</v>
      </c>
      <c r="E798" s="325" t="s">
        <v>265</v>
      </c>
      <c r="F798" s="325" t="s">
        <v>999</v>
      </c>
    </row>
    <row r="799" spans="1:6" x14ac:dyDescent="0.2">
      <c r="A799" s="325" t="s">
        <v>765</v>
      </c>
      <c r="B799" s="325" t="s">
        <v>795</v>
      </c>
      <c r="C799" s="325" t="s">
        <v>788</v>
      </c>
      <c r="D799" s="325" t="s">
        <v>400</v>
      </c>
      <c r="E799" s="325" t="s">
        <v>265</v>
      </c>
      <c r="F799" s="325" t="s">
        <v>1001</v>
      </c>
    </row>
    <row r="800" spans="1:6" x14ac:dyDescent="0.2">
      <c r="A800" s="325" t="s">
        <v>765</v>
      </c>
      <c r="B800" s="325" t="s">
        <v>796</v>
      </c>
      <c r="C800" s="325" t="s">
        <v>788</v>
      </c>
      <c r="D800" s="325" t="s">
        <v>302</v>
      </c>
      <c r="E800" s="325" t="s">
        <v>265</v>
      </c>
      <c r="F800" s="325" t="s">
        <v>1000</v>
      </c>
    </row>
    <row r="801" spans="1:6" x14ac:dyDescent="0.2">
      <c r="A801" s="325" t="s">
        <v>765</v>
      </c>
      <c r="B801" s="325" t="s">
        <v>797</v>
      </c>
      <c r="C801" s="325" t="s">
        <v>788</v>
      </c>
      <c r="D801" s="325" t="s">
        <v>28</v>
      </c>
      <c r="E801" s="325" t="s">
        <v>442</v>
      </c>
      <c r="F801" s="325" t="s">
        <v>1008</v>
      </c>
    </row>
    <row r="802" spans="1:6" x14ac:dyDescent="0.2">
      <c r="A802" s="325" t="s">
        <v>765</v>
      </c>
      <c r="B802" s="325" t="s">
        <v>798</v>
      </c>
      <c r="C802" s="325" t="s">
        <v>788</v>
      </c>
      <c r="D802" s="325" t="s">
        <v>67</v>
      </c>
      <c r="E802" s="325" t="s">
        <v>556</v>
      </c>
      <c r="F802" s="325" t="s">
        <v>1009</v>
      </c>
    </row>
    <row r="803" spans="1:6" x14ac:dyDescent="0.2">
      <c r="A803" s="325" t="s">
        <v>765</v>
      </c>
      <c r="B803" s="325" t="s">
        <v>799</v>
      </c>
      <c r="C803" s="325" t="s">
        <v>788</v>
      </c>
      <c r="D803" s="325" t="s">
        <v>168</v>
      </c>
      <c r="E803" s="325" t="s">
        <v>265</v>
      </c>
      <c r="F803" s="325" t="s">
        <v>145</v>
      </c>
    </row>
    <row r="804" spans="1:6" x14ac:dyDescent="0.2">
      <c r="A804" s="325" t="s">
        <v>765</v>
      </c>
      <c r="B804" s="325" t="s">
        <v>800</v>
      </c>
      <c r="C804" s="325" t="s">
        <v>788</v>
      </c>
      <c r="D804" s="325" t="s">
        <v>310</v>
      </c>
      <c r="E804" s="325" t="s">
        <v>265</v>
      </c>
      <c r="F804" s="325" t="s">
        <v>350</v>
      </c>
    </row>
    <row r="805" spans="1:6" x14ac:dyDescent="0.2">
      <c r="A805" s="325" t="s">
        <v>765</v>
      </c>
      <c r="B805" s="325" t="s">
        <v>801</v>
      </c>
      <c r="C805" s="325" t="s">
        <v>788</v>
      </c>
      <c r="D805" s="325" t="s">
        <v>87</v>
      </c>
      <c r="E805" s="325" t="s">
        <v>265</v>
      </c>
      <c r="F805" s="325" t="s">
        <v>79</v>
      </c>
    </row>
    <row r="806" spans="1:6" x14ac:dyDescent="0.2">
      <c r="A806" s="325" t="s">
        <v>765</v>
      </c>
      <c r="B806" s="325" t="s">
        <v>802</v>
      </c>
      <c r="C806" s="325" t="s">
        <v>788</v>
      </c>
      <c r="D806" s="325" t="s">
        <v>228</v>
      </c>
      <c r="E806" s="325" t="s">
        <v>265</v>
      </c>
      <c r="F806" s="325" t="s">
        <v>331</v>
      </c>
    </row>
    <row r="807" spans="1:6" x14ac:dyDescent="0.2">
      <c r="A807" s="325" t="s">
        <v>765</v>
      </c>
      <c r="B807" s="325" t="s">
        <v>803</v>
      </c>
      <c r="C807" s="325" t="s">
        <v>788</v>
      </c>
      <c r="D807" s="325" t="s">
        <v>144</v>
      </c>
      <c r="E807" s="325" t="s">
        <v>265</v>
      </c>
      <c r="F807" s="325" t="s">
        <v>340</v>
      </c>
    </row>
    <row r="808" spans="1:6" x14ac:dyDescent="0.2">
      <c r="A808" s="325" t="s">
        <v>765</v>
      </c>
      <c r="B808" s="325" t="s">
        <v>804</v>
      </c>
      <c r="C808" s="325" t="s">
        <v>788</v>
      </c>
      <c r="D808" s="325" t="s">
        <v>429</v>
      </c>
      <c r="E808" s="325" t="s">
        <v>265</v>
      </c>
      <c r="F808" s="325" t="s">
        <v>263</v>
      </c>
    </row>
    <row r="809" spans="1:6" x14ac:dyDescent="0.2">
      <c r="A809" s="325" t="s">
        <v>765</v>
      </c>
      <c r="B809" s="325" t="s">
        <v>805</v>
      </c>
      <c r="C809" s="325" t="s">
        <v>788</v>
      </c>
      <c r="D809" s="325" t="s">
        <v>182</v>
      </c>
      <c r="E809" s="325" t="s">
        <v>265</v>
      </c>
      <c r="F809" s="325" t="s">
        <v>223</v>
      </c>
    </row>
    <row r="810" spans="1:6" x14ac:dyDescent="0.2">
      <c r="A810" s="325" t="s">
        <v>765</v>
      </c>
      <c r="B810" s="325" t="s">
        <v>806</v>
      </c>
      <c r="C810" s="325" t="s">
        <v>788</v>
      </c>
      <c r="D810" s="325" t="s">
        <v>298</v>
      </c>
      <c r="E810" s="325" t="s">
        <v>265</v>
      </c>
      <c r="F810" s="325" t="s">
        <v>423</v>
      </c>
    </row>
    <row r="811" spans="1:6" x14ac:dyDescent="0.2">
      <c r="A811" s="325" t="s">
        <v>765</v>
      </c>
      <c r="B811" s="325" t="s">
        <v>807</v>
      </c>
      <c r="C811" s="325" t="s">
        <v>788</v>
      </c>
      <c r="D811" s="325" t="s">
        <v>571</v>
      </c>
      <c r="E811" s="325" t="s">
        <v>265</v>
      </c>
      <c r="F811" s="325" t="s">
        <v>258</v>
      </c>
    </row>
    <row r="812" spans="1:6" x14ac:dyDescent="0.2">
      <c r="A812" s="325" t="s">
        <v>765</v>
      </c>
      <c r="B812" s="325" t="s">
        <v>808</v>
      </c>
      <c r="C812" s="325" t="s">
        <v>788</v>
      </c>
      <c r="D812" s="325" t="s">
        <v>156</v>
      </c>
      <c r="E812" s="325" t="s">
        <v>265</v>
      </c>
      <c r="F812" s="325" t="s">
        <v>226</v>
      </c>
    </row>
    <row r="813" spans="1:6" x14ac:dyDescent="0.2">
      <c r="A813" s="325" t="s">
        <v>765</v>
      </c>
      <c r="B813" s="325" t="s">
        <v>809</v>
      </c>
      <c r="C813" s="325" t="s">
        <v>788</v>
      </c>
      <c r="D813" s="325" t="s">
        <v>299</v>
      </c>
      <c r="E813" s="325" t="s">
        <v>265</v>
      </c>
      <c r="F813" s="325" t="s">
        <v>3</v>
      </c>
    </row>
    <row r="814" spans="1:6" x14ac:dyDescent="0.2">
      <c r="A814" s="325" t="s">
        <v>765</v>
      </c>
      <c r="B814" s="325" t="s">
        <v>810</v>
      </c>
      <c r="C814" s="325" t="s">
        <v>788</v>
      </c>
      <c r="D814" s="325" t="s">
        <v>164</v>
      </c>
      <c r="E814" s="325" t="s">
        <v>265</v>
      </c>
      <c r="F814" s="325" t="s">
        <v>524</v>
      </c>
    </row>
    <row r="815" spans="1:6" x14ac:dyDescent="0.2">
      <c r="A815" s="325" t="s">
        <v>765</v>
      </c>
      <c r="B815" s="325" t="s">
        <v>811</v>
      </c>
      <c r="C815" s="325" t="s">
        <v>788</v>
      </c>
      <c r="D815" s="325" t="s">
        <v>403</v>
      </c>
      <c r="E815" s="325" t="s">
        <v>265</v>
      </c>
      <c r="F815" s="325" t="s">
        <v>195</v>
      </c>
    </row>
    <row r="816" spans="1:6" x14ac:dyDescent="0.2">
      <c r="A816" s="325" t="s">
        <v>765</v>
      </c>
      <c r="B816" s="325" t="s">
        <v>812</v>
      </c>
      <c r="C816" s="325" t="s">
        <v>788</v>
      </c>
      <c r="D816" s="325" t="s">
        <v>367</v>
      </c>
      <c r="E816" s="325" t="s">
        <v>265</v>
      </c>
      <c r="F816" s="325" t="s">
        <v>461</v>
      </c>
    </row>
    <row r="817" spans="1:6" x14ac:dyDescent="0.2">
      <c r="A817" s="325" t="s">
        <v>765</v>
      </c>
      <c r="B817" s="325" t="s">
        <v>813</v>
      </c>
      <c r="C817" s="325" t="s">
        <v>788</v>
      </c>
      <c r="D817" s="325" t="s">
        <v>105</v>
      </c>
      <c r="E817" s="325" t="s">
        <v>265</v>
      </c>
      <c r="F817" s="325" t="s">
        <v>393</v>
      </c>
    </row>
    <row r="818" spans="1:6" x14ac:dyDescent="0.2">
      <c r="A818" s="325" t="s">
        <v>765</v>
      </c>
      <c r="B818" s="325" t="s">
        <v>814</v>
      </c>
      <c r="C818" s="325" t="s">
        <v>788</v>
      </c>
      <c r="D818" s="325" t="s">
        <v>520</v>
      </c>
      <c r="E818" s="325" t="s">
        <v>265</v>
      </c>
      <c r="F818" s="325" t="s">
        <v>277</v>
      </c>
    </row>
    <row r="819" spans="1:6" x14ac:dyDescent="0.2">
      <c r="A819" s="325" t="s">
        <v>765</v>
      </c>
      <c r="B819" s="325" t="s">
        <v>815</v>
      </c>
      <c r="C819" s="325" t="s">
        <v>788</v>
      </c>
      <c r="D819" s="325" t="s">
        <v>469</v>
      </c>
      <c r="E819" s="325" t="s">
        <v>265</v>
      </c>
      <c r="F819" s="325" t="s">
        <v>452</v>
      </c>
    </row>
    <row r="820" spans="1:6" x14ac:dyDescent="0.2">
      <c r="A820" s="325" t="s">
        <v>765</v>
      </c>
      <c r="B820" s="325" t="s">
        <v>816</v>
      </c>
      <c r="C820" s="325" t="s">
        <v>788</v>
      </c>
      <c r="D820" s="325" t="s">
        <v>432</v>
      </c>
      <c r="E820" s="325" t="s">
        <v>265</v>
      </c>
      <c r="F820" s="325" t="s">
        <v>489</v>
      </c>
    </row>
    <row r="821" spans="1:6" x14ac:dyDescent="0.2">
      <c r="A821" s="325" t="s">
        <v>765</v>
      </c>
      <c r="B821" s="325" t="s">
        <v>817</v>
      </c>
      <c r="C821" s="325" t="s">
        <v>788</v>
      </c>
      <c r="D821" s="325" t="s">
        <v>75</v>
      </c>
      <c r="E821" s="325" t="s">
        <v>265</v>
      </c>
      <c r="F821" s="325" t="s">
        <v>288</v>
      </c>
    </row>
    <row r="822" spans="1:6" x14ac:dyDescent="0.2">
      <c r="A822" s="325" t="s">
        <v>765</v>
      </c>
      <c r="B822" s="325" t="s">
        <v>818</v>
      </c>
      <c r="C822" s="325" t="s">
        <v>788</v>
      </c>
      <c r="D822" s="325" t="s">
        <v>666</v>
      </c>
      <c r="E822" s="325" t="s">
        <v>556</v>
      </c>
      <c r="F822" s="325" t="s">
        <v>665</v>
      </c>
    </row>
    <row r="823" spans="1:6" x14ac:dyDescent="0.2">
      <c r="A823" s="325" t="s">
        <v>765</v>
      </c>
      <c r="B823" s="325" t="s">
        <v>819</v>
      </c>
      <c r="C823" s="325" t="s">
        <v>788</v>
      </c>
      <c r="D823" s="325" t="s">
        <v>111</v>
      </c>
      <c r="E823" s="325" t="s">
        <v>265</v>
      </c>
      <c r="F823" s="325" t="s">
        <v>261</v>
      </c>
    </row>
    <row r="824" spans="1:6" x14ac:dyDescent="0.2">
      <c r="A824" s="325" t="s">
        <v>765</v>
      </c>
      <c r="B824" s="325" t="s">
        <v>820</v>
      </c>
      <c r="C824" s="325" t="s">
        <v>788</v>
      </c>
      <c r="D824" s="325" t="s">
        <v>289</v>
      </c>
      <c r="E824" s="325" t="s">
        <v>265</v>
      </c>
      <c r="F824" s="325" t="s">
        <v>674</v>
      </c>
    </row>
    <row r="825" spans="1:6" x14ac:dyDescent="0.2">
      <c r="A825" s="325" t="s">
        <v>765</v>
      </c>
      <c r="B825" s="325" t="s">
        <v>821</v>
      </c>
      <c r="C825" s="325" t="s">
        <v>788</v>
      </c>
      <c r="D825" s="325" t="s">
        <v>308</v>
      </c>
      <c r="E825" s="325" t="s">
        <v>265</v>
      </c>
      <c r="F825" s="325" t="s">
        <v>675</v>
      </c>
    </row>
    <row r="826" spans="1:6" x14ac:dyDescent="0.2">
      <c r="A826" s="325" t="s">
        <v>765</v>
      </c>
      <c r="B826" s="325" t="s">
        <v>822</v>
      </c>
      <c r="C826" s="325" t="s">
        <v>788</v>
      </c>
      <c r="D826" s="325" t="s">
        <v>411</v>
      </c>
      <c r="E826" s="325" t="s">
        <v>265</v>
      </c>
      <c r="F826" s="325" t="s">
        <v>115</v>
      </c>
    </row>
    <row r="827" spans="1:6" x14ac:dyDescent="0.2">
      <c r="A827" s="325" t="s">
        <v>765</v>
      </c>
      <c r="B827" s="325" t="s">
        <v>823</v>
      </c>
      <c r="C827" s="325" t="s">
        <v>788</v>
      </c>
      <c r="D827" s="325" t="s">
        <v>425</v>
      </c>
      <c r="E827" s="325" t="s">
        <v>265</v>
      </c>
      <c r="F827" s="325" t="s">
        <v>364</v>
      </c>
    </row>
    <row r="828" spans="1:6" x14ac:dyDescent="0.2">
      <c r="A828" s="325" t="s">
        <v>765</v>
      </c>
      <c r="B828" s="325" t="s">
        <v>824</v>
      </c>
      <c r="C828" s="325" t="s">
        <v>788</v>
      </c>
      <c r="D828" s="325" t="s">
        <v>431</v>
      </c>
      <c r="E828" s="325" t="s">
        <v>265</v>
      </c>
      <c r="F828" s="325" t="s">
        <v>464</v>
      </c>
    </row>
    <row r="829" spans="1:6" x14ac:dyDescent="0.2">
      <c r="A829" s="325" t="s">
        <v>765</v>
      </c>
      <c r="B829" s="325" t="s">
        <v>825</v>
      </c>
      <c r="C829" s="325" t="s">
        <v>788</v>
      </c>
      <c r="D829" s="325" t="s">
        <v>696</v>
      </c>
      <c r="E829" s="325" t="s">
        <v>265</v>
      </c>
      <c r="F829" s="325" t="s">
        <v>1010</v>
      </c>
    </row>
    <row r="830" spans="1:6" x14ac:dyDescent="0.2">
      <c r="A830" s="325" t="s">
        <v>765</v>
      </c>
      <c r="B830" s="325" t="s">
        <v>826</v>
      </c>
      <c r="C830" s="325" t="s">
        <v>788</v>
      </c>
      <c r="D830" s="325" t="s">
        <v>15</v>
      </c>
      <c r="E830" s="325" t="s">
        <v>265</v>
      </c>
      <c r="F830" s="325" t="s">
        <v>446</v>
      </c>
    </row>
    <row r="831" spans="1:6" x14ac:dyDescent="0.2">
      <c r="A831" s="325" t="s">
        <v>765</v>
      </c>
      <c r="B831" s="325" t="s">
        <v>827</v>
      </c>
      <c r="C831" s="325" t="s">
        <v>788</v>
      </c>
      <c r="D831" s="325" t="s">
        <v>551</v>
      </c>
      <c r="E831" s="325" t="s">
        <v>265</v>
      </c>
      <c r="F831" s="325" t="s">
        <v>10</v>
      </c>
    </row>
    <row r="832" spans="1:6" x14ac:dyDescent="0.2">
      <c r="A832" s="325" t="s">
        <v>765</v>
      </c>
      <c r="B832" s="325" t="s">
        <v>828</v>
      </c>
      <c r="C832" s="325" t="s">
        <v>788</v>
      </c>
      <c r="D832" s="325" t="s">
        <v>9</v>
      </c>
      <c r="E832" s="325" t="s">
        <v>265</v>
      </c>
      <c r="F832" s="325" t="s">
        <v>189</v>
      </c>
    </row>
    <row r="833" spans="1:6" x14ac:dyDescent="0.2">
      <c r="A833" s="325" t="s">
        <v>765</v>
      </c>
      <c r="B833" s="325" t="s">
        <v>829</v>
      </c>
      <c r="C833" s="325" t="s">
        <v>788</v>
      </c>
      <c r="D833" s="325" t="s">
        <v>566</v>
      </c>
      <c r="E833" s="325" t="s">
        <v>265</v>
      </c>
      <c r="F833" s="325" t="s">
        <v>135</v>
      </c>
    </row>
    <row r="834" spans="1:6" x14ac:dyDescent="0.2">
      <c r="A834" s="325" t="s">
        <v>765</v>
      </c>
      <c r="B834" s="325" t="s">
        <v>830</v>
      </c>
      <c r="C834" s="325" t="s">
        <v>788</v>
      </c>
      <c r="D834" s="325" t="s">
        <v>412</v>
      </c>
      <c r="E834" s="325" t="s">
        <v>456</v>
      </c>
      <c r="F834" s="325" t="s">
        <v>128</v>
      </c>
    </row>
    <row r="835" spans="1:6" x14ac:dyDescent="0.2">
      <c r="A835" s="325" t="s">
        <v>765</v>
      </c>
      <c r="B835" s="325" t="s">
        <v>831</v>
      </c>
      <c r="C835" s="325" t="s">
        <v>788</v>
      </c>
      <c r="D835" s="325" t="s">
        <v>369</v>
      </c>
      <c r="E835" s="325" t="s">
        <v>456</v>
      </c>
      <c r="F835" s="325" t="s">
        <v>496</v>
      </c>
    </row>
    <row r="836" spans="1:6" x14ac:dyDescent="0.2">
      <c r="A836" s="325" t="s">
        <v>765</v>
      </c>
      <c r="B836" s="325" t="s">
        <v>832</v>
      </c>
      <c r="C836" s="325" t="s">
        <v>788</v>
      </c>
      <c r="D836" s="325" t="s">
        <v>348</v>
      </c>
      <c r="E836" s="325" t="s">
        <v>265</v>
      </c>
      <c r="F836" s="325" t="s">
        <v>293</v>
      </c>
    </row>
    <row r="837" spans="1:6" x14ac:dyDescent="0.2">
      <c r="A837" s="325" t="s">
        <v>765</v>
      </c>
      <c r="B837" s="325" t="s">
        <v>833</v>
      </c>
      <c r="C837" s="325" t="s">
        <v>788</v>
      </c>
      <c r="D837" s="325" t="s">
        <v>244</v>
      </c>
      <c r="E837" s="325" t="s">
        <v>265</v>
      </c>
      <c r="F837" s="325" t="s">
        <v>543</v>
      </c>
    </row>
    <row r="838" spans="1:6" x14ac:dyDescent="0.2">
      <c r="A838" s="325" t="s">
        <v>765</v>
      </c>
      <c r="B838" s="325" t="s">
        <v>834</v>
      </c>
      <c r="C838" s="325" t="s">
        <v>788</v>
      </c>
      <c r="D838" s="325" t="s">
        <v>488</v>
      </c>
      <c r="E838" s="325" t="s">
        <v>265</v>
      </c>
      <c r="F838" s="325" t="s">
        <v>545</v>
      </c>
    </row>
    <row r="839" spans="1:6" x14ac:dyDescent="0.2">
      <c r="A839" s="325" t="s">
        <v>765</v>
      </c>
      <c r="B839" s="325" t="s">
        <v>835</v>
      </c>
      <c r="C839" s="325" t="s">
        <v>788</v>
      </c>
      <c r="D839" s="325" t="s">
        <v>397</v>
      </c>
      <c r="E839" s="325" t="s">
        <v>265</v>
      </c>
      <c r="F839" s="325" t="s">
        <v>88</v>
      </c>
    </row>
    <row r="840" spans="1:6" x14ac:dyDescent="0.2">
      <c r="A840" s="325" t="s">
        <v>765</v>
      </c>
      <c r="B840" s="325" t="s">
        <v>836</v>
      </c>
      <c r="C840" s="325" t="s">
        <v>788</v>
      </c>
      <c r="D840" s="325" t="s">
        <v>440</v>
      </c>
      <c r="E840" s="325" t="s">
        <v>265</v>
      </c>
      <c r="F840" s="325" t="s">
        <v>368</v>
      </c>
    </row>
    <row r="841" spans="1:6" x14ac:dyDescent="0.2">
      <c r="A841" s="325" t="s">
        <v>765</v>
      </c>
      <c r="B841" s="325" t="s">
        <v>837</v>
      </c>
      <c r="C841" s="325" t="s">
        <v>788</v>
      </c>
      <c r="D841" s="325" t="s">
        <v>445</v>
      </c>
      <c r="E841" s="325" t="s">
        <v>265</v>
      </c>
      <c r="F841" s="325" t="s">
        <v>238</v>
      </c>
    </row>
    <row r="842" spans="1:6" x14ac:dyDescent="0.2">
      <c r="A842" s="325" t="s">
        <v>765</v>
      </c>
      <c r="B842" s="325" t="s">
        <v>838</v>
      </c>
      <c r="C842" s="325" t="s">
        <v>788</v>
      </c>
      <c r="D842" s="325" t="s">
        <v>119</v>
      </c>
      <c r="E842" s="325" t="s">
        <v>265</v>
      </c>
      <c r="F842" s="325" t="s">
        <v>557</v>
      </c>
    </row>
    <row r="843" spans="1:6" x14ac:dyDescent="0.2">
      <c r="A843" s="325" t="s">
        <v>765</v>
      </c>
      <c r="B843" s="325" t="s">
        <v>839</v>
      </c>
      <c r="C843" s="325" t="s">
        <v>788</v>
      </c>
      <c r="D843" s="325" t="s">
        <v>580</v>
      </c>
      <c r="E843" s="325" t="s">
        <v>265</v>
      </c>
      <c r="F843" s="325" t="s">
        <v>120</v>
      </c>
    </row>
    <row r="844" spans="1:6" x14ac:dyDescent="0.2">
      <c r="A844" s="325" t="s">
        <v>765</v>
      </c>
      <c r="B844" s="325" t="s">
        <v>840</v>
      </c>
      <c r="C844" s="325" t="s">
        <v>788</v>
      </c>
      <c r="D844" s="325" t="s">
        <v>64</v>
      </c>
      <c r="E844" s="325" t="s">
        <v>265</v>
      </c>
      <c r="F844" s="325" t="s">
        <v>197</v>
      </c>
    </row>
    <row r="845" spans="1:6" x14ac:dyDescent="0.2">
      <c r="A845" s="325" t="s">
        <v>765</v>
      </c>
      <c r="B845" s="325" t="s">
        <v>841</v>
      </c>
      <c r="C845" s="325" t="s">
        <v>788</v>
      </c>
      <c r="D845" s="325" t="s">
        <v>471</v>
      </c>
      <c r="E845" s="325" t="s">
        <v>265</v>
      </c>
      <c r="F845" s="325" t="s">
        <v>466</v>
      </c>
    </row>
    <row r="846" spans="1:6" x14ac:dyDescent="0.2">
      <c r="A846" s="325" t="s">
        <v>765</v>
      </c>
      <c r="B846" s="325" t="s">
        <v>842</v>
      </c>
      <c r="C846" s="325" t="s">
        <v>788</v>
      </c>
      <c r="D846" s="325" t="s">
        <v>539</v>
      </c>
      <c r="E846" s="325" t="s">
        <v>265</v>
      </c>
      <c r="F846" s="325" t="s">
        <v>394</v>
      </c>
    </row>
    <row r="847" spans="1:6" x14ac:dyDescent="0.2">
      <c r="A847" s="325" t="s">
        <v>765</v>
      </c>
      <c r="B847" s="325" t="s">
        <v>843</v>
      </c>
      <c r="C847" s="325" t="s">
        <v>788</v>
      </c>
      <c r="D847" s="325" t="s">
        <v>318</v>
      </c>
      <c r="E847" s="325" t="s">
        <v>265</v>
      </c>
      <c r="F847" s="325" t="s">
        <v>478</v>
      </c>
    </row>
    <row r="848" spans="1:6" x14ac:dyDescent="0.2">
      <c r="A848" s="325" t="s">
        <v>765</v>
      </c>
      <c r="B848" s="325" t="s">
        <v>844</v>
      </c>
      <c r="C848" s="325" t="s">
        <v>788</v>
      </c>
      <c r="D848" s="325" t="s">
        <v>257</v>
      </c>
      <c r="E848" s="325" t="s">
        <v>265</v>
      </c>
      <c r="F848" s="325" t="s">
        <v>338</v>
      </c>
    </row>
    <row r="849" spans="1:6" x14ac:dyDescent="0.2">
      <c r="A849" s="325" t="s">
        <v>765</v>
      </c>
      <c r="B849" s="325" t="s">
        <v>845</v>
      </c>
      <c r="C849" s="325" t="s">
        <v>788</v>
      </c>
      <c r="D849" s="325" t="s">
        <v>751</v>
      </c>
      <c r="E849" s="325" t="s">
        <v>265</v>
      </c>
      <c r="F849" s="325" t="s">
        <v>753</v>
      </c>
    </row>
    <row r="850" spans="1:6" x14ac:dyDescent="0.2">
      <c r="A850" s="325" t="s">
        <v>765</v>
      </c>
      <c r="B850" s="325" t="s">
        <v>846</v>
      </c>
      <c r="C850" s="325" t="s">
        <v>788</v>
      </c>
      <c r="D850" s="325" t="s">
        <v>55</v>
      </c>
      <c r="E850" s="325" t="s">
        <v>265</v>
      </c>
      <c r="F850" s="325" t="s">
        <v>305</v>
      </c>
    </row>
    <row r="851" spans="1:6" x14ac:dyDescent="0.2">
      <c r="A851" s="325" t="s">
        <v>765</v>
      </c>
      <c r="B851" s="325" t="s">
        <v>847</v>
      </c>
      <c r="C851" s="325" t="s">
        <v>788</v>
      </c>
      <c r="D851" s="325" t="s">
        <v>522</v>
      </c>
      <c r="E851" s="325" t="s">
        <v>265</v>
      </c>
      <c r="F851" s="325" t="s">
        <v>602</v>
      </c>
    </row>
    <row r="852" spans="1:6" x14ac:dyDescent="0.2">
      <c r="A852" s="325" t="s">
        <v>765</v>
      </c>
      <c r="B852" s="325" t="s">
        <v>848</v>
      </c>
      <c r="C852" s="325" t="s">
        <v>788</v>
      </c>
      <c r="D852" s="325" t="s">
        <v>370</v>
      </c>
      <c r="E852" s="325" t="s">
        <v>265</v>
      </c>
      <c r="F852" s="325" t="s">
        <v>484</v>
      </c>
    </row>
    <row r="853" spans="1:6" x14ac:dyDescent="0.2">
      <c r="A853" s="325" t="s">
        <v>765</v>
      </c>
      <c r="B853" s="325" t="s">
        <v>849</v>
      </c>
      <c r="C853" s="325" t="s">
        <v>788</v>
      </c>
      <c r="D853" s="325" t="s">
        <v>752</v>
      </c>
      <c r="E853" s="325" t="s">
        <v>265</v>
      </c>
      <c r="F853" s="325" t="s">
        <v>754</v>
      </c>
    </row>
    <row r="854" spans="1:6" x14ac:dyDescent="0.2">
      <c r="A854" s="325" t="s">
        <v>765</v>
      </c>
      <c r="B854" s="325" t="s">
        <v>850</v>
      </c>
      <c r="C854" s="325" t="s">
        <v>788</v>
      </c>
      <c r="D854" s="325" t="s">
        <v>585</v>
      </c>
      <c r="E854" s="325" t="s">
        <v>265</v>
      </c>
      <c r="F854" s="325" t="s">
        <v>564</v>
      </c>
    </row>
    <row r="855" spans="1:6" x14ac:dyDescent="0.2">
      <c r="A855" s="325" t="s">
        <v>765</v>
      </c>
      <c r="B855" s="325" t="s">
        <v>851</v>
      </c>
      <c r="C855" s="325" t="s">
        <v>788</v>
      </c>
      <c r="D855" s="325" t="s">
        <v>603</v>
      </c>
      <c r="E855" s="325" t="s">
        <v>265</v>
      </c>
      <c r="F855" s="325" t="s">
        <v>703</v>
      </c>
    </row>
    <row r="856" spans="1:6" x14ac:dyDescent="0.2">
      <c r="A856" s="325" t="s">
        <v>765</v>
      </c>
      <c r="B856" s="325" t="s">
        <v>852</v>
      </c>
      <c r="C856" s="325" t="s">
        <v>788</v>
      </c>
      <c r="D856" s="325" t="s">
        <v>701</v>
      </c>
      <c r="E856" s="325" t="s">
        <v>442</v>
      </c>
      <c r="F856" s="325" t="s">
        <v>702</v>
      </c>
    </row>
    <row r="857" spans="1:6" x14ac:dyDescent="0.2">
      <c r="A857" s="325" t="s">
        <v>765</v>
      </c>
      <c r="B857" s="325" t="s">
        <v>853</v>
      </c>
      <c r="C857" s="325" t="s">
        <v>788</v>
      </c>
      <c r="D857" s="325" t="s">
        <v>565</v>
      </c>
      <c r="E857" s="325" t="s">
        <v>265</v>
      </c>
      <c r="F857" s="325" t="s">
        <v>306</v>
      </c>
    </row>
    <row r="858" spans="1:6" x14ac:dyDescent="0.2">
      <c r="A858" s="325" t="s">
        <v>765</v>
      </c>
      <c r="B858" s="325" t="s">
        <v>854</v>
      </c>
      <c r="C858" s="325" t="s">
        <v>788</v>
      </c>
      <c r="D858" s="325" t="s">
        <v>354</v>
      </c>
      <c r="E858" s="325" t="s">
        <v>265</v>
      </c>
      <c r="F858" s="325" t="s">
        <v>390</v>
      </c>
    </row>
    <row r="859" spans="1:6" x14ac:dyDescent="0.2">
      <c r="A859" s="325" t="s">
        <v>765</v>
      </c>
      <c r="B859" s="325" t="s">
        <v>855</v>
      </c>
      <c r="C859" s="325" t="s">
        <v>788</v>
      </c>
      <c r="D859" s="325" t="s">
        <v>93</v>
      </c>
      <c r="E859" s="325" t="s">
        <v>265</v>
      </c>
      <c r="F859" s="325" t="s">
        <v>170</v>
      </c>
    </row>
    <row r="860" spans="1:6" x14ac:dyDescent="0.2">
      <c r="A860" s="325" t="s">
        <v>765</v>
      </c>
      <c r="B860" s="325" t="s">
        <v>856</v>
      </c>
      <c r="C860" s="325" t="s">
        <v>788</v>
      </c>
      <c r="D860" s="325" t="s">
        <v>198</v>
      </c>
      <c r="E860" s="325" t="s">
        <v>265</v>
      </c>
      <c r="F860" s="325" t="s">
        <v>139</v>
      </c>
    </row>
    <row r="861" spans="1:6" x14ac:dyDescent="0.2">
      <c r="A861" s="325" t="s">
        <v>765</v>
      </c>
      <c r="B861" s="325" t="s">
        <v>857</v>
      </c>
      <c r="C861" s="325" t="s">
        <v>788</v>
      </c>
      <c r="D861" s="325" t="s">
        <v>604</v>
      </c>
      <c r="E861" s="325" t="s">
        <v>456</v>
      </c>
      <c r="F861" s="325" t="s">
        <v>27</v>
      </c>
    </row>
    <row r="862" spans="1:6" x14ac:dyDescent="0.2">
      <c r="A862" s="325" t="s">
        <v>765</v>
      </c>
      <c r="B862" s="325" t="s">
        <v>858</v>
      </c>
      <c r="C862" s="325" t="s">
        <v>788</v>
      </c>
      <c r="D862" s="325" t="s">
        <v>152</v>
      </c>
      <c r="E862" s="325" t="s">
        <v>265</v>
      </c>
      <c r="F862" s="325" t="s">
        <v>555</v>
      </c>
    </row>
    <row r="863" spans="1:6" x14ac:dyDescent="0.2">
      <c r="A863" s="325" t="s">
        <v>765</v>
      </c>
      <c r="B863" s="325" t="s">
        <v>859</v>
      </c>
      <c r="C863" s="325" t="s">
        <v>788</v>
      </c>
      <c r="D863" s="325" t="s">
        <v>547</v>
      </c>
      <c r="E863" s="325" t="s">
        <v>265</v>
      </c>
      <c r="F863" s="325" t="s">
        <v>374</v>
      </c>
    </row>
    <row r="864" spans="1:6" x14ac:dyDescent="0.2">
      <c r="A864" s="325" t="s">
        <v>765</v>
      </c>
      <c r="B864" s="325" t="s">
        <v>860</v>
      </c>
      <c r="C864" s="325" t="s">
        <v>788</v>
      </c>
      <c r="D864" s="325" t="s">
        <v>490</v>
      </c>
      <c r="E864" s="325" t="s">
        <v>265</v>
      </c>
      <c r="F864" s="325" t="s">
        <v>177</v>
      </c>
    </row>
    <row r="865" spans="1:6" x14ac:dyDescent="0.2">
      <c r="A865" s="325" t="s">
        <v>765</v>
      </c>
      <c r="B865" s="325" t="s">
        <v>861</v>
      </c>
      <c r="C865" s="325" t="s">
        <v>788</v>
      </c>
      <c r="D865" s="325" t="s">
        <v>209</v>
      </c>
      <c r="E865" s="325" t="s">
        <v>265</v>
      </c>
      <c r="F865" s="325" t="s">
        <v>41</v>
      </c>
    </row>
    <row r="866" spans="1:6" x14ac:dyDescent="0.2">
      <c r="A866" s="325" t="s">
        <v>765</v>
      </c>
      <c r="B866" s="325" t="s">
        <v>862</v>
      </c>
      <c r="C866" s="325" t="s">
        <v>788</v>
      </c>
      <c r="D866" s="325" t="s">
        <v>163</v>
      </c>
      <c r="E866" s="325" t="s">
        <v>265</v>
      </c>
      <c r="F866" s="325" t="s">
        <v>98</v>
      </c>
    </row>
    <row r="867" spans="1:6" x14ac:dyDescent="0.2">
      <c r="A867" s="325" t="s">
        <v>765</v>
      </c>
      <c r="B867" s="325" t="s">
        <v>863</v>
      </c>
      <c r="C867" s="325" t="s">
        <v>788</v>
      </c>
      <c r="D867" s="325" t="s">
        <v>200</v>
      </c>
      <c r="E867" s="325" t="s">
        <v>265</v>
      </c>
      <c r="F867" s="325" t="s">
        <v>230</v>
      </c>
    </row>
    <row r="868" spans="1:6" x14ac:dyDescent="0.2">
      <c r="A868" s="325" t="s">
        <v>765</v>
      </c>
      <c r="B868" s="325" t="s">
        <v>864</v>
      </c>
      <c r="C868" s="325" t="s">
        <v>788</v>
      </c>
      <c r="D868" s="325" t="s">
        <v>54</v>
      </c>
      <c r="E868" s="325" t="s">
        <v>265</v>
      </c>
      <c r="F868" s="325" t="s">
        <v>192</v>
      </c>
    </row>
    <row r="869" spans="1:6" x14ac:dyDescent="0.2">
      <c r="A869" s="325" t="s">
        <v>765</v>
      </c>
      <c r="B869" s="325" t="s">
        <v>865</v>
      </c>
      <c r="C869" s="325" t="s">
        <v>788</v>
      </c>
      <c r="D869" s="325" t="s">
        <v>133</v>
      </c>
      <c r="E869" s="325" t="s">
        <v>265</v>
      </c>
      <c r="F869" s="325" t="s">
        <v>349</v>
      </c>
    </row>
    <row r="870" spans="1:6" x14ac:dyDescent="0.2">
      <c r="A870" s="325" t="s">
        <v>765</v>
      </c>
      <c r="B870" s="325" t="s">
        <v>866</v>
      </c>
      <c r="C870" s="325" t="s">
        <v>788</v>
      </c>
      <c r="D870" s="325" t="s">
        <v>232</v>
      </c>
      <c r="E870" s="325" t="s">
        <v>265</v>
      </c>
      <c r="F870" s="325" t="s">
        <v>16</v>
      </c>
    </row>
    <row r="871" spans="1:6" x14ac:dyDescent="0.2">
      <c r="A871" s="325" t="s">
        <v>765</v>
      </c>
      <c r="B871" s="325" t="s">
        <v>867</v>
      </c>
      <c r="C871" s="325" t="s">
        <v>788</v>
      </c>
      <c r="D871" s="325" t="s">
        <v>56</v>
      </c>
      <c r="E871" s="325" t="s">
        <v>265</v>
      </c>
      <c r="F871" s="325" t="s">
        <v>199</v>
      </c>
    </row>
    <row r="872" spans="1:6" x14ac:dyDescent="0.2">
      <c r="A872" s="325" t="s">
        <v>765</v>
      </c>
      <c r="B872" s="325" t="s">
        <v>868</v>
      </c>
      <c r="C872" s="325" t="s">
        <v>788</v>
      </c>
      <c r="D872" s="325" t="s">
        <v>434</v>
      </c>
      <c r="E872" s="325" t="s">
        <v>265</v>
      </c>
      <c r="F872" s="325" t="s">
        <v>514</v>
      </c>
    </row>
    <row r="873" spans="1:6" x14ac:dyDescent="0.2">
      <c r="A873" s="325" t="s">
        <v>765</v>
      </c>
      <c r="B873" s="325" t="s">
        <v>869</v>
      </c>
      <c r="C873" s="325" t="s">
        <v>788</v>
      </c>
      <c r="D873" s="325" t="s">
        <v>108</v>
      </c>
      <c r="E873" s="325" t="s">
        <v>265</v>
      </c>
      <c r="F873" s="325" t="s">
        <v>362</v>
      </c>
    </row>
    <row r="874" spans="1:6" x14ac:dyDescent="0.2">
      <c r="A874" s="325" t="s">
        <v>765</v>
      </c>
      <c r="B874" s="325" t="s">
        <v>870</v>
      </c>
      <c r="C874" s="325" t="s">
        <v>788</v>
      </c>
      <c r="D874" s="325" t="s">
        <v>657</v>
      </c>
      <c r="E874" s="325" t="s">
        <v>265</v>
      </c>
      <c r="F874" s="325" t="s">
        <v>658</v>
      </c>
    </row>
    <row r="875" spans="1:6" x14ac:dyDescent="0.2">
      <c r="A875" s="325" t="s">
        <v>765</v>
      </c>
      <c r="B875" s="325" t="s">
        <v>871</v>
      </c>
      <c r="C875" s="325" t="s">
        <v>788</v>
      </c>
      <c r="D875" s="325" t="s">
        <v>659</v>
      </c>
      <c r="E875" s="325" t="s">
        <v>265</v>
      </c>
      <c r="F875" s="325" t="s">
        <v>660</v>
      </c>
    </row>
    <row r="876" spans="1:6" x14ac:dyDescent="0.2">
      <c r="A876" s="325" t="s">
        <v>765</v>
      </c>
      <c r="B876" s="325" t="s">
        <v>872</v>
      </c>
      <c r="C876" s="325" t="s">
        <v>788</v>
      </c>
      <c r="D876" s="325" t="s">
        <v>661</v>
      </c>
      <c r="E876" s="325" t="s">
        <v>265</v>
      </c>
      <c r="F876" s="325" t="s">
        <v>662</v>
      </c>
    </row>
    <row r="877" spans="1:6" x14ac:dyDescent="0.2">
      <c r="A877" s="325" t="s">
        <v>765</v>
      </c>
      <c r="B877" s="325" t="s">
        <v>873</v>
      </c>
      <c r="C877" s="325" t="s">
        <v>788</v>
      </c>
      <c r="D877" s="325" t="s">
        <v>648</v>
      </c>
      <c r="E877" s="325" t="s">
        <v>265</v>
      </c>
      <c r="F877" s="325" t="s">
        <v>651</v>
      </c>
    </row>
    <row r="878" spans="1:6" x14ac:dyDescent="0.2">
      <c r="A878" s="325" t="s">
        <v>765</v>
      </c>
      <c r="B878" s="325" t="s">
        <v>874</v>
      </c>
      <c r="C878" s="325" t="s">
        <v>788</v>
      </c>
      <c r="D878" s="325" t="s">
        <v>649</v>
      </c>
      <c r="E878" s="325" t="s">
        <v>265</v>
      </c>
      <c r="F878" s="325" t="s">
        <v>652</v>
      </c>
    </row>
    <row r="879" spans="1:6" x14ac:dyDescent="0.2">
      <c r="A879" s="325" t="s">
        <v>765</v>
      </c>
      <c r="B879" s="325" t="s">
        <v>875</v>
      </c>
      <c r="C879" s="325" t="s">
        <v>788</v>
      </c>
      <c r="D879" s="325" t="s">
        <v>650</v>
      </c>
      <c r="E879" s="325" t="s">
        <v>265</v>
      </c>
      <c r="F879" s="325" t="s">
        <v>653</v>
      </c>
    </row>
    <row r="880" spans="1:6" x14ac:dyDescent="0.2">
      <c r="A880" s="325" t="s">
        <v>765</v>
      </c>
      <c r="B880" s="325" t="s">
        <v>876</v>
      </c>
      <c r="C880" s="325" t="s">
        <v>788</v>
      </c>
      <c r="D880" s="325" t="s">
        <v>327</v>
      </c>
      <c r="E880" s="325" t="s">
        <v>265</v>
      </c>
      <c r="F880" s="325" t="s">
        <v>102</v>
      </c>
    </row>
    <row r="881" spans="1:6" x14ac:dyDescent="0.2">
      <c r="A881" s="325" t="s">
        <v>765</v>
      </c>
      <c r="B881" s="325" t="s">
        <v>877</v>
      </c>
      <c r="C881" s="325" t="s">
        <v>788</v>
      </c>
      <c r="D881" s="325" t="s">
        <v>356</v>
      </c>
      <c r="E881" s="325" t="s">
        <v>265</v>
      </c>
      <c r="F881" s="325" t="s">
        <v>1011</v>
      </c>
    </row>
    <row r="882" spans="1:6" x14ac:dyDescent="0.2">
      <c r="A882" s="325" t="s">
        <v>765</v>
      </c>
      <c r="B882" s="325" t="s">
        <v>878</v>
      </c>
      <c r="C882" s="325" t="s">
        <v>788</v>
      </c>
      <c r="D882" s="325" t="s">
        <v>513</v>
      </c>
      <c r="E882" s="325" t="s">
        <v>442</v>
      </c>
      <c r="F882" s="325" t="s">
        <v>264</v>
      </c>
    </row>
    <row r="883" spans="1:6" x14ac:dyDescent="0.2">
      <c r="A883" s="325" t="s">
        <v>765</v>
      </c>
      <c r="B883" s="325" t="s">
        <v>879</v>
      </c>
      <c r="C883" s="325" t="s">
        <v>788</v>
      </c>
      <c r="D883" s="325" t="s">
        <v>554</v>
      </c>
      <c r="E883" s="325" t="s">
        <v>442</v>
      </c>
      <c r="F883" s="325" t="s">
        <v>229</v>
      </c>
    </row>
    <row r="884" spans="1:6" x14ac:dyDescent="0.2">
      <c r="A884" s="325" t="s">
        <v>765</v>
      </c>
      <c r="B884" s="325" t="s">
        <v>880</v>
      </c>
      <c r="C884" s="325" t="s">
        <v>788</v>
      </c>
      <c r="D884" s="325" t="s">
        <v>409</v>
      </c>
      <c r="E884" s="325" t="s">
        <v>442</v>
      </c>
      <c r="F884" s="325" t="s">
        <v>336</v>
      </c>
    </row>
    <row r="885" spans="1:6" x14ac:dyDescent="0.2">
      <c r="A885" s="325" t="s">
        <v>765</v>
      </c>
      <c r="B885" s="325" t="s">
        <v>881</v>
      </c>
      <c r="C885" s="325" t="s">
        <v>788</v>
      </c>
      <c r="D885" s="325" t="s">
        <v>72</v>
      </c>
      <c r="E885" s="325" t="s">
        <v>265</v>
      </c>
      <c r="F885" s="325" t="s">
        <v>451</v>
      </c>
    </row>
    <row r="886" spans="1:6" x14ac:dyDescent="0.2">
      <c r="A886" s="325" t="s">
        <v>765</v>
      </c>
      <c r="B886" s="325" t="s">
        <v>882</v>
      </c>
      <c r="C886" s="325" t="s">
        <v>788</v>
      </c>
      <c r="D886" s="325" t="s">
        <v>35</v>
      </c>
      <c r="E886" s="325" t="s">
        <v>265</v>
      </c>
      <c r="F886" s="325" t="s">
        <v>414</v>
      </c>
    </row>
    <row r="887" spans="1:6" x14ac:dyDescent="0.2">
      <c r="A887" s="325" t="s">
        <v>765</v>
      </c>
      <c r="B887" s="325" t="s">
        <v>883</v>
      </c>
      <c r="C887" s="325" t="s">
        <v>788</v>
      </c>
      <c r="D887" s="325" t="s">
        <v>612</v>
      </c>
      <c r="E887" s="325" t="s">
        <v>456</v>
      </c>
      <c r="F887" s="325" t="s">
        <v>62</v>
      </c>
    </row>
    <row r="888" spans="1:6" x14ac:dyDescent="0.2">
      <c r="A888" s="325" t="s">
        <v>765</v>
      </c>
      <c r="B888" s="325" t="s">
        <v>884</v>
      </c>
      <c r="C888" s="325" t="s">
        <v>788</v>
      </c>
      <c r="D888" s="325" t="s">
        <v>611</v>
      </c>
      <c r="E888" s="325" t="s">
        <v>456</v>
      </c>
      <c r="F888" s="325" t="s">
        <v>148</v>
      </c>
    </row>
    <row r="889" spans="1:6" x14ac:dyDescent="0.2">
      <c r="A889" s="325" t="s">
        <v>765</v>
      </c>
      <c r="B889" s="325" t="s">
        <v>885</v>
      </c>
      <c r="C889" s="325" t="s">
        <v>788</v>
      </c>
      <c r="D889" s="325" t="s">
        <v>613</v>
      </c>
      <c r="E889" s="325" t="s">
        <v>456</v>
      </c>
      <c r="F889" s="325" t="s">
        <v>8</v>
      </c>
    </row>
    <row r="890" spans="1:6" x14ac:dyDescent="0.2">
      <c r="A890" s="325" t="s">
        <v>765</v>
      </c>
      <c r="B890" s="325" t="s">
        <v>886</v>
      </c>
      <c r="C890" s="325" t="s">
        <v>788</v>
      </c>
      <c r="D890" s="325" t="s">
        <v>614</v>
      </c>
      <c r="E890" s="325" t="s">
        <v>456</v>
      </c>
      <c r="F890" s="325" t="s">
        <v>475</v>
      </c>
    </row>
    <row r="891" spans="1:6" x14ac:dyDescent="0.2">
      <c r="A891" s="325" t="s">
        <v>765</v>
      </c>
      <c r="B891" s="325" t="s">
        <v>887</v>
      </c>
      <c r="C891" s="325" t="s">
        <v>788</v>
      </c>
      <c r="D891" s="325" t="s">
        <v>615</v>
      </c>
      <c r="E891" s="325" t="s">
        <v>456</v>
      </c>
      <c r="F891" s="325" t="s">
        <v>245</v>
      </c>
    </row>
    <row r="892" spans="1:6" x14ac:dyDescent="0.2">
      <c r="A892" s="325" t="s">
        <v>765</v>
      </c>
      <c r="B892" s="325" t="s">
        <v>888</v>
      </c>
      <c r="C892" s="325" t="s">
        <v>788</v>
      </c>
      <c r="D892" s="325" t="s">
        <v>619</v>
      </c>
      <c r="E892" s="325" t="s">
        <v>456</v>
      </c>
      <c r="F892" s="325" t="s">
        <v>181</v>
      </c>
    </row>
    <row r="893" spans="1:6" x14ac:dyDescent="0.2">
      <c r="A893" s="325" t="s">
        <v>765</v>
      </c>
      <c r="B893" s="325" t="s">
        <v>889</v>
      </c>
      <c r="C893" s="325" t="s">
        <v>788</v>
      </c>
      <c r="D893" s="325" t="s">
        <v>712</v>
      </c>
      <c r="E893" s="325" t="s">
        <v>265</v>
      </c>
      <c r="F893" s="325" t="s">
        <v>713</v>
      </c>
    </row>
    <row r="894" spans="1:6" x14ac:dyDescent="0.2">
      <c r="A894" s="325" t="s">
        <v>765</v>
      </c>
      <c r="B894" s="325" t="s">
        <v>890</v>
      </c>
      <c r="C894" s="325" t="s">
        <v>788</v>
      </c>
      <c r="D894" s="325" t="s">
        <v>616</v>
      </c>
      <c r="E894" s="325" t="s">
        <v>456</v>
      </c>
      <c r="F894" s="325" t="s">
        <v>63</v>
      </c>
    </row>
    <row r="895" spans="1:6" x14ac:dyDescent="0.2">
      <c r="A895" s="325" t="s">
        <v>765</v>
      </c>
      <c r="B895" s="325" t="s">
        <v>891</v>
      </c>
      <c r="C895" s="325" t="s">
        <v>788</v>
      </c>
      <c r="D895" s="325" t="s">
        <v>617</v>
      </c>
      <c r="E895" s="325" t="s">
        <v>456</v>
      </c>
      <c r="F895" s="325" t="s">
        <v>1012</v>
      </c>
    </row>
    <row r="896" spans="1:6" x14ac:dyDescent="0.2">
      <c r="A896" s="325" t="s">
        <v>765</v>
      </c>
      <c r="B896" s="325" t="s">
        <v>892</v>
      </c>
      <c r="C896" s="325" t="s">
        <v>788</v>
      </c>
      <c r="D896" s="325" t="s">
        <v>699</v>
      </c>
      <c r="E896" s="325" t="s">
        <v>265</v>
      </c>
      <c r="F896" s="325" t="s">
        <v>994</v>
      </c>
    </row>
    <row r="897" spans="1:6" x14ac:dyDescent="0.2">
      <c r="A897" s="325" t="s">
        <v>765</v>
      </c>
      <c r="B897" s="325" t="s">
        <v>893</v>
      </c>
      <c r="C897" s="325" t="s">
        <v>788</v>
      </c>
      <c r="D897" s="325" t="s">
        <v>623</v>
      </c>
      <c r="E897" s="325" t="s">
        <v>456</v>
      </c>
      <c r="F897" s="325" t="s">
        <v>74</v>
      </c>
    </row>
    <row r="898" spans="1:6" x14ac:dyDescent="0.2">
      <c r="A898" s="325" t="s">
        <v>765</v>
      </c>
      <c r="B898" s="325" t="s">
        <v>894</v>
      </c>
      <c r="C898" s="325" t="s">
        <v>788</v>
      </c>
      <c r="D898" s="325" t="s">
        <v>618</v>
      </c>
      <c r="E898" s="325" t="s">
        <v>456</v>
      </c>
      <c r="F898" s="325" t="s">
        <v>236</v>
      </c>
    </row>
    <row r="899" spans="1:6" x14ac:dyDescent="0.2">
      <c r="A899" s="325" t="s">
        <v>765</v>
      </c>
      <c r="B899" s="325" t="s">
        <v>895</v>
      </c>
      <c r="C899" s="325" t="s">
        <v>788</v>
      </c>
      <c r="D899" s="325" t="s">
        <v>624</v>
      </c>
      <c r="E899" s="325" t="s">
        <v>456</v>
      </c>
      <c r="F899" s="325" t="s">
        <v>74</v>
      </c>
    </row>
    <row r="900" spans="1:6" x14ac:dyDescent="0.2">
      <c r="A900" s="325" t="s">
        <v>765</v>
      </c>
      <c r="B900" s="325" t="s">
        <v>896</v>
      </c>
      <c r="C900" s="325" t="s">
        <v>788</v>
      </c>
      <c r="D900" s="325" t="s">
        <v>620</v>
      </c>
      <c r="E900" s="325" t="s">
        <v>456</v>
      </c>
      <c r="F900" s="325" t="s">
        <v>236</v>
      </c>
    </row>
    <row r="901" spans="1:6" x14ac:dyDescent="0.2">
      <c r="A901" s="325" t="s">
        <v>765</v>
      </c>
      <c r="B901" s="325" t="s">
        <v>897</v>
      </c>
      <c r="C901" s="325" t="s">
        <v>788</v>
      </c>
      <c r="D901" s="325" t="s">
        <v>621</v>
      </c>
      <c r="E901" s="325" t="s">
        <v>456</v>
      </c>
      <c r="F901" s="325" t="s">
        <v>342</v>
      </c>
    </row>
    <row r="902" spans="1:6" x14ac:dyDescent="0.2">
      <c r="A902" s="325" t="s">
        <v>765</v>
      </c>
      <c r="B902" s="325" t="s">
        <v>898</v>
      </c>
      <c r="C902" s="325" t="s">
        <v>788</v>
      </c>
      <c r="D902" s="325" t="s">
        <v>622</v>
      </c>
      <c r="E902" s="325" t="s">
        <v>456</v>
      </c>
      <c r="F902" s="325" t="s">
        <v>559</v>
      </c>
    </row>
    <row r="903" spans="1:6" x14ac:dyDescent="0.2">
      <c r="A903" s="325" t="s">
        <v>765</v>
      </c>
      <c r="B903" s="325" t="s">
        <v>899</v>
      </c>
      <c r="C903" s="325" t="s">
        <v>788</v>
      </c>
      <c r="D903" s="325" t="s">
        <v>607</v>
      </c>
      <c r="E903" s="325" t="s">
        <v>456</v>
      </c>
      <c r="F903" s="325" t="s">
        <v>256</v>
      </c>
    </row>
    <row r="904" spans="1:6" x14ac:dyDescent="0.2">
      <c r="A904" s="325" t="s">
        <v>765</v>
      </c>
      <c r="B904" s="325" t="s">
        <v>901</v>
      </c>
      <c r="C904" s="325" t="s">
        <v>788</v>
      </c>
      <c r="D904" s="325" t="s">
        <v>21</v>
      </c>
      <c r="E904" s="325" t="s">
        <v>265</v>
      </c>
      <c r="F904" s="325" t="s">
        <v>47</v>
      </c>
    </row>
    <row r="905" spans="1:6" x14ac:dyDescent="0.2">
      <c r="A905" s="325" t="s">
        <v>765</v>
      </c>
      <c r="B905" s="325" t="s">
        <v>902</v>
      </c>
      <c r="C905" s="325" t="s">
        <v>788</v>
      </c>
      <c r="D905" s="325" t="s">
        <v>323</v>
      </c>
      <c r="E905" s="325" t="s">
        <v>265</v>
      </c>
      <c r="F905" s="325" t="s">
        <v>20</v>
      </c>
    </row>
    <row r="906" spans="1:6" x14ac:dyDescent="0.2">
      <c r="A906" s="325" t="s">
        <v>765</v>
      </c>
      <c r="B906" s="325" t="s">
        <v>903</v>
      </c>
      <c r="C906" s="325" t="s">
        <v>788</v>
      </c>
      <c r="D906" s="325" t="s">
        <v>447</v>
      </c>
      <c r="E906" s="325" t="s">
        <v>265</v>
      </c>
      <c r="F906" s="325" t="s">
        <v>741</v>
      </c>
    </row>
    <row r="907" spans="1:6" x14ac:dyDescent="0.2">
      <c r="A907" s="325" t="s">
        <v>765</v>
      </c>
      <c r="B907" s="325" t="s">
        <v>904</v>
      </c>
      <c r="C907" s="325" t="s">
        <v>788</v>
      </c>
      <c r="D907" s="325" t="s">
        <v>742</v>
      </c>
      <c r="E907" s="325" t="s">
        <v>456</v>
      </c>
      <c r="F907" s="325" t="s">
        <v>743</v>
      </c>
    </row>
    <row r="908" spans="1:6" x14ac:dyDescent="0.2">
      <c r="A908" s="325" t="s">
        <v>765</v>
      </c>
      <c r="B908" s="325" t="s">
        <v>905</v>
      </c>
      <c r="C908" s="325" t="s">
        <v>788</v>
      </c>
      <c r="D908" s="325" t="s">
        <v>188</v>
      </c>
      <c r="E908" s="325" t="s">
        <v>456</v>
      </c>
      <c r="F908" s="325" t="s">
        <v>995</v>
      </c>
    </row>
    <row r="909" spans="1:6" x14ac:dyDescent="0.2">
      <c r="A909" s="325" t="s">
        <v>765</v>
      </c>
      <c r="B909" s="325" t="s">
        <v>906</v>
      </c>
      <c r="C909" s="325" t="s">
        <v>788</v>
      </c>
      <c r="D909" s="325" t="s">
        <v>679</v>
      </c>
      <c r="E909" s="325" t="s">
        <v>265</v>
      </c>
      <c r="F909" s="325" t="s">
        <v>682</v>
      </c>
    </row>
    <row r="910" spans="1:6" x14ac:dyDescent="0.2">
      <c r="A910" s="325" t="s">
        <v>765</v>
      </c>
      <c r="B910" s="325" t="s">
        <v>907</v>
      </c>
      <c r="C910" s="325" t="s">
        <v>788</v>
      </c>
      <c r="D910" s="325" t="s">
        <v>608</v>
      </c>
      <c r="E910" s="325" t="s">
        <v>456</v>
      </c>
      <c r="F910" s="325" t="s">
        <v>165</v>
      </c>
    </row>
    <row r="911" spans="1:6" x14ac:dyDescent="0.2">
      <c r="A911" s="325" t="s">
        <v>765</v>
      </c>
      <c r="B911" s="325" t="s">
        <v>908</v>
      </c>
      <c r="C911" s="325" t="s">
        <v>788</v>
      </c>
      <c r="D911" s="325" t="s">
        <v>609</v>
      </c>
      <c r="E911" s="325" t="s">
        <v>456</v>
      </c>
      <c r="F911" s="325" t="s">
        <v>535</v>
      </c>
    </row>
    <row r="912" spans="1:6" x14ac:dyDescent="0.2">
      <c r="A912" s="325" t="s">
        <v>765</v>
      </c>
      <c r="B912" s="325" t="s">
        <v>909</v>
      </c>
      <c r="C912" s="325" t="s">
        <v>788</v>
      </c>
      <c r="D912" s="325" t="s">
        <v>610</v>
      </c>
      <c r="E912" s="325" t="s">
        <v>456</v>
      </c>
      <c r="F912" s="325" t="s">
        <v>311</v>
      </c>
    </row>
    <row r="913" spans="1:6" x14ac:dyDescent="0.2">
      <c r="A913" s="325" t="s">
        <v>765</v>
      </c>
      <c r="B913" s="325" t="s">
        <v>910</v>
      </c>
      <c r="C913" s="325" t="s">
        <v>788</v>
      </c>
      <c r="D913" s="325" t="s">
        <v>395</v>
      </c>
      <c r="E913" s="325" t="s">
        <v>456</v>
      </c>
      <c r="F913" s="325" t="s">
        <v>588</v>
      </c>
    </row>
    <row r="914" spans="1:6" x14ac:dyDescent="0.2">
      <c r="A914" s="325" t="s">
        <v>765</v>
      </c>
      <c r="B914" s="325" t="s">
        <v>911</v>
      </c>
      <c r="C914" s="325" t="s">
        <v>788</v>
      </c>
      <c r="D914" s="325" t="s">
        <v>499</v>
      </c>
      <c r="E914" s="325" t="s">
        <v>456</v>
      </c>
      <c r="F914" s="325" t="s">
        <v>314</v>
      </c>
    </row>
    <row r="915" spans="1:6" x14ac:dyDescent="0.2">
      <c r="A915" s="325" t="s">
        <v>765</v>
      </c>
      <c r="B915" s="325" t="s">
        <v>971</v>
      </c>
      <c r="C915" s="325" t="s">
        <v>788</v>
      </c>
      <c r="D915" s="325" t="s">
        <v>413</v>
      </c>
      <c r="E915" s="325" t="s">
        <v>265</v>
      </c>
      <c r="F915" s="325" t="s">
        <v>273</v>
      </c>
    </row>
    <row r="916" spans="1:6" x14ac:dyDescent="0.2">
      <c r="A916" s="325" t="s">
        <v>765</v>
      </c>
      <c r="B916" s="325" t="s">
        <v>974</v>
      </c>
      <c r="C916" s="325" t="s">
        <v>788</v>
      </c>
      <c r="D916" s="325" t="s">
        <v>51</v>
      </c>
      <c r="E916" s="325" t="s">
        <v>442</v>
      </c>
      <c r="F916" s="325" t="s">
        <v>266</v>
      </c>
    </row>
    <row r="917" spans="1:6" x14ac:dyDescent="0.2">
      <c r="A917" s="325" t="s">
        <v>765</v>
      </c>
      <c r="B917" s="325" t="s">
        <v>975</v>
      </c>
      <c r="C917" s="325" t="s">
        <v>788</v>
      </c>
      <c r="D917" s="325" t="s">
        <v>283</v>
      </c>
      <c r="E917" s="325" t="s">
        <v>265</v>
      </c>
      <c r="F917" s="325" t="s">
        <v>53</v>
      </c>
    </row>
    <row r="918" spans="1:6" x14ac:dyDescent="0.2">
      <c r="A918" s="325" t="s">
        <v>765</v>
      </c>
      <c r="B918" s="325" t="s">
        <v>976</v>
      </c>
      <c r="C918" s="325" t="s">
        <v>788</v>
      </c>
      <c r="D918" s="325" t="s">
        <v>542</v>
      </c>
      <c r="E918" s="325" t="s">
        <v>265</v>
      </c>
      <c r="F918" s="325" t="s">
        <v>372</v>
      </c>
    </row>
    <row r="919" spans="1:6" x14ac:dyDescent="0.2">
      <c r="A919" s="325" t="s">
        <v>765</v>
      </c>
      <c r="B919" s="325" t="s">
        <v>977</v>
      </c>
      <c r="C919" s="325" t="s">
        <v>788</v>
      </c>
      <c r="D919" s="325" t="s">
        <v>576</v>
      </c>
      <c r="E919" s="325" t="s">
        <v>265</v>
      </c>
      <c r="F919" s="325" t="s">
        <v>333</v>
      </c>
    </row>
    <row r="920" spans="1:6" x14ac:dyDescent="0.2">
      <c r="A920" s="325" t="s">
        <v>765</v>
      </c>
      <c r="B920" s="325" t="s">
        <v>793</v>
      </c>
      <c r="C920" s="325" t="s">
        <v>789</v>
      </c>
      <c r="D920" s="325" t="s">
        <v>654</v>
      </c>
      <c r="E920" s="325" t="s">
        <v>265</v>
      </c>
      <c r="F920" s="325" t="s">
        <v>998</v>
      </c>
    </row>
    <row r="921" spans="1:6" x14ac:dyDescent="0.2">
      <c r="A921" s="325" t="s">
        <v>765</v>
      </c>
      <c r="B921" s="325" t="s">
        <v>794</v>
      </c>
      <c r="C921" s="325" t="s">
        <v>789</v>
      </c>
      <c r="D921" s="325" t="s">
        <v>510</v>
      </c>
      <c r="E921" s="325" t="s">
        <v>265</v>
      </c>
      <c r="F921" s="325" t="s">
        <v>999</v>
      </c>
    </row>
    <row r="922" spans="1:6" x14ac:dyDescent="0.2">
      <c r="A922" s="325" t="s">
        <v>765</v>
      </c>
      <c r="B922" s="325" t="s">
        <v>795</v>
      </c>
      <c r="C922" s="325" t="s">
        <v>789</v>
      </c>
      <c r="D922" s="325" t="s">
        <v>400</v>
      </c>
      <c r="E922" s="325" t="s">
        <v>265</v>
      </c>
      <c r="F922" s="325" t="s">
        <v>1001</v>
      </c>
    </row>
    <row r="923" spans="1:6" x14ac:dyDescent="0.2">
      <c r="A923" s="325" t="s">
        <v>765</v>
      </c>
      <c r="B923" s="325" t="s">
        <v>796</v>
      </c>
      <c r="C923" s="325" t="s">
        <v>789</v>
      </c>
      <c r="D923" s="325" t="s">
        <v>302</v>
      </c>
      <c r="E923" s="325" t="s">
        <v>265</v>
      </c>
      <c r="F923" s="325" t="s">
        <v>1000</v>
      </c>
    </row>
    <row r="924" spans="1:6" x14ac:dyDescent="0.2">
      <c r="A924" s="325" t="s">
        <v>765</v>
      </c>
      <c r="B924" s="325" t="s">
        <v>797</v>
      </c>
      <c r="C924" s="325" t="s">
        <v>789</v>
      </c>
      <c r="D924" s="325" t="s">
        <v>28</v>
      </c>
      <c r="E924" s="325" t="s">
        <v>442</v>
      </c>
      <c r="F924" s="325" t="s">
        <v>1008</v>
      </c>
    </row>
    <row r="925" spans="1:6" x14ac:dyDescent="0.2">
      <c r="A925" s="325" t="s">
        <v>765</v>
      </c>
      <c r="B925" s="325" t="s">
        <v>798</v>
      </c>
      <c r="C925" s="325" t="s">
        <v>789</v>
      </c>
      <c r="D925" s="325" t="s">
        <v>67</v>
      </c>
      <c r="E925" s="325" t="s">
        <v>556</v>
      </c>
      <c r="F925" s="325" t="s">
        <v>1009</v>
      </c>
    </row>
    <row r="926" spans="1:6" x14ac:dyDescent="0.2">
      <c r="A926" s="325" t="s">
        <v>765</v>
      </c>
      <c r="B926" s="325" t="s">
        <v>799</v>
      </c>
      <c r="C926" s="325" t="s">
        <v>789</v>
      </c>
      <c r="D926" s="325" t="s">
        <v>168</v>
      </c>
      <c r="E926" s="325" t="s">
        <v>265</v>
      </c>
      <c r="F926" s="325" t="s">
        <v>145</v>
      </c>
    </row>
    <row r="927" spans="1:6" x14ac:dyDescent="0.2">
      <c r="A927" s="325" t="s">
        <v>765</v>
      </c>
      <c r="B927" s="325" t="s">
        <v>800</v>
      </c>
      <c r="C927" s="325" t="s">
        <v>789</v>
      </c>
      <c r="D927" s="325" t="s">
        <v>310</v>
      </c>
      <c r="E927" s="325" t="s">
        <v>265</v>
      </c>
      <c r="F927" s="325" t="s">
        <v>350</v>
      </c>
    </row>
    <row r="928" spans="1:6" x14ac:dyDescent="0.2">
      <c r="A928" s="325" t="s">
        <v>765</v>
      </c>
      <c r="B928" s="325" t="s">
        <v>801</v>
      </c>
      <c r="C928" s="325" t="s">
        <v>789</v>
      </c>
      <c r="D928" s="325" t="s">
        <v>87</v>
      </c>
      <c r="E928" s="325" t="s">
        <v>265</v>
      </c>
      <c r="F928" s="325" t="s">
        <v>79</v>
      </c>
    </row>
    <row r="929" spans="1:6" x14ac:dyDescent="0.2">
      <c r="A929" s="325" t="s">
        <v>765</v>
      </c>
      <c r="B929" s="325" t="s">
        <v>802</v>
      </c>
      <c r="C929" s="325" t="s">
        <v>789</v>
      </c>
      <c r="D929" s="325" t="s">
        <v>228</v>
      </c>
      <c r="E929" s="325" t="s">
        <v>265</v>
      </c>
      <c r="F929" s="325" t="s">
        <v>331</v>
      </c>
    </row>
    <row r="930" spans="1:6" x14ac:dyDescent="0.2">
      <c r="A930" s="325" t="s">
        <v>765</v>
      </c>
      <c r="B930" s="325" t="s">
        <v>803</v>
      </c>
      <c r="C930" s="325" t="s">
        <v>789</v>
      </c>
      <c r="D930" s="325" t="s">
        <v>144</v>
      </c>
      <c r="E930" s="325" t="s">
        <v>265</v>
      </c>
      <c r="F930" s="325" t="s">
        <v>340</v>
      </c>
    </row>
    <row r="931" spans="1:6" x14ac:dyDescent="0.2">
      <c r="A931" s="325" t="s">
        <v>765</v>
      </c>
      <c r="B931" s="325" t="s">
        <v>804</v>
      </c>
      <c r="C931" s="325" t="s">
        <v>789</v>
      </c>
      <c r="D931" s="325" t="s">
        <v>429</v>
      </c>
      <c r="E931" s="325" t="s">
        <v>265</v>
      </c>
      <c r="F931" s="325" t="s">
        <v>263</v>
      </c>
    </row>
    <row r="932" spans="1:6" x14ac:dyDescent="0.2">
      <c r="A932" s="325" t="s">
        <v>765</v>
      </c>
      <c r="B932" s="325" t="s">
        <v>805</v>
      </c>
      <c r="C932" s="325" t="s">
        <v>789</v>
      </c>
      <c r="D932" s="325" t="s">
        <v>182</v>
      </c>
      <c r="E932" s="325" t="s">
        <v>265</v>
      </c>
      <c r="F932" s="325" t="s">
        <v>223</v>
      </c>
    </row>
    <row r="933" spans="1:6" x14ac:dyDescent="0.2">
      <c r="A933" s="325" t="s">
        <v>765</v>
      </c>
      <c r="B933" s="325" t="s">
        <v>806</v>
      </c>
      <c r="C933" s="325" t="s">
        <v>789</v>
      </c>
      <c r="D933" s="325" t="s">
        <v>298</v>
      </c>
      <c r="E933" s="325" t="s">
        <v>265</v>
      </c>
      <c r="F933" s="325" t="s">
        <v>423</v>
      </c>
    </row>
    <row r="934" spans="1:6" x14ac:dyDescent="0.2">
      <c r="A934" s="325" t="s">
        <v>765</v>
      </c>
      <c r="B934" s="325" t="s">
        <v>807</v>
      </c>
      <c r="C934" s="325" t="s">
        <v>789</v>
      </c>
      <c r="D934" s="325" t="s">
        <v>571</v>
      </c>
      <c r="E934" s="325" t="s">
        <v>265</v>
      </c>
      <c r="F934" s="325" t="s">
        <v>258</v>
      </c>
    </row>
    <row r="935" spans="1:6" x14ac:dyDescent="0.2">
      <c r="A935" s="325" t="s">
        <v>765</v>
      </c>
      <c r="B935" s="325" t="s">
        <v>808</v>
      </c>
      <c r="C935" s="325" t="s">
        <v>789</v>
      </c>
      <c r="D935" s="325" t="s">
        <v>156</v>
      </c>
      <c r="E935" s="325" t="s">
        <v>265</v>
      </c>
      <c r="F935" s="325" t="s">
        <v>226</v>
      </c>
    </row>
    <row r="936" spans="1:6" x14ac:dyDescent="0.2">
      <c r="A936" s="325" t="s">
        <v>765</v>
      </c>
      <c r="B936" s="325" t="s">
        <v>809</v>
      </c>
      <c r="C936" s="325" t="s">
        <v>789</v>
      </c>
      <c r="D936" s="325" t="s">
        <v>299</v>
      </c>
      <c r="E936" s="325" t="s">
        <v>265</v>
      </c>
      <c r="F936" s="325" t="s">
        <v>3</v>
      </c>
    </row>
    <row r="937" spans="1:6" x14ac:dyDescent="0.2">
      <c r="A937" s="325" t="s">
        <v>765</v>
      </c>
      <c r="B937" s="325" t="s">
        <v>810</v>
      </c>
      <c r="C937" s="325" t="s">
        <v>789</v>
      </c>
      <c r="D937" s="325" t="s">
        <v>164</v>
      </c>
      <c r="E937" s="325" t="s">
        <v>265</v>
      </c>
      <c r="F937" s="325" t="s">
        <v>524</v>
      </c>
    </row>
    <row r="938" spans="1:6" x14ac:dyDescent="0.2">
      <c r="A938" s="325" t="s">
        <v>765</v>
      </c>
      <c r="B938" s="325" t="s">
        <v>811</v>
      </c>
      <c r="C938" s="325" t="s">
        <v>789</v>
      </c>
      <c r="D938" s="325" t="s">
        <v>403</v>
      </c>
      <c r="E938" s="325" t="s">
        <v>265</v>
      </c>
      <c r="F938" s="325" t="s">
        <v>195</v>
      </c>
    </row>
    <row r="939" spans="1:6" x14ac:dyDescent="0.2">
      <c r="A939" s="325" t="s">
        <v>765</v>
      </c>
      <c r="B939" s="325" t="s">
        <v>812</v>
      </c>
      <c r="C939" s="325" t="s">
        <v>789</v>
      </c>
      <c r="D939" s="325" t="s">
        <v>367</v>
      </c>
      <c r="E939" s="325" t="s">
        <v>265</v>
      </c>
      <c r="F939" s="325" t="s">
        <v>461</v>
      </c>
    </row>
    <row r="940" spans="1:6" x14ac:dyDescent="0.2">
      <c r="A940" s="325" t="s">
        <v>765</v>
      </c>
      <c r="B940" s="325" t="s">
        <v>813</v>
      </c>
      <c r="C940" s="325" t="s">
        <v>789</v>
      </c>
      <c r="D940" s="325" t="s">
        <v>105</v>
      </c>
      <c r="E940" s="325" t="s">
        <v>265</v>
      </c>
      <c r="F940" s="325" t="s">
        <v>393</v>
      </c>
    </row>
    <row r="941" spans="1:6" x14ac:dyDescent="0.2">
      <c r="A941" s="325" t="s">
        <v>765</v>
      </c>
      <c r="B941" s="325" t="s">
        <v>814</v>
      </c>
      <c r="C941" s="325" t="s">
        <v>789</v>
      </c>
      <c r="D941" s="325" t="s">
        <v>520</v>
      </c>
      <c r="E941" s="325" t="s">
        <v>265</v>
      </c>
      <c r="F941" s="325" t="s">
        <v>277</v>
      </c>
    </row>
    <row r="942" spans="1:6" x14ac:dyDescent="0.2">
      <c r="A942" s="325" t="s">
        <v>765</v>
      </c>
      <c r="B942" s="325" t="s">
        <v>815</v>
      </c>
      <c r="C942" s="325" t="s">
        <v>789</v>
      </c>
      <c r="D942" s="325" t="s">
        <v>469</v>
      </c>
      <c r="E942" s="325" t="s">
        <v>265</v>
      </c>
      <c r="F942" s="325" t="s">
        <v>452</v>
      </c>
    </row>
    <row r="943" spans="1:6" x14ac:dyDescent="0.2">
      <c r="A943" s="325" t="s">
        <v>765</v>
      </c>
      <c r="B943" s="325" t="s">
        <v>816</v>
      </c>
      <c r="C943" s="325" t="s">
        <v>789</v>
      </c>
      <c r="D943" s="325" t="s">
        <v>432</v>
      </c>
      <c r="E943" s="325" t="s">
        <v>265</v>
      </c>
      <c r="F943" s="325" t="s">
        <v>489</v>
      </c>
    </row>
    <row r="944" spans="1:6" x14ac:dyDescent="0.2">
      <c r="A944" s="325" t="s">
        <v>765</v>
      </c>
      <c r="B944" s="325" t="s">
        <v>817</v>
      </c>
      <c r="C944" s="325" t="s">
        <v>789</v>
      </c>
      <c r="D944" s="325" t="s">
        <v>75</v>
      </c>
      <c r="E944" s="325" t="s">
        <v>265</v>
      </c>
      <c r="F944" s="325" t="s">
        <v>288</v>
      </c>
    </row>
    <row r="945" spans="1:6" x14ac:dyDescent="0.2">
      <c r="A945" s="325" t="s">
        <v>765</v>
      </c>
      <c r="B945" s="325" t="s">
        <v>818</v>
      </c>
      <c r="C945" s="325" t="s">
        <v>789</v>
      </c>
      <c r="D945" s="325" t="s">
        <v>666</v>
      </c>
      <c r="E945" s="325" t="s">
        <v>556</v>
      </c>
      <c r="F945" s="325" t="s">
        <v>665</v>
      </c>
    </row>
    <row r="946" spans="1:6" x14ac:dyDescent="0.2">
      <c r="A946" s="325" t="s">
        <v>765</v>
      </c>
      <c r="B946" s="325" t="s">
        <v>819</v>
      </c>
      <c r="C946" s="325" t="s">
        <v>789</v>
      </c>
      <c r="D946" s="325" t="s">
        <v>111</v>
      </c>
      <c r="E946" s="325" t="s">
        <v>265</v>
      </c>
      <c r="F946" s="325" t="s">
        <v>261</v>
      </c>
    </row>
    <row r="947" spans="1:6" x14ac:dyDescent="0.2">
      <c r="A947" s="325" t="s">
        <v>765</v>
      </c>
      <c r="B947" s="325" t="s">
        <v>820</v>
      </c>
      <c r="C947" s="325" t="s">
        <v>789</v>
      </c>
      <c r="D947" s="325" t="s">
        <v>289</v>
      </c>
      <c r="E947" s="325" t="s">
        <v>265</v>
      </c>
      <c r="F947" s="325" t="s">
        <v>674</v>
      </c>
    </row>
    <row r="948" spans="1:6" x14ac:dyDescent="0.2">
      <c r="A948" s="325" t="s">
        <v>765</v>
      </c>
      <c r="B948" s="325" t="s">
        <v>821</v>
      </c>
      <c r="C948" s="325" t="s">
        <v>789</v>
      </c>
      <c r="D948" s="325" t="s">
        <v>308</v>
      </c>
      <c r="E948" s="325" t="s">
        <v>265</v>
      </c>
      <c r="F948" s="325" t="s">
        <v>675</v>
      </c>
    </row>
    <row r="949" spans="1:6" x14ac:dyDescent="0.2">
      <c r="A949" s="325" t="s">
        <v>765</v>
      </c>
      <c r="B949" s="325" t="s">
        <v>822</v>
      </c>
      <c r="C949" s="325" t="s">
        <v>789</v>
      </c>
      <c r="D949" s="325" t="s">
        <v>411</v>
      </c>
      <c r="E949" s="325" t="s">
        <v>265</v>
      </c>
      <c r="F949" s="325" t="s">
        <v>115</v>
      </c>
    </row>
    <row r="950" spans="1:6" x14ac:dyDescent="0.2">
      <c r="A950" s="325" t="s">
        <v>765</v>
      </c>
      <c r="B950" s="325" t="s">
        <v>823</v>
      </c>
      <c r="C950" s="325" t="s">
        <v>789</v>
      </c>
      <c r="D950" s="325" t="s">
        <v>425</v>
      </c>
      <c r="E950" s="325" t="s">
        <v>265</v>
      </c>
      <c r="F950" s="325" t="s">
        <v>364</v>
      </c>
    </row>
    <row r="951" spans="1:6" x14ac:dyDescent="0.2">
      <c r="A951" s="325" t="s">
        <v>765</v>
      </c>
      <c r="B951" s="325" t="s">
        <v>824</v>
      </c>
      <c r="C951" s="325" t="s">
        <v>789</v>
      </c>
      <c r="D951" s="325" t="s">
        <v>431</v>
      </c>
      <c r="E951" s="325" t="s">
        <v>265</v>
      </c>
      <c r="F951" s="325" t="s">
        <v>464</v>
      </c>
    </row>
    <row r="952" spans="1:6" x14ac:dyDescent="0.2">
      <c r="A952" s="325" t="s">
        <v>765</v>
      </c>
      <c r="B952" s="325" t="s">
        <v>825</v>
      </c>
      <c r="C952" s="325" t="s">
        <v>789</v>
      </c>
      <c r="D952" s="325" t="s">
        <v>696</v>
      </c>
      <c r="E952" s="325" t="s">
        <v>265</v>
      </c>
      <c r="F952" s="325" t="s">
        <v>1010</v>
      </c>
    </row>
    <row r="953" spans="1:6" x14ac:dyDescent="0.2">
      <c r="A953" s="325" t="s">
        <v>765</v>
      </c>
      <c r="B953" s="325" t="s">
        <v>826</v>
      </c>
      <c r="C953" s="325" t="s">
        <v>789</v>
      </c>
      <c r="D953" s="325" t="s">
        <v>15</v>
      </c>
      <c r="E953" s="325" t="s">
        <v>265</v>
      </c>
      <c r="F953" s="325" t="s">
        <v>446</v>
      </c>
    </row>
    <row r="954" spans="1:6" x14ac:dyDescent="0.2">
      <c r="A954" s="325" t="s">
        <v>765</v>
      </c>
      <c r="B954" s="325" t="s">
        <v>827</v>
      </c>
      <c r="C954" s="325" t="s">
        <v>789</v>
      </c>
      <c r="D954" s="325" t="s">
        <v>551</v>
      </c>
      <c r="E954" s="325" t="s">
        <v>265</v>
      </c>
      <c r="F954" s="325" t="s">
        <v>10</v>
      </c>
    </row>
    <row r="955" spans="1:6" x14ac:dyDescent="0.2">
      <c r="A955" s="325" t="s">
        <v>765</v>
      </c>
      <c r="B955" s="325" t="s">
        <v>828</v>
      </c>
      <c r="C955" s="325" t="s">
        <v>789</v>
      </c>
      <c r="D955" s="325" t="s">
        <v>9</v>
      </c>
      <c r="E955" s="325" t="s">
        <v>265</v>
      </c>
      <c r="F955" s="325" t="s">
        <v>189</v>
      </c>
    </row>
    <row r="956" spans="1:6" x14ac:dyDescent="0.2">
      <c r="A956" s="325" t="s">
        <v>765</v>
      </c>
      <c r="B956" s="325" t="s">
        <v>829</v>
      </c>
      <c r="C956" s="325" t="s">
        <v>789</v>
      </c>
      <c r="D956" s="325" t="s">
        <v>566</v>
      </c>
      <c r="E956" s="325" t="s">
        <v>265</v>
      </c>
      <c r="F956" s="325" t="s">
        <v>135</v>
      </c>
    </row>
    <row r="957" spans="1:6" x14ac:dyDescent="0.2">
      <c r="A957" s="325" t="s">
        <v>765</v>
      </c>
      <c r="B957" s="325" t="s">
        <v>830</v>
      </c>
      <c r="C957" s="325" t="s">
        <v>789</v>
      </c>
      <c r="D957" s="325" t="s">
        <v>412</v>
      </c>
      <c r="E957" s="325" t="s">
        <v>456</v>
      </c>
      <c r="F957" s="325" t="s">
        <v>128</v>
      </c>
    </row>
    <row r="958" spans="1:6" x14ac:dyDescent="0.2">
      <c r="A958" s="325" t="s">
        <v>765</v>
      </c>
      <c r="B958" s="325" t="s">
        <v>831</v>
      </c>
      <c r="C958" s="325" t="s">
        <v>789</v>
      </c>
      <c r="D958" s="325" t="s">
        <v>369</v>
      </c>
      <c r="E958" s="325" t="s">
        <v>456</v>
      </c>
      <c r="F958" s="325" t="s">
        <v>496</v>
      </c>
    </row>
    <row r="959" spans="1:6" x14ac:dyDescent="0.2">
      <c r="A959" s="325" t="s">
        <v>765</v>
      </c>
      <c r="B959" s="325" t="s">
        <v>832</v>
      </c>
      <c r="C959" s="325" t="s">
        <v>789</v>
      </c>
      <c r="D959" s="325" t="s">
        <v>348</v>
      </c>
      <c r="E959" s="325" t="s">
        <v>265</v>
      </c>
      <c r="F959" s="325" t="s">
        <v>293</v>
      </c>
    </row>
    <row r="960" spans="1:6" x14ac:dyDescent="0.2">
      <c r="A960" s="325" t="s">
        <v>765</v>
      </c>
      <c r="B960" s="325" t="s">
        <v>833</v>
      </c>
      <c r="C960" s="325" t="s">
        <v>789</v>
      </c>
      <c r="D960" s="325" t="s">
        <v>244</v>
      </c>
      <c r="E960" s="325" t="s">
        <v>265</v>
      </c>
      <c r="F960" s="325" t="s">
        <v>543</v>
      </c>
    </row>
    <row r="961" spans="1:6" x14ac:dyDescent="0.2">
      <c r="A961" s="325" t="s">
        <v>765</v>
      </c>
      <c r="B961" s="325" t="s">
        <v>834</v>
      </c>
      <c r="C961" s="325" t="s">
        <v>789</v>
      </c>
      <c r="D961" s="325" t="s">
        <v>488</v>
      </c>
      <c r="E961" s="325" t="s">
        <v>265</v>
      </c>
      <c r="F961" s="325" t="s">
        <v>545</v>
      </c>
    </row>
    <row r="962" spans="1:6" x14ac:dyDescent="0.2">
      <c r="A962" s="325" t="s">
        <v>765</v>
      </c>
      <c r="B962" s="325" t="s">
        <v>835</v>
      </c>
      <c r="C962" s="325" t="s">
        <v>789</v>
      </c>
      <c r="D962" s="325" t="s">
        <v>397</v>
      </c>
      <c r="E962" s="325" t="s">
        <v>265</v>
      </c>
      <c r="F962" s="325" t="s">
        <v>88</v>
      </c>
    </row>
    <row r="963" spans="1:6" x14ac:dyDescent="0.2">
      <c r="A963" s="325" t="s">
        <v>765</v>
      </c>
      <c r="B963" s="325" t="s">
        <v>836</v>
      </c>
      <c r="C963" s="325" t="s">
        <v>789</v>
      </c>
      <c r="D963" s="325" t="s">
        <v>440</v>
      </c>
      <c r="E963" s="325" t="s">
        <v>265</v>
      </c>
      <c r="F963" s="325" t="s">
        <v>368</v>
      </c>
    </row>
    <row r="964" spans="1:6" x14ac:dyDescent="0.2">
      <c r="A964" s="325" t="s">
        <v>765</v>
      </c>
      <c r="B964" s="325" t="s">
        <v>837</v>
      </c>
      <c r="C964" s="325" t="s">
        <v>789</v>
      </c>
      <c r="D964" s="325" t="s">
        <v>445</v>
      </c>
      <c r="E964" s="325" t="s">
        <v>265</v>
      </c>
      <c r="F964" s="325" t="s">
        <v>238</v>
      </c>
    </row>
    <row r="965" spans="1:6" x14ac:dyDescent="0.2">
      <c r="A965" s="325" t="s">
        <v>765</v>
      </c>
      <c r="B965" s="325" t="s">
        <v>838</v>
      </c>
      <c r="C965" s="325" t="s">
        <v>789</v>
      </c>
      <c r="D965" s="325" t="s">
        <v>119</v>
      </c>
      <c r="E965" s="325" t="s">
        <v>265</v>
      </c>
      <c r="F965" s="325" t="s">
        <v>557</v>
      </c>
    </row>
    <row r="966" spans="1:6" x14ac:dyDescent="0.2">
      <c r="A966" s="325" t="s">
        <v>765</v>
      </c>
      <c r="B966" s="325" t="s">
        <v>839</v>
      </c>
      <c r="C966" s="325" t="s">
        <v>789</v>
      </c>
      <c r="D966" s="325" t="s">
        <v>580</v>
      </c>
      <c r="E966" s="325" t="s">
        <v>265</v>
      </c>
      <c r="F966" s="325" t="s">
        <v>120</v>
      </c>
    </row>
    <row r="967" spans="1:6" x14ac:dyDescent="0.2">
      <c r="A967" s="325" t="s">
        <v>765</v>
      </c>
      <c r="B967" s="325" t="s">
        <v>840</v>
      </c>
      <c r="C967" s="325" t="s">
        <v>789</v>
      </c>
      <c r="D967" s="325" t="s">
        <v>64</v>
      </c>
      <c r="E967" s="325" t="s">
        <v>265</v>
      </c>
      <c r="F967" s="325" t="s">
        <v>197</v>
      </c>
    </row>
    <row r="968" spans="1:6" x14ac:dyDescent="0.2">
      <c r="A968" s="325" t="s">
        <v>765</v>
      </c>
      <c r="B968" s="325" t="s">
        <v>841</v>
      </c>
      <c r="C968" s="325" t="s">
        <v>789</v>
      </c>
      <c r="D968" s="325" t="s">
        <v>471</v>
      </c>
      <c r="E968" s="325" t="s">
        <v>265</v>
      </c>
      <c r="F968" s="325" t="s">
        <v>466</v>
      </c>
    </row>
    <row r="969" spans="1:6" x14ac:dyDescent="0.2">
      <c r="A969" s="325" t="s">
        <v>765</v>
      </c>
      <c r="B969" s="325" t="s">
        <v>842</v>
      </c>
      <c r="C969" s="325" t="s">
        <v>789</v>
      </c>
      <c r="D969" s="325" t="s">
        <v>539</v>
      </c>
      <c r="E969" s="325" t="s">
        <v>265</v>
      </c>
      <c r="F969" s="325" t="s">
        <v>394</v>
      </c>
    </row>
    <row r="970" spans="1:6" x14ac:dyDescent="0.2">
      <c r="A970" s="325" t="s">
        <v>765</v>
      </c>
      <c r="B970" s="325" t="s">
        <v>843</v>
      </c>
      <c r="C970" s="325" t="s">
        <v>789</v>
      </c>
      <c r="D970" s="325" t="s">
        <v>318</v>
      </c>
      <c r="E970" s="325" t="s">
        <v>265</v>
      </c>
      <c r="F970" s="325" t="s">
        <v>478</v>
      </c>
    </row>
    <row r="971" spans="1:6" x14ac:dyDescent="0.2">
      <c r="A971" s="325" t="s">
        <v>765</v>
      </c>
      <c r="B971" s="325" t="s">
        <v>844</v>
      </c>
      <c r="C971" s="325" t="s">
        <v>789</v>
      </c>
      <c r="D971" s="325" t="s">
        <v>257</v>
      </c>
      <c r="E971" s="325" t="s">
        <v>265</v>
      </c>
      <c r="F971" s="325" t="s">
        <v>338</v>
      </c>
    </row>
    <row r="972" spans="1:6" x14ac:dyDescent="0.2">
      <c r="A972" s="325" t="s">
        <v>765</v>
      </c>
      <c r="B972" s="325" t="s">
        <v>845</v>
      </c>
      <c r="C972" s="325" t="s">
        <v>789</v>
      </c>
      <c r="D972" s="325" t="s">
        <v>751</v>
      </c>
      <c r="E972" s="325" t="s">
        <v>265</v>
      </c>
      <c r="F972" s="325" t="s">
        <v>753</v>
      </c>
    </row>
    <row r="973" spans="1:6" x14ac:dyDescent="0.2">
      <c r="A973" s="325" t="s">
        <v>765</v>
      </c>
      <c r="B973" s="325" t="s">
        <v>846</v>
      </c>
      <c r="C973" s="325" t="s">
        <v>789</v>
      </c>
      <c r="D973" s="325" t="s">
        <v>55</v>
      </c>
      <c r="E973" s="325" t="s">
        <v>265</v>
      </c>
      <c r="F973" s="325" t="s">
        <v>305</v>
      </c>
    </row>
    <row r="974" spans="1:6" x14ac:dyDescent="0.2">
      <c r="A974" s="325" t="s">
        <v>765</v>
      </c>
      <c r="B974" s="325" t="s">
        <v>847</v>
      </c>
      <c r="C974" s="325" t="s">
        <v>789</v>
      </c>
      <c r="D974" s="325" t="s">
        <v>627</v>
      </c>
      <c r="E974" s="325" t="s">
        <v>442</v>
      </c>
      <c r="F974" s="325" t="s">
        <v>602</v>
      </c>
    </row>
    <row r="975" spans="1:6" x14ac:dyDescent="0.2">
      <c r="A975" s="325" t="s">
        <v>765</v>
      </c>
      <c r="B975" s="325" t="s">
        <v>848</v>
      </c>
      <c r="C975" s="325" t="s">
        <v>789</v>
      </c>
      <c r="D975" s="325" t="s">
        <v>370</v>
      </c>
      <c r="E975" s="325" t="s">
        <v>265</v>
      </c>
      <c r="F975" s="325" t="s">
        <v>484</v>
      </c>
    </row>
    <row r="976" spans="1:6" x14ac:dyDescent="0.2">
      <c r="A976" s="325" t="s">
        <v>765</v>
      </c>
      <c r="B976" s="325" t="s">
        <v>849</v>
      </c>
      <c r="C976" s="325" t="s">
        <v>789</v>
      </c>
      <c r="D976" s="325" t="s">
        <v>752</v>
      </c>
      <c r="E976" s="325" t="s">
        <v>265</v>
      </c>
      <c r="F976" s="325" t="s">
        <v>754</v>
      </c>
    </row>
    <row r="977" spans="1:6" x14ac:dyDescent="0.2">
      <c r="A977" s="325" t="s">
        <v>765</v>
      </c>
      <c r="B977" s="325" t="s">
        <v>850</v>
      </c>
      <c r="C977" s="325" t="s">
        <v>789</v>
      </c>
      <c r="D977" s="325" t="s">
        <v>585</v>
      </c>
      <c r="E977" s="325" t="s">
        <v>265</v>
      </c>
      <c r="F977" s="325" t="s">
        <v>564</v>
      </c>
    </row>
    <row r="978" spans="1:6" x14ac:dyDescent="0.2">
      <c r="A978" s="325" t="s">
        <v>765</v>
      </c>
      <c r="B978" s="325" t="s">
        <v>851</v>
      </c>
      <c r="C978" s="325" t="s">
        <v>789</v>
      </c>
      <c r="D978" s="325" t="s">
        <v>603</v>
      </c>
      <c r="E978" s="325" t="s">
        <v>265</v>
      </c>
      <c r="F978" s="325" t="s">
        <v>703</v>
      </c>
    </row>
    <row r="979" spans="1:6" x14ac:dyDescent="0.2">
      <c r="A979" s="325" t="s">
        <v>765</v>
      </c>
      <c r="B979" s="325" t="s">
        <v>852</v>
      </c>
      <c r="C979" s="325" t="s">
        <v>789</v>
      </c>
      <c r="D979" s="325" t="s">
        <v>604</v>
      </c>
      <c r="E979" s="325" t="s">
        <v>265</v>
      </c>
      <c r="F979" s="325" t="s">
        <v>702</v>
      </c>
    </row>
    <row r="980" spans="1:6" x14ac:dyDescent="0.2">
      <c r="A980" s="325" t="s">
        <v>765</v>
      </c>
      <c r="B980" s="325" t="s">
        <v>853</v>
      </c>
      <c r="C980" s="325" t="s">
        <v>789</v>
      </c>
      <c r="D980" s="325" t="s">
        <v>565</v>
      </c>
      <c r="E980" s="325" t="s">
        <v>265</v>
      </c>
      <c r="F980" s="325" t="s">
        <v>306</v>
      </c>
    </row>
    <row r="981" spans="1:6" x14ac:dyDescent="0.2">
      <c r="A981" s="325" t="s">
        <v>765</v>
      </c>
      <c r="B981" s="325" t="s">
        <v>854</v>
      </c>
      <c r="C981" s="325" t="s">
        <v>789</v>
      </c>
      <c r="D981" s="325" t="s">
        <v>354</v>
      </c>
      <c r="E981" s="325" t="s">
        <v>265</v>
      </c>
      <c r="F981" s="325" t="s">
        <v>390</v>
      </c>
    </row>
    <row r="982" spans="1:6" x14ac:dyDescent="0.2">
      <c r="A982" s="325" t="s">
        <v>765</v>
      </c>
      <c r="B982" s="325" t="s">
        <v>855</v>
      </c>
      <c r="C982" s="325" t="s">
        <v>789</v>
      </c>
      <c r="D982" s="325" t="s">
        <v>93</v>
      </c>
      <c r="E982" s="325" t="s">
        <v>265</v>
      </c>
      <c r="F982" s="325" t="s">
        <v>170</v>
      </c>
    </row>
    <row r="983" spans="1:6" x14ac:dyDescent="0.2">
      <c r="A983" s="325" t="s">
        <v>765</v>
      </c>
      <c r="B983" s="325" t="s">
        <v>856</v>
      </c>
      <c r="C983" s="325" t="s">
        <v>789</v>
      </c>
      <c r="D983" s="325" t="s">
        <v>198</v>
      </c>
      <c r="E983" s="325" t="s">
        <v>265</v>
      </c>
      <c r="F983" s="325" t="s">
        <v>139</v>
      </c>
    </row>
    <row r="984" spans="1:6" x14ac:dyDescent="0.2">
      <c r="A984" s="325" t="s">
        <v>765</v>
      </c>
      <c r="B984" s="325" t="s">
        <v>857</v>
      </c>
      <c r="C984" s="325" t="s">
        <v>789</v>
      </c>
      <c r="D984" s="325" t="s">
        <v>522</v>
      </c>
      <c r="E984" s="325" t="s">
        <v>265</v>
      </c>
      <c r="F984" s="325" t="s">
        <v>27</v>
      </c>
    </row>
    <row r="985" spans="1:6" x14ac:dyDescent="0.2">
      <c r="A985" s="325" t="s">
        <v>765</v>
      </c>
      <c r="B985" s="325" t="s">
        <v>858</v>
      </c>
      <c r="C985" s="325" t="s">
        <v>789</v>
      </c>
      <c r="D985" s="325" t="s">
        <v>152</v>
      </c>
      <c r="E985" s="325" t="s">
        <v>265</v>
      </c>
      <c r="F985" s="325" t="s">
        <v>555</v>
      </c>
    </row>
    <row r="986" spans="1:6" x14ac:dyDescent="0.2">
      <c r="A986" s="325" t="s">
        <v>765</v>
      </c>
      <c r="B986" s="325" t="s">
        <v>859</v>
      </c>
      <c r="C986" s="325" t="s">
        <v>789</v>
      </c>
      <c r="D986" s="325" t="s">
        <v>547</v>
      </c>
      <c r="E986" s="325" t="s">
        <v>265</v>
      </c>
      <c r="F986" s="325" t="s">
        <v>374</v>
      </c>
    </row>
    <row r="987" spans="1:6" x14ac:dyDescent="0.2">
      <c r="A987" s="325" t="s">
        <v>765</v>
      </c>
      <c r="B987" s="325" t="s">
        <v>860</v>
      </c>
      <c r="C987" s="325" t="s">
        <v>789</v>
      </c>
      <c r="D987" s="325" t="s">
        <v>490</v>
      </c>
      <c r="E987" s="325" t="s">
        <v>265</v>
      </c>
      <c r="F987" s="325" t="s">
        <v>177</v>
      </c>
    </row>
    <row r="988" spans="1:6" x14ac:dyDescent="0.2">
      <c r="A988" s="325" t="s">
        <v>765</v>
      </c>
      <c r="B988" s="325" t="s">
        <v>861</v>
      </c>
      <c r="C988" s="325" t="s">
        <v>789</v>
      </c>
      <c r="D988" s="325" t="s">
        <v>209</v>
      </c>
      <c r="E988" s="325" t="s">
        <v>265</v>
      </c>
      <c r="F988" s="325" t="s">
        <v>41</v>
      </c>
    </row>
    <row r="989" spans="1:6" x14ac:dyDescent="0.2">
      <c r="A989" s="325" t="s">
        <v>765</v>
      </c>
      <c r="B989" s="325" t="s">
        <v>862</v>
      </c>
      <c r="C989" s="325" t="s">
        <v>789</v>
      </c>
      <c r="D989" s="325" t="s">
        <v>163</v>
      </c>
      <c r="E989" s="325" t="s">
        <v>265</v>
      </c>
      <c r="F989" s="325" t="s">
        <v>98</v>
      </c>
    </row>
    <row r="990" spans="1:6" x14ac:dyDescent="0.2">
      <c r="A990" s="325" t="s">
        <v>765</v>
      </c>
      <c r="B990" s="325" t="s">
        <v>863</v>
      </c>
      <c r="C990" s="325" t="s">
        <v>789</v>
      </c>
      <c r="D990" s="325" t="s">
        <v>200</v>
      </c>
      <c r="E990" s="325" t="s">
        <v>265</v>
      </c>
      <c r="F990" s="325" t="s">
        <v>230</v>
      </c>
    </row>
    <row r="991" spans="1:6" x14ac:dyDescent="0.2">
      <c r="A991" s="325" t="s">
        <v>765</v>
      </c>
      <c r="B991" s="325" t="s">
        <v>864</v>
      </c>
      <c r="C991" s="325" t="s">
        <v>789</v>
      </c>
      <c r="D991" s="325" t="s">
        <v>54</v>
      </c>
      <c r="E991" s="325" t="s">
        <v>265</v>
      </c>
      <c r="F991" s="325" t="s">
        <v>192</v>
      </c>
    </row>
    <row r="992" spans="1:6" x14ac:dyDescent="0.2">
      <c r="A992" s="325" t="s">
        <v>765</v>
      </c>
      <c r="B992" s="325" t="s">
        <v>865</v>
      </c>
      <c r="C992" s="325" t="s">
        <v>789</v>
      </c>
      <c r="D992" s="325" t="s">
        <v>133</v>
      </c>
      <c r="E992" s="325" t="s">
        <v>265</v>
      </c>
      <c r="F992" s="325" t="s">
        <v>349</v>
      </c>
    </row>
    <row r="993" spans="1:6" x14ac:dyDescent="0.2">
      <c r="A993" s="325" t="s">
        <v>765</v>
      </c>
      <c r="B993" s="325" t="s">
        <v>866</v>
      </c>
      <c r="C993" s="325" t="s">
        <v>789</v>
      </c>
      <c r="D993" s="325" t="s">
        <v>232</v>
      </c>
      <c r="E993" s="325" t="s">
        <v>265</v>
      </c>
      <c r="F993" s="325" t="s">
        <v>16</v>
      </c>
    </row>
    <row r="994" spans="1:6" x14ac:dyDescent="0.2">
      <c r="A994" s="325" t="s">
        <v>765</v>
      </c>
      <c r="B994" s="325" t="s">
        <v>867</v>
      </c>
      <c r="C994" s="325" t="s">
        <v>789</v>
      </c>
      <c r="D994" s="325" t="s">
        <v>56</v>
      </c>
      <c r="E994" s="325" t="s">
        <v>265</v>
      </c>
      <c r="F994" s="325" t="s">
        <v>199</v>
      </c>
    </row>
    <row r="995" spans="1:6" x14ac:dyDescent="0.2">
      <c r="A995" s="325" t="s">
        <v>765</v>
      </c>
      <c r="B995" s="325" t="s">
        <v>868</v>
      </c>
      <c r="C995" s="325" t="s">
        <v>789</v>
      </c>
      <c r="D995" s="325" t="s">
        <v>434</v>
      </c>
      <c r="E995" s="325" t="s">
        <v>265</v>
      </c>
      <c r="F995" s="325" t="s">
        <v>514</v>
      </c>
    </row>
    <row r="996" spans="1:6" x14ac:dyDescent="0.2">
      <c r="A996" s="325" t="s">
        <v>765</v>
      </c>
      <c r="B996" s="325" t="s">
        <v>869</v>
      </c>
      <c r="C996" s="325" t="s">
        <v>789</v>
      </c>
      <c r="D996" s="325" t="s">
        <v>108</v>
      </c>
      <c r="E996" s="325" t="s">
        <v>265</v>
      </c>
      <c r="F996" s="325" t="s">
        <v>362</v>
      </c>
    </row>
    <row r="997" spans="1:6" x14ac:dyDescent="0.2">
      <c r="A997" s="325" t="s">
        <v>765</v>
      </c>
      <c r="B997" s="325" t="s">
        <v>870</v>
      </c>
      <c r="C997" s="325" t="s">
        <v>789</v>
      </c>
      <c r="D997" s="325" t="s">
        <v>657</v>
      </c>
      <c r="E997" s="325" t="s">
        <v>265</v>
      </c>
      <c r="F997" s="325" t="s">
        <v>658</v>
      </c>
    </row>
    <row r="998" spans="1:6" x14ac:dyDescent="0.2">
      <c r="A998" s="325" t="s">
        <v>765</v>
      </c>
      <c r="B998" s="325" t="s">
        <v>871</v>
      </c>
      <c r="C998" s="325" t="s">
        <v>789</v>
      </c>
      <c r="D998" s="325" t="s">
        <v>659</v>
      </c>
      <c r="E998" s="325" t="s">
        <v>265</v>
      </c>
      <c r="F998" s="325" t="s">
        <v>660</v>
      </c>
    </row>
    <row r="999" spans="1:6" x14ac:dyDescent="0.2">
      <c r="A999" s="325" t="s">
        <v>765</v>
      </c>
      <c r="B999" s="325" t="s">
        <v>872</v>
      </c>
      <c r="C999" s="325" t="s">
        <v>789</v>
      </c>
      <c r="D999" s="325" t="s">
        <v>661</v>
      </c>
      <c r="E999" s="325" t="s">
        <v>265</v>
      </c>
      <c r="F999" s="325" t="s">
        <v>662</v>
      </c>
    </row>
    <row r="1000" spans="1:6" x14ac:dyDescent="0.2">
      <c r="A1000" s="325" t="s">
        <v>765</v>
      </c>
      <c r="B1000" s="325" t="s">
        <v>873</v>
      </c>
      <c r="C1000" s="325" t="s">
        <v>789</v>
      </c>
      <c r="D1000" s="325" t="s">
        <v>648</v>
      </c>
      <c r="E1000" s="325" t="s">
        <v>265</v>
      </c>
      <c r="F1000" s="325" t="s">
        <v>651</v>
      </c>
    </row>
    <row r="1001" spans="1:6" x14ac:dyDescent="0.2">
      <c r="A1001" s="325" t="s">
        <v>765</v>
      </c>
      <c r="B1001" s="325" t="s">
        <v>874</v>
      </c>
      <c r="C1001" s="325" t="s">
        <v>789</v>
      </c>
      <c r="D1001" s="325" t="s">
        <v>649</v>
      </c>
      <c r="E1001" s="325" t="s">
        <v>265</v>
      </c>
      <c r="F1001" s="325" t="s">
        <v>652</v>
      </c>
    </row>
    <row r="1002" spans="1:6" x14ac:dyDescent="0.2">
      <c r="A1002" s="325" t="s">
        <v>765</v>
      </c>
      <c r="B1002" s="325" t="s">
        <v>875</v>
      </c>
      <c r="C1002" s="325" t="s">
        <v>789</v>
      </c>
      <c r="D1002" s="325" t="s">
        <v>650</v>
      </c>
      <c r="E1002" s="325" t="s">
        <v>265</v>
      </c>
      <c r="F1002" s="325" t="s">
        <v>653</v>
      </c>
    </row>
    <row r="1003" spans="1:6" x14ac:dyDescent="0.2">
      <c r="A1003" s="325" t="s">
        <v>765</v>
      </c>
      <c r="B1003" s="325" t="s">
        <v>876</v>
      </c>
      <c r="C1003" s="325" t="s">
        <v>789</v>
      </c>
      <c r="D1003" s="325" t="s">
        <v>327</v>
      </c>
      <c r="E1003" s="325" t="s">
        <v>265</v>
      </c>
      <c r="F1003" s="325" t="s">
        <v>102</v>
      </c>
    </row>
    <row r="1004" spans="1:6" x14ac:dyDescent="0.2">
      <c r="A1004" s="325" t="s">
        <v>765</v>
      </c>
      <c r="B1004" s="325" t="s">
        <v>877</v>
      </c>
      <c r="C1004" s="325" t="s">
        <v>789</v>
      </c>
      <c r="D1004" s="325" t="s">
        <v>356</v>
      </c>
      <c r="E1004" s="325" t="s">
        <v>265</v>
      </c>
      <c r="F1004" s="325" t="s">
        <v>1011</v>
      </c>
    </row>
    <row r="1005" spans="1:6" x14ac:dyDescent="0.2">
      <c r="A1005" s="325" t="s">
        <v>765</v>
      </c>
      <c r="B1005" s="325" t="s">
        <v>878</v>
      </c>
      <c r="C1005" s="325" t="s">
        <v>789</v>
      </c>
      <c r="D1005" s="325" t="s">
        <v>513</v>
      </c>
      <c r="E1005" s="325" t="s">
        <v>442</v>
      </c>
      <c r="F1005" s="325" t="s">
        <v>264</v>
      </c>
    </row>
    <row r="1006" spans="1:6" x14ac:dyDescent="0.2">
      <c r="A1006" s="325" t="s">
        <v>765</v>
      </c>
      <c r="B1006" s="325" t="s">
        <v>879</v>
      </c>
      <c r="C1006" s="325" t="s">
        <v>789</v>
      </c>
      <c r="D1006" s="325" t="s">
        <v>554</v>
      </c>
      <c r="E1006" s="325" t="s">
        <v>442</v>
      </c>
      <c r="F1006" s="325" t="s">
        <v>229</v>
      </c>
    </row>
    <row r="1007" spans="1:6" x14ac:dyDescent="0.2">
      <c r="A1007" s="325" t="s">
        <v>765</v>
      </c>
      <c r="B1007" s="325" t="s">
        <v>880</v>
      </c>
      <c r="C1007" s="325" t="s">
        <v>789</v>
      </c>
      <c r="D1007" s="325" t="s">
        <v>409</v>
      </c>
      <c r="E1007" s="325" t="s">
        <v>442</v>
      </c>
      <c r="F1007" s="325" t="s">
        <v>336</v>
      </c>
    </row>
    <row r="1008" spans="1:6" x14ac:dyDescent="0.2">
      <c r="A1008" s="325" t="s">
        <v>765</v>
      </c>
      <c r="B1008" s="325" t="s">
        <v>881</v>
      </c>
      <c r="C1008" s="325" t="s">
        <v>789</v>
      </c>
      <c r="D1008" s="325" t="s">
        <v>72</v>
      </c>
      <c r="E1008" s="325" t="s">
        <v>265</v>
      </c>
      <c r="F1008" s="325" t="s">
        <v>451</v>
      </c>
    </row>
    <row r="1009" spans="1:6" x14ac:dyDescent="0.2">
      <c r="A1009" s="325" t="s">
        <v>765</v>
      </c>
      <c r="B1009" s="325" t="s">
        <v>882</v>
      </c>
      <c r="C1009" s="325" t="s">
        <v>789</v>
      </c>
      <c r="D1009" s="325" t="s">
        <v>35</v>
      </c>
      <c r="E1009" s="325" t="s">
        <v>265</v>
      </c>
      <c r="F1009" s="325" t="s">
        <v>414</v>
      </c>
    </row>
    <row r="1010" spans="1:6" x14ac:dyDescent="0.2">
      <c r="A1010" s="325" t="s">
        <v>765</v>
      </c>
      <c r="B1010" s="325" t="s">
        <v>883</v>
      </c>
      <c r="C1010" s="325" t="s">
        <v>789</v>
      </c>
      <c r="D1010" s="325" t="s">
        <v>628</v>
      </c>
      <c r="E1010" s="325" t="s">
        <v>456</v>
      </c>
      <c r="F1010" s="325" t="s">
        <v>62</v>
      </c>
    </row>
    <row r="1011" spans="1:6" x14ac:dyDescent="0.2">
      <c r="A1011" s="325" t="s">
        <v>765</v>
      </c>
      <c r="B1011" s="325" t="s">
        <v>884</v>
      </c>
      <c r="C1011" s="325" t="s">
        <v>789</v>
      </c>
      <c r="D1011" s="325" t="s">
        <v>629</v>
      </c>
      <c r="E1011" s="325" t="s">
        <v>456</v>
      </c>
      <c r="F1011" s="325" t="s">
        <v>148</v>
      </c>
    </row>
    <row r="1012" spans="1:6" x14ac:dyDescent="0.2">
      <c r="A1012" s="325" t="s">
        <v>765</v>
      </c>
      <c r="B1012" s="325" t="s">
        <v>885</v>
      </c>
      <c r="C1012" s="325" t="s">
        <v>789</v>
      </c>
      <c r="D1012" s="325" t="s">
        <v>630</v>
      </c>
      <c r="E1012" s="325" t="s">
        <v>456</v>
      </c>
      <c r="F1012" s="325" t="s">
        <v>8</v>
      </c>
    </row>
    <row r="1013" spans="1:6" x14ac:dyDescent="0.2">
      <c r="A1013" s="325" t="s">
        <v>765</v>
      </c>
      <c r="B1013" s="325" t="s">
        <v>886</v>
      </c>
      <c r="C1013" s="325" t="s">
        <v>789</v>
      </c>
      <c r="D1013" s="325" t="s">
        <v>631</v>
      </c>
      <c r="E1013" s="325" t="s">
        <v>456</v>
      </c>
      <c r="F1013" s="325" t="s">
        <v>475</v>
      </c>
    </row>
    <row r="1014" spans="1:6" x14ac:dyDescent="0.2">
      <c r="A1014" s="325" t="s">
        <v>765</v>
      </c>
      <c r="B1014" s="325" t="s">
        <v>887</v>
      </c>
      <c r="C1014" s="325" t="s">
        <v>789</v>
      </c>
      <c r="D1014" s="325" t="s">
        <v>632</v>
      </c>
      <c r="E1014" s="325" t="s">
        <v>456</v>
      </c>
      <c r="F1014" s="325" t="s">
        <v>245</v>
      </c>
    </row>
    <row r="1015" spans="1:6" x14ac:dyDescent="0.2">
      <c r="A1015" s="325" t="s">
        <v>765</v>
      </c>
      <c r="B1015" s="325" t="s">
        <v>888</v>
      </c>
      <c r="C1015" s="325" t="s">
        <v>789</v>
      </c>
      <c r="D1015" s="325" t="s">
        <v>633</v>
      </c>
      <c r="E1015" s="325" t="s">
        <v>456</v>
      </c>
      <c r="F1015" s="325" t="s">
        <v>181</v>
      </c>
    </row>
    <row r="1016" spans="1:6" x14ac:dyDescent="0.2">
      <c r="A1016" s="325" t="s">
        <v>765</v>
      </c>
      <c r="B1016" s="325" t="s">
        <v>889</v>
      </c>
      <c r="C1016" s="325" t="s">
        <v>789</v>
      </c>
      <c r="D1016" s="325" t="s">
        <v>712</v>
      </c>
      <c r="E1016" s="325" t="s">
        <v>456</v>
      </c>
      <c r="F1016" s="325" t="s">
        <v>713</v>
      </c>
    </row>
    <row r="1017" spans="1:6" x14ac:dyDescent="0.2">
      <c r="A1017" s="325" t="s">
        <v>765</v>
      </c>
      <c r="B1017" s="325" t="s">
        <v>890</v>
      </c>
      <c r="C1017" s="325" t="s">
        <v>789</v>
      </c>
      <c r="D1017" s="325" t="s">
        <v>634</v>
      </c>
      <c r="E1017" s="325" t="s">
        <v>456</v>
      </c>
      <c r="F1017" s="325" t="s">
        <v>63</v>
      </c>
    </row>
    <row r="1018" spans="1:6" x14ac:dyDescent="0.2">
      <c r="A1018" s="325" t="s">
        <v>765</v>
      </c>
      <c r="B1018" s="325" t="s">
        <v>891</v>
      </c>
      <c r="C1018" s="325" t="s">
        <v>789</v>
      </c>
      <c r="D1018" s="325" t="s">
        <v>635</v>
      </c>
      <c r="E1018" s="325" t="s">
        <v>456</v>
      </c>
      <c r="F1018" s="325" t="s">
        <v>1012</v>
      </c>
    </row>
    <row r="1019" spans="1:6" x14ac:dyDescent="0.2">
      <c r="A1019" s="325" t="s">
        <v>765</v>
      </c>
      <c r="B1019" s="325" t="s">
        <v>892</v>
      </c>
      <c r="C1019" s="325" t="s">
        <v>789</v>
      </c>
      <c r="D1019" s="325" t="s">
        <v>699</v>
      </c>
      <c r="E1019" s="325" t="s">
        <v>265</v>
      </c>
      <c r="F1019" s="325" t="s">
        <v>994</v>
      </c>
    </row>
    <row r="1020" spans="1:6" x14ac:dyDescent="0.2">
      <c r="A1020" s="325" t="s">
        <v>765</v>
      </c>
      <c r="B1020" s="325" t="s">
        <v>893</v>
      </c>
      <c r="C1020" s="325" t="s">
        <v>789</v>
      </c>
      <c r="D1020" s="325" t="s">
        <v>636</v>
      </c>
      <c r="E1020" s="325" t="s">
        <v>456</v>
      </c>
      <c r="F1020" s="325" t="s">
        <v>74</v>
      </c>
    </row>
    <row r="1021" spans="1:6" x14ac:dyDescent="0.2">
      <c r="A1021" s="325" t="s">
        <v>765</v>
      </c>
      <c r="B1021" s="325" t="s">
        <v>894</v>
      </c>
      <c r="C1021" s="325" t="s">
        <v>789</v>
      </c>
      <c r="D1021" s="325" t="s">
        <v>637</v>
      </c>
      <c r="E1021" s="325" t="s">
        <v>456</v>
      </c>
      <c r="F1021" s="325" t="s">
        <v>236</v>
      </c>
    </row>
    <row r="1022" spans="1:6" x14ac:dyDescent="0.2">
      <c r="A1022" s="325" t="s">
        <v>765</v>
      </c>
      <c r="B1022" s="325" t="s">
        <v>895</v>
      </c>
      <c r="C1022" s="325" t="s">
        <v>789</v>
      </c>
      <c r="D1022" s="325" t="s">
        <v>638</v>
      </c>
      <c r="E1022" s="325" t="s">
        <v>456</v>
      </c>
      <c r="F1022" s="325" t="s">
        <v>74</v>
      </c>
    </row>
    <row r="1023" spans="1:6" x14ac:dyDescent="0.2">
      <c r="A1023" s="325" t="s">
        <v>765</v>
      </c>
      <c r="B1023" s="325" t="s">
        <v>896</v>
      </c>
      <c r="C1023" s="325" t="s">
        <v>789</v>
      </c>
      <c r="D1023" s="325" t="s">
        <v>639</v>
      </c>
      <c r="E1023" s="325" t="s">
        <v>456</v>
      </c>
      <c r="F1023" s="325" t="s">
        <v>236</v>
      </c>
    </row>
    <row r="1024" spans="1:6" x14ac:dyDescent="0.2">
      <c r="A1024" s="325" t="s">
        <v>765</v>
      </c>
      <c r="B1024" s="325" t="s">
        <v>897</v>
      </c>
      <c r="C1024" s="325" t="s">
        <v>789</v>
      </c>
      <c r="D1024" s="325" t="s">
        <v>640</v>
      </c>
      <c r="E1024" s="325" t="s">
        <v>456</v>
      </c>
      <c r="F1024" s="325" t="s">
        <v>342</v>
      </c>
    </row>
    <row r="1025" spans="1:6" x14ac:dyDescent="0.2">
      <c r="A1025" s="325" t="s">
        <v>765</v>
      </c>
      <c r="B1025" s="325" t="s">
        <v>898</v>
      </c>
      <c r="C1025" s="325" t="s">
        <v>789</v>
      </c>
      <c r="D1025" s="325" t="s">
        <v>641</v>
      </c>
      <c r="E1025" s="325" t="s">
        <v>456</v>
      </c>
      <c r="F1025" s="325" t="s">
        <v>559</v>
      </c>
    </row>
    <row r="1026" spans="1:6" x14ac:dyDescent="0.2">
      <c r="A1026" s="325" t="s">
        <v>765</v>
      </c>
      <c r="B1026" s="325" t="s">
        <v>899</v>
      </c>
      <c r="C1026" s="325" t="s">
        <v>789</v>
      </c>
      <c r="D1026" s="325" t="s">
        <v>642</v>
      </c>
      <c r="E1026" s="325" t="s">
        <v>456</v>
      </c>
      <c r="F1026" s="325" t="s">
        <v>256</v>
      </c>
    </row>
    <row r="1027" spans="1:6" x14ac:dyDescent="0.2">
      <c r="A1027" s="325" t="s">
        <v>765</v>
      </c>
      <c r="B1027" s="325" t="s">
        <v>901</v>
      </c>
      <c r="C1027" s="325" t="s">
        <v>789</v>
      </c>
      <c r="D1027" s="325" t="s">
        <v>21</v>
      </c>
      <c r="E1027" s="325" t="s">
        <v>265</v>
      </c>
      <c r="F1027" s="325" t="s">
        <v>47</v>
      </c>
    </row>
    <row r="1028" spans="1:6" x14ac:dyDescent="0.2">
      <c r="A1028" s="325" t="s">
        <v>765</v>
      </c>
      <c r="B1028" s="325" t="s">
        <v>902</v>
      </c>
      <c r="C1028" s="325" t="s">
        <v>789</v>
      </c>
      <c r="D1028" s="325" t="s">
        <v>323</v>
      </c>
      <c r="E1028" s="325" t="s">
        <v>265</v>
      </c>
      <c r="F1028" s="325" t="s">
        <v>20</v>
      </c>
    </row>
    <row r="1029" spans="1:6" x14ac:dyDescent="0.2">
      <c r="A1029" s="325" t="s">
        <v>765</v>
      </c>
      <c r="B1029" s="325" t="s">
        <v>903</v>
      </c>
      <c r="C1029" s="325" t="s">
        <v>789</v>
      </c>
      <c r="D1029" s="325" t="s">
        <v>447</v>
      </c>
      <c r="E1029" s="325" t="s">
        <v>265</v>
      </c>
      <c r="F1029" s="325" t="s">
        <v>741</v>
      </c>
    </row>
    <row r="1030" spans="1:6" x14ac:dyDescent="0.2">
      <c r="A1030" s="325" t="s">
        <v>765</v>
      </c>
      <c r="B1030" s="325" t="s">
        <v>904</v>
      </c>
      <c r="C1030" s="325" t="s">
        <v>789</v>
      </c>
      <c r="D1030" s="325" t="s">
        <v>742</v>
      </c>
      <c r="E1030" s="325" t="s">
        <v>456</v>
      </c>
      <c r="F1030" s="325" t="s">
        <v>743</v>
      </c>
    </row>
    <row r="1031" spans="1:6" x14ac:dyDescent="0.2">
      <c r="A1031" s="325" t="s">
        <v>765</v>
      </c>
      <c r="B1031" s="325" t="s">
        <v>905</v>
      </c>
      <c r="C1031" s="325" t="s">
        <v>789</v>
      </c>
      <c r="D1031" s="325" t="s">
        <v>643</v>
      </c>
      <c r="E1031" s="325" t="s">
        <v>456</v>
      </c>
      <c r="F1031" s="325" t="s">
        <v>995</v>
      </c>
    </row>
    <row r="1032" spans="1:6" x14ac:dyDescent="0.2">
      <c r="A1032" s="325" t="s">
        <v>765</v>
      </c>
      <c r="B1032" s="325" t="s">
        <v>906</v>
      </c>
      <c r="C1032" s="325" t="s">
        <v>789</v>
      </c>
      <c r="D1032" s="325" t="s">
        <v>679</v>
      </c>
      <c r="E1032" s="325" t="s">
        <v>265</v>
      </c>
      <c r="F1032" s="325" t="s">
        <v>682</v>
      </c>
    </row>
    <row r="1033" spans="1:6" x14ac:dyDescent="0.2">
      <c r="A1033" s="325" t="s">
        <v>765</v>
      </c>
      <c r="B1033" s="325" t="s">
        <v>907</v>
      </c>
      <c r="C1033" s="325" t="s">
        <v>789</v>
      </c>
      <c r="D1033" s="325" t="s">
        <v>644</v>
      </c>
      <c r="E1033" s="325" t="s">
        <v>456</v>
      </c>
      <c r="F1033" s="325" t="s">
        <v>165</v>
      </c>
    </row>
    <row r="1034" spans="1:6" x14ac:dyDescent="0.2">
      <c r="A1034" s="325" t="s">
        <v>765</v>
      </c>
      <c r="B1034" s="325" t="s">
        <v>908</v>
      </c>
      <c r="C1034" s="325" t="s">
        <v>789</v>
      </c>
      <c r="D1034" s="325" t="s">
        <v>645</v>
      </c>
      <c r="E1034" s="325" t="s">
        <v>456</v>
      </c>
      <c r="F1034" s="325" t="s">
        <v>535</v>
      </c>
    </row>
    <row r="1035" spans="1:6" x14ac:dyDescent="0.2">
      <c r="A1035" s="325" t="s">
        <v>765</v>
      </c>
      <c r="B1035" s="325" t="s">
        <v>909</v>
      </c>
      <c r="C1035" s="325" t="s">
        <v>789</v>
      </c>
      <c r="D1035" s="325" t="s">
        <v>646</v>
      </c>
      <c r="E1035" s="325" t="s">
        <v>456</v>
      </c>
      <c r="F1035" s="325" t="s">
        <v>311</v>
      </c>
    </row>
    <row r="1036" spans="1:6" x14ac:dyDescent="0.2">
      <c r="A1036" s="325" t="s">
        <v>765</v>
      </c>
      <c r="B1036" s="325" t="s">
        <v>910</v>
      </c>
      <c r="C1036" s="325" t="s">
        <v>789</v>
      </c>
      <c r="D1036" s="325" t="s">
        <v>395</v>
      </c>
      <c r="E1036" s="325" t="s">
        <v>456</v>
      </c>
      <c r="F1036" s="325" t="s">
        <v>588</v>
      </c>
    </row>
    <row r="1037" spans="1:6" x14ac:dyDescent="0.2">
      <c r="A1037" s="325" t="s">
        <v>765</v>
      </c>
      <c r="B1037" s="325" t="s">
        <v>911</v>
      </c>
      <c r="C1037" s="325" t="s">
        <v>789</v>
      </c>
      <c r="D1037" s="325" t="s">
        <v>499</v>
      </c>
      <c r="E1037" s="325" t="s">
        <v>456</v>
      </c>
      <c r="F1037" s="325" t="s">
        <v>314</v>
      </c>
    </row>
    <row r="1038" spans="1:6" x14ac:dyDescent="0.2">
      <c r="A1038" s="325" t="s">
        <v>765</v>
      </c>
      <c r="B1038" s="325" t="s">
        <v>974</v>
      </c>
      <c r="C1038" s="325" t="s">
        <v>789</v>
      </c>
      <c r="D1038" s="325" t="s">
        <v>51</v>
      </c>
      <c r="E1038" s="325" t="s">
        <v>265</v>
      </c>
      <c r="F1038" s="325" t="s">
        <v>266</v>
      </c>
    </row>
    <row r="1039" spans="1:6" x14ac:dyDescent="0.2">
      <c r="A1039" s="325" t="s">
        <v>765</v>
      </c>
      <c r="B1039" s="325" t="s">
        <v>975</v>
      </c>
      <c r="C1039" s="325" t="s">
        <v>789</v>
      </c>
      <c r="D1039" s="325" t="s">
        <v>283</v>
      </c>
      <c r="E1039" s="325" t="s">
        <v>265</v>
      </c>
      <c r="F1039" s="325" t="s">
        <v>53</v>
      </c>
    </row>
    <row r="1040" spans="1:6" x14ac:dyDescent="0.2">
      <c r="A1040" s="325" t="s">
        <v>765</v>
      </c>
      <c r="B1040" s="325" t="s">
        <v>976</v>
      </c>
      <c r="C1040" s="325" t="s">
        <v>789</v>
      </c>
      <c r="D1040" s="325" t="s">
        <v>542</v>
      </c>
      <c r="E1040" s="325" t="s">
        <v>265</v>
      </c>
      <c r="F1040" s="325" t="s">
        <v>372</v>
      </c>
    </row>
    <row r="1041" spans="1:6" x14ac:dyDescent="0.2">
      <c r="A1041" s="325" t="s">
        <v>765</v>
      </c>
      <c r="B1041" s="325" t="s">
        <v>977</v>
      </c>
      <c r="C1041" s="325" t="s">
        <v>789</v>
      </c>
      <c r="D1041" s="325" t="s">
        <v>576</v>
      </c>
      <c r="E1041" s="325" t="s">
        <v>265</v>
      </c>
      <c r="F1041" s="325" t="s">
        <v>333</v>
      </c>
    </row>
    <row r="1042" spans="1:6" x14ac:dyDescent="0.2">
      <c r="A1042" s="325" t="s">
        <v>765</v>
      </c>
      <c r="B1042" s="325" t="s">
        <v>793</v>
      </c>
      <c r="C1042" s="325" t="s">
        <v>790</v>
      </c>
      <c r="D1042" s="325" t="s">
        <v>654</v>
      </c>
      <c r="E1042" s="325" t="s">
        <v>265</v>
      </c>
      <c r="F1042" s="325" t="s">
        <v>998</v>
      </c>
    </row>
    <row r="1043" spans="1:6" x14ac:dyDescent="0.2">
      <c r="A1043" s="325" t="s">
        <v>765</v>
      </c>
      <c r="B1043" s="325" t="s">
        <v>794</v>
      </c>
      <c r="C1043" s="325" t="s">
        <v>790</v>
      </c>
      <c r="D1043" s="325" t="s">
        <v>510</v>
      </c>
      <c r="E1043" s="325" t="s">
        <v>265</v>
      </c>
      <c r="F1043" s="325" t="s">
        <v>999</v>
      </c>
    </row>
    <row r="1044" spans="1:6" x14ac:dyDescent="0.2">
      <c r="A1044" s="325" t="s">
        <v>765</v>
      </c>
      <c r="B1044" s="325" t="s">
        <v>795</v>
      </c>
      <c r="C1044" s="325" t="s">
        <v>790</v>
      </c>
      <c r="D1044" s="325" t="s">
        <v>400</v>
      </c>
      <c r="E1044" s="325" t="s">
        <v>265</v>
      </c>
      <c r="F1044" s="325" t="s">
        <v>1001</v>
      </c>
    </row>
    <row r="1045" spans="1:6" x14ac:dyDescent="0.2">
      <c r="A1045" s="325" t="s">
        <v>765</v>
      </c>
      <c r="B1045" s="325" t="s">
        <v>796</v>
      </c>
      <c r="C1045" s="325" t="s">
        <v>790</v>
      </c>
      <c r="D1045" s="325" t="s">
        <v>302</v>
      </c>
      <c r="E1045" s="325" t="s">
        <v>265</v>
      </c>
      <c r="F1045" s="325" t="s">
        <v>1000</v>
      </c>
    </row>
    <row r="1046" spans="1:6" x14ac:dyDescent="0.2">
      <c r="A1046" s="325" t="s">
        <v>765</v>
      </c>
      <c r="B1046" s="325" t="s">
        <v>797</v>
      </c>
      <c r="C1046" s="325" t="s">
        <v>790</v>
      </c>
      <c r="D1046" s="325" t="s">
        <v>28</v>
      </c>
      <c r="E1046" s="325" t="s">
        <v>442</v>
      </c>
      <c r="F1046" s="325" t="s">
        <v>1008</v>
      </c>
    </row>
    <row r="1047" spans="1:6" x14ac:dyDescent="0.2">
      <c r="A1047" s="325" t="s">
        <v>765</v>
      </c>
      <c r="B1047" s="325" t="s">
        <v>798</v>
      </c>
      <c r="C1047" s="325" t="s">
        <v>790</v>
      </c>
      <c r="D1047" s="325" t="s">
        <v>67</v>
      </c>
      <c r="E1047" s="325" t="s">
        <v>556</v>
      </c>
      <c r="F1047" s="325" t="s">
        <v>1009</v>
      </c>
    </row>
    <row r="1048" spans="1:6" x14ac:dyDescent="0.2">
      <c r="A1048" s="325" t="s">
        <v>765</v>
      </c>
      <c r="B1048" s="325" t="s">
        <v>799</v>
      </c>
      <c r="C1048" s="325" t="s">
        <v>790</v>
      </c>
      <c r="D1048" s="325" t="s">
        <v>168</v>
      </c>
      <c r="E1048" s="325" t="s">
        <v>265</v>
      </c>
      <c r="F1048" s="325" t="s">
        <v>145</v>
      </c>
    </row>
    <row r="1049" spans="1:6" x14ac:dyDescent="0.2">
      <c r="A1049" s="325" t="s">
        <v>765</v>
      </c>
      <c r="B1049" s="325" t="s">
        <v>800</v>
      </c>
      <c r="C1049" s="325" t="s">
        <v>790</v>
      </c>
      <c r="D1049" s="325" t="s">
        <v>310</v>
      </c>
      <c r="E1049" s="325" t="s">
        <v>265</v>
      </c>
      <c r="F1049" s="325" t="s">
        <v>350</v>
      </c>
    </row>
    <row r="1050" spans="1:6" x14ac:dyDescent="0.2">
      <c r="A1050" s="325" t="s">
        <v>765</v>
      </c>
      <c r="B1050" s="325" t="s">
        <v>801</v>
      </c>
      <c r="C1050" s="325" t="s">
        <v>790</v>
      </c>
      <c r="D1050" s="325" t="s">
        <v>87</v>
      </c>
      <c r="E1050" s="325" t="s">
        <v>265</v>
      </c>
      <c r="F1050" s="325" t="s">
        <v>79</v>
      </c>
    </row>
    <row r="1051" spans="1:6" x14ac:dyDescent="0.2">
      <c r="A1051" s="325" t="s">
        <v>765</v>
      </c>
      <c r="B1051" s="325" t="s">
        <v>802</v>
      </c>
      <c r="C1051" s="325" t="s">
        <v>790</v>
      </c>
      <c r="D1051" s="325" t="s">
        <v>228</v>
      </c>
      <c r="E1051" s="325" t="s">
        <v>265</v>
      </c>
      <c r="F1051" s="325" t="s">
        <v>331</v>
      </c>
    </row>
    <row r="1052" spans="1:6" x14ac:dyDescent="0.2">
      <c r="A1052" s="325" t="s">
        <v>765</v>
      </c>
      <c r="B1052" s="325" t="s">
        <v>803</v>
      </c>
      <c r="C1052" s="325" t="s">
        <v>790</v>
      </c>
      <c r="D1052" s="325" t="s">
        <v>144</v>
      </c>
      <c r="E1052" s="325" t="s">
        <v>265</v>
      </c>
      <c r="F1052" s="325" t="s">
        <v>340</v>
      </c>
    </row>
    <row r="1053" spans="1:6" x14ac:dyDescent="0.2">
      <c r="A1053" s="325" t="s">
        <v>765</v>
      </c>
      <c r="B1053" s="325" t="s">
        <v>804</v>
      </c>
      <c r="C1053" s="325" t="s">
        <v>790</v>
      </c>
      <c r="D1053" s="325" t="s">
        <v>429</v>
      </c>
      <c r="E1053" s="325" t="s">
        <v>265</v>
      </c>
      <c r="F1053" s="325" t="s">
        <v>263</v>
      </c>
    </row>
    <row r="1054" spans="1:6" x14ac:dyDescent="0.2">
      <c r="A1054" s="325" t="s">
        <v>765</v>
      </c>
      <c r="B1054" s="325" t="s">
        <v>805</v>
      </c>
      <c r="C1054" s="325" t="s">
        <v>790</v>
      </c>
      <c r="D1054" s="325" t="s">
        <v>182</v>
      </c>
      <c r="E1054" s="325" t="s">
        <v>265</v>
      </c>
      <c r="F1054" s="325" t="s">
        <v>223</v>
      </c>
    </row>
    <row r="1055" spans="1:6" x14ac:dyDescent="0.2">
      <c r="A1055" s="325" t="s">
        <v>765</v>
      </c>
      <c r="B1055" s="325" t="s">
        <v>806</v>
      </c>
      <c r="C1055" s="325" t="s">
        <v>790</v>
      </c>
      <c r="D1055" s="325" t="s">
        <v>298</v>
      </c>
      <c r="E1055" s="325" t="s">
        <v>265</v>
      </c>
      <c r="F1055" s="325" t="s">
        <v>423</v>
      </c>
    </row>
    <row r="1056" spans="1:6" x14ac:dyDescent="0.2">
      <c r="A1056" s="325" t="s">
        <v>765</v>
      </c>
      <c r="B1056" s="325" t="s">
        <v>807</v>
      </c>
      <c r="C1056" s="325" t="s">
        <v>790</v>
      </c>
      <c r="D1056" s="325" t="s">
        <v>571</v>
      </c>
      <c r="E1056" s="325" t="s">
        <v>265</v>
      </c>
      <c r="F1056" s="325" t="s">
        <v>258</v>
      </c>
    </row>
    <row r="1057" spans="1:6" x14ac:dyDescent="0.2">
      <c r="A1057" s="325" t="s">
        <v>765</v>
      </c>
      <c r="B1057" s="325" t="s">
        <v>808</v>
      </c>
      <c r="C1057" s="325" t="s">
        <v>790</v>
      </c>
      <c r="D1057" s="325" t="s">
        <v>156</v>
      </c>
      <c r="E1057" s="325" t="s">
        <v>265</v>
      </c>
      <c r="F1057" s="325" t="s">
        <v>226</v>
      </c>
    </row>
    <row r="1058" spans="1:6" x14ac:dyDescent="0.2">
      <c r="A1058" s="325" t="s">
        <v>765</v>
      </c>
      <c r="B1058" s="325" t="s">
        <v>809</v>
      </c>
      <c r="C1058" s="325" t="s">
        <v>790</v>
      </c>
      <c r="D1058" s="325" t="s">
        <v>299</v>
      </c>
      <c r="E1058" s="325" t="s">
        <v>265</v>
      </c>
      <c r="F1058" s="325" t="s">
        <v>3</v>
      </c>
    </row>
    <row r="1059" spans="1:6" x14ac:dyDescent="0.2">
      <c r="A1059" s="325" t="s">
        <v>765</v>
      </c>
      <c r="B1059" s="325" t="s">
        <v>810</v>
      </c>
      <c r="C1059" s="325" t="s">
        <v>790</v>
      </c>
      <c r="D1059" s="325" t="s">
        <v>164</v>
      </c>
      <c r="E1059" s="325" t="s">
        <v>265</v>
      </c>
      <c r="F1059" s="325" t="s">
        <v>524</v>
      </c>
    </row>
    <row r="1060" spans="1:6" x14ac:dyDescent="0.2">
      <c r="A1060" s="325" t="s">
        <v>765</v>
      </c>
      <c r="B1060" s="325" t="s">
        <v>811</v>
      </c>
      <c r="C1060" s="325" t="s">
        <v>790</v>
      </c>
      <c r="D1060" s="325" t="s">
        <v>403</v>
      </c>
      <c r="E1060" s="325" t="s">
        <v>265</v>
      </c>
      <c r="F1060" s="325" t="s">
        <v>195</v>
      </c>
    </row>
    <row r="1061" spans="1:6" x14ac:dyDescent="0.2">
      <c r="A1061" s="325" t="s">
        <v>765</v>
      </c>
      <c r="B1061" s="325" t="s">
        <v>812</v>
      </c>
      <c r="C1061" s="325" t="s">
        <v>790</v>
      </c>
      <c r="D1061" s="325" t="s">
        <v>367</v>
      </c>
      <c r="E1061" s="325" t="s">
        <v>265</v>
      </c>
      <c r="F1061" s="325" t="s">
        <v>461</v>
      </c>
    </row>
    <row r="1062" spans="1:6" x14ac:dyDescent="0.2">
      <c r="A1062" s="325" t="s">
        <v>765</v>
      </c>
      <c r="B1062" s="325" t="s">
        <v>813</v>
      </c>
      <c r="C1062" s="325" t="s">
        <v>790</v>
      </c>
      <c r="D1062" s="325" t="s">
        <v>105</v>
      </c>
      <c r="E1062" s="325" t="s">
        <v>265</v>
      </c>
      <c r="F1062" s="325" t="s">
        <v>393</v>
      </c>
    </row>
    <row r="1063" spans="1:6" x14ac:dyDescent="0.2">
      <c r="A1063" s="325" t="s">
        <v>765</v>
      </c>
      <c r="B1063" s="325" t="s">
        <v>814</v>
      </c>
      <c r="C1063" s="325" t="s">
        <v>790</v>
      </c>
      <c r="D1063" s="325" t="s">
        <v>520</v>
      </c>
      <c r="E1063" s="325" t="s">
        <v>265</v>
      </c>
      <c r="F1063" s="325" t="s">
        <v>277</v>
      </c>
    </row>
    <row r="1064" spans="1:6" x14ac:dyDescent="0.2">
      <c r="A1064" s="325" t="s">
        <v>765</v>
      </c>
      <c r="B1064" s="325" t="s">
        <v>815</v>
      </c>
      <c r="C1064" s="325" t="s">
        <v>790</v>
      </c>
      <c r="D1064" s="325" t="s">
        <v>469</v>
      </c>
      <c r="E1064" s="325" t="s">
        <v>265</v>
      </c>
      <c r="F1064" s="325" t="s">
        <v>452</v>
      </c>
    </row>
    <row r="1065" spans="1:6" x14ac:dyDescent="0.2">
      <c r="A1065" s="325" t="s">
        <v>765</v>
      </c>
      <c r="B1065" s="325" t="s">
        <v>816</v>
      </c>
      <c r="C1065" s="325" t="s">
        <v>790</v>
      </c>
      <c r="D1065" s="325" t="s">
        <v>432</v>
      </c>
      <c r="E1065" s="325" t="s">
        <v>265</v>
      </c>
      <c r="F1065" s="325" t="s">
        <v>489</v>
      </c>
    </row>
    <row r="1066" spans="1:6" x14ac:dyDescent="0.2">
      <c r="A1066" s="325" t="s">
        <v>765</v>
      </c>
      <c r="B1066" s="325" t="s">
        <v>817</v>
      </c>
      <c r="C1066" s="325" t="s">
        <v>790</v>
      </c>
      <c r="D1066" s="325" t="s">
        <v>75</v>
      </c>
      <c r="E1066" s="325" t="s">
        <v>442</v>
      </c>
      <c r="F1066" s="325" t="s">
        <v>288</v>
      </c>
    </row>
    <row r="1067" spans="1:6" x14ac:dyDescent="0.2">
      <c r="A1067" s="325" t="s">
        <v>765</v>
      </c>
      <c r="B1067" s="325" t="s">
        <v>818</v>
      </c>
      <c r="C1067" s="325" t="s">
        <v>790</v>
      </c>
      <c r="D1067" s="325" t="s">
        <v>666</v>
      </c>
      <c r="E1067" s="325" t="s">
        <v>556</v>
      </c>
      <c r="F1067" s="325" t="s">
        <v>665</v>
      </c>
    </row>
    <row r="1068" spans="1:6" x14ac:dyDescent="0.2">
      <c r="A1068" s="325" t="s">
        <v>765</v>
      </c>
      <c r="B1068" s="325" t="s">
        <v>819</v>
      </c>
      <c r="C1068" s="325" t="s">
        <v>790</v>
      </c>
      <c r="D1068" s="325" t="s">
        <v>111</v>
      </c>
      <c r="E1068" s="325" t="s">
        <v>265</v>
      </c>
      <c r="F1068" s="325" t="s">
        <v>261</v>
      </c>
    </row>
    <row r="1069" spans="1:6" x14ac:dyDescent="0.2">
      <c r="A1069" s="325" t="s">
        <v>765</v>
      </c>
      <c r="B1069" s="325" t="s">
        <v>820</v>
      </c>
      <c r="C1069" s="325" t="s">
        <v>790</v>
      </c>
      <c r="D1069" s="325" t="s">
        <v>289</v>
      </c>
      <c r="E1069" s="325" t="s">
        <v>265</v>
      </c>
      <c r="F1069" s="325" t="s">
        <v>674</v>
      </c>
    </row>
    <row r="1070" spans="1:6" x14ac:dyDescent="0.2">
      <c r="A1070" s="325" t="s">
        <v>765</v>
      </c>
      <c r="B1070" s="325" t="s">
        <v>821</v>
      </c>
      <c r="C1070" s="325" t="s">
        <v>790</v>
      </c>
      <c r="D1070" s="325" t="s">
        <v>308</v>
      </c>
      <c r="E1070" s="325" t="s">
        <v>265</v>
      </c>
      <c r="F1070" s="325" t="s">
        <v>675</v>
      </c>
    </row>
    <row r="1071" spans="1:6" x14ac:dyDescent="0.2">
      <c r="A1071" s="325" t="s">
        <v>765</v>
      </c>
      <c r="B1071" s="325" t="s">
        <v>822</v>
      </c>
      <c r="C1071" s="325" t="s">
        <v>790</v>
      </c>
      <c r="D1071" s="325" t="s">
        <v>411</v>
      </c>
      <c r="E1071" s="325" t="s">
        <v>265</v>
      </c>
      <c r="F1071" s="325" t="s">
        <v>115</v>
      </c>
    </row>
    <row r="1072" spans="1:6" x14ac:dyDescent="0.2">
      <c r="A1072" s="325" t="s">
        <v>765</v>
      </c>
      <c r="B1072" s="325" t="s">
        <v>823</v>
      </c>
      <c r="C1072" s="325" t="s">
        <v>790</v>
      </c>
      <c r="D1072" s="325" t="s">
        <v>425</v>
      </c>
      <c r="E1072" s="325" t="s">
        <v>265</v>
      </c>
      <c r="F1072" s="325" t="s">
        <v>364</v>
      </c>
    </row>
    <row r="1073" spans="1:6" x14ac:dyDescent="0.2">
      <c r="A1073" s="325" t="s">
        <v>765</v>
      </c>
      <c r="B1073" s="325" t="s">
        <v>824</v>
      </c>
      <c r="C1073" s="325" t="s">
        <v>790</v>
      </c>
      <c r="D1073" s="325" t="s">
        <v>431</v>
      </c>
      <c r="E1073" s="325" t="s">
        <v>265</v>
      </c>
      <c r="F1073" s="325" t="s">
        <v>464</v>
      </c>
    </row>
    <row r="1074" spans="1:6" x14ac:dyDescent="0.2">
      <c r="A1074" s="325" t="s">
        <v>765</v>
      </c>
      <c r="B1074" s="325" t="s">
        <v>825</v>
      </c>
      <c r="C1074" s="325" t="s">
        <v>790</v>
      </c>
      <c r="D1074" s="325" t="s">
        <v>696</v>
      </c>
      <c r="E1074" s="325" t="s">
        <v>265</v>
      </c>
      <c r="F1074" s="325" t="s">
        <v>1010</v>
      </c>
    </row>
    <row r="1075" spans="1:6" x14ac:dyDescent="0.2">
      <c r="A1075" s="325" t="s">
        <v>765</v>
      </c>
      <c r="B1075" s="325" t="s">
        <v>826</v>
      </c>
      <c r="C1075" s="325" t="s">
        <v>790</v>
      </c>
      <c r="D1075" s="325" t="s">
        <v>15</v>
      </c>
      <c r="E1075" s="325" t="s">
        <v>265</v>
      </c>
      <c r="F1075" s="325" t="s">
        <v>446</v>
      </c>
    </row>
    <row r="1076" spans="1:6" x14ac:dyDescent="0.2">
      <c r="A1076" s="325" t="s">
        <v>765</v>
      </c>
      <c r="B1076" s="325" t="s">
        <v>827</v>
      </c>
      <c r="C1076" s="325" t="s">
        <v>790</v>
      </c>
      <c r="D1076" s="325" t="s">
        <v>551</v>
      </c>
      <c r="E1076" s="325" t="s">
        <v>265</v>
      </c>
      <c r="F1076" s="325" t="s">
        <v>10</v>
      </c>
    </row>
    <row r="1077" spans="1:6" x14ac:dyDescent="0.2">
      <c r="A1077" s="325" t="s">
        <v>765</v>
      </c>
      <c r="B1077" s="325" t="s">
        <v>828</v>
      </c>
      <c r="C1077" s="325" t="s">
        <v>790</v>
      </c>
      <c r="D1077" s="325" t="s">
        <v>9</v>
      </c>
      <c r="E1077" s="325" t="s">
        <v>265</v>
      </c>
      <c r="F1077" s="325" t="s">
        <v>189</v>
      </c>
    </row>
    <row r="1078" spans="1:6" x14ac:dyDescent="0.2">
      <c r="A1078" s="325" t="s">
        <v>765</v>
      </c>
      <c r="B1078" s="325" t="s">
        <v>829</v>
      </c>
      <c r="C1078" s="325" t="s">
        <v>790</v>
      </c>
      <c r="D1078" s="325" t="s">
        <v>566</v>
      </c>
      <c r="E1078" s="325" t="s">
        <v>265</v>
      </c>
      <c r="F1078" s="325" t="s">
        <v>135</v>
      </c>
    </row>
    <row r="1079" spans="1:6" x14ac:dyDescent="0.2">
      <c r="A1079" s="325" t="s">
        <v>765</v>
      </c>
      <c r="B1079" s="325" t="s">
        <v>830</v>
      </c>
      <c r="C1079" s="325" t="s">
        <v>790</v>
      </c>
      <c r="D1079" s="325" t="s">
        <v>412</v>
      </c>
      <c r="E1079" s="325" t="s">
        <v>456</v>
      </c>
      <c r="F1079" s="325" t="s">
        <v>128</v>
      </c>
    </row>
    <row r="1080" spans="1:6" x14ac:dyDescent="0.2">
      <c r="A1080" s="325" t="s">
        <v>765</v>
      </c>
      <c r="B1080" s="325" t="s">
        <v>831</v>
      </c>
      <c r="C1080" s="325" t="s">
        <v>790</v>
      </c>
      <c r="D1080" s="325" t="s">
        <v>369</v>
      </c>
      <c r="E1080" s="325" t="s">
        <v>456</v>
      </c>
      <c r="F1080" s="325" t="s">
        <v>496</v>
      </c>
    </row>
    <row r="1081" spans="1:6" x14ac:dyDescent="0.2">
      <c r="A1081" s="325" t="s">
        <v>765</v>
      </c>
      <c r="B1081" s="325" t="s">
        <v>832</v>
      </c>
      <c r="C1081" s="325" t="s">
        <v>790</v>
      </c>
      <c r="D1081" s="325" t="s">
        <v>348</v>
      </c>
      <c r="E1081" s="325" t="s">
        <v>265</v>
      </c>
      <c r="F1081" s="325" t="s">
        <v>293</v>
      </c>
    </row>
    <row r="1082" spans="1:6" x14ac:dyDescent="0.2">
      <c r="A1082" s="325" t="s">
        <v>765</v>
      </c>
      <c r="B1082" s="325" t="s">
        <v>833</v>
      </c>
      <c r="C1082" s="325" t="s">
        <v>790</v>
      </c>
      <c r="D1082" s="325" t="s">
        <v>244</v>
      </c>
      <c r="E1082" s="325" t="s">
        <v>265</v>
      </c>
      <c r="F1082" s="325" t="s">
        <v>543</v>
      </c>
    </row>
    <row r="1083" spans="1:6" x14ac:dyDescent="0.2">
      <c r="A1083" s="325" t="s">
        <v>765</v>
      </c>
      <c r="B1083" s="325" t="s">
        <v>834</v>
      </c>
      <c r="C1083" s="325" t="s">
        <v>790</v>
      </c>
      <c r="D1083" s="325" t="s">
        <v>488</v>
      </c>
      <c r="E1083" s="325" t="s">
        <v>265</v>
      </c>
      <c r="F1083" s="325" t="s">
        <v>545</v>
      </c>
    </row>
    <row r="1084" spans="1:6" x14ac:dyDescent="0.2">
      <c r="A1084" s="325" t="s">
        <v>765</v>
      </c>
      <c r="B1084" s="325" t="s">
        <v>835</v>
      </c>
      <c r="C1084" s="325" t="s">
        <v>790</v>
      </c>
      <c r="D1084" s="325" t="s">
        <v>397</v>
      </c>
      <c r="E1084" s="325" t="s">
        <v>265</v>
      </c>
      <c r="F1084" s="325" t="s">
        <v>88</v>
      </c>
    </row>
    <row r="1085" spans="1:6" x14ac:dyDescent="0.2">
      <c r="A1085" s="325" t="s">
        <v>765</v>
      </c>
      <c r="B1085" s="325" t="s">
        <v>836</v>
      </c>
      <c r="C1085" s="325" t="s">
        <v>790</v>
      </c>
      <c r="D1085" s="325" t="s">
        <v>440</v>
      </c>
      <c r="E1085" s="325" t="s">
        <v>265</v>
      </c>
      <c r="F1085" s="325" t="s">
        <v>368</v>
      </c>
    </row>
    <row r="1086" spans="1:6" x14ac:dyDescent="0.2">
      <c r="A1086" s="325" t="s">
        <v>765</v>
      </c>
      <c r="B1086" s="325" t="s">
        <v>837</v>
      </c>
      <c r="C1086" s="325" t="s">
        <v>790</v>
      </c>
      <c r="D1086" s="325" t="s">
        <v>445</v>
      </c>
      <c r="E1086" s="325" t="s">
        <v>265</v>
      </c>
      <c r="F1086" s="325" t="s">
        <v>238</v>
      </c>
    </row>
    <row r="1087" spans="1:6" x14ac:dyDescent="0.2">
      <c r="A1087" s="325" t="s">
        <v>765</v>
      </c>
      <c r="B1087" s="325" t="s">
        <v>838</v>
      </c>
      <c r="C1087" s="325" t="s">
        <v>790</v>
      </c>
      <c r="D1087" s="325" t="s">
        <v>119</v>
      </c>
      <c r="E1087" s="325" t="s">
        <v>265</v>
      </c>
      <c r="F1087" s="325" t="s">
        <v>557</v>
      </c>
    </row>
    <row r="1088" spans="1:6" x14ac:dyDescent="0.2">
      <c r="A1088" s="325" t="s">
        <v>765</v>
      </c>
      <c r="B1088" s="325" t="s">
        <v>839</v>
      </c>
      <c r="C1088" s="325" t="s">
        <v>790</v>
      </c>
      <c r="D1088" s="325" t="s">
        <v>580</v>
      </c>
      <c r="E1088" s="325" t="s">
        <v>265</v>
      </c>
      <c r="F1088" s="325" t="s">
        <v>120</v>
      </c>
    </row>
    <row r="1089" spans="1:6" x14ac:dyDescent="0.2">
      <c r="A1089" s="325" t="s">
        <v>765</v>
      </c>
      <c r="B1089" s="325" t="s">
        <v>840</v>
      </c>
      <c r="C1089" s="325" t="s">
        <v>790</v>
      </c>
      <c r="D1089" s="325" t="s">
        <v>64</v>
      </c>
      <c r="E1089" s="325" t="s">
        <v>265</v>
      </c>
      <c r="F1089" s="325" t="s">
        <v>197</v>
      </c>
    </row>
    <row r="1090" spans="1:6" x14ac:dyDescent="0.2">
      <c r="A1090" s="325" t="s">
        <v>765</v>
      </c>
      <c r="B1090" s="325" t="s">
        <v>841</v>
      </c>
      <c r="C1090" s="325" t="s">
        <v>790</v>
      </c>
      <c r="D1090" s="325" t="s">
        <v>471</v>
      </c>
      <c r="E1090" s="325" t="s">
        <v>265</v>
      </c>
      <c r="F1090" s="325" t="s">
        <v>466</v>
      </c>
    </row>
    <row r="1091" spans="1:6" x14ac:dyDescent="0.2">
      <c r="A1091" s="325" t="s">
        <v>765</v>
      </c>
      <c r="B1091" s="325" t="s">
        <v>842</v>
      </c>
      <c r="C1091" s="325" t="s">
        <v>790</v>
      </c>
      <c r="D1091" s="325" t="s">
        <v>539</v>
      </c>
      <c r="E1091" s="325" t="s">
        <v>265</v>
      </c>
      <c r="F1091" s="325" t="s">
        <v>394</v>
      </c>
    </row>
    <row r="1092" spans="1:6" x14ac:dyDescent="0.2">
      <c r="A1092" s="325" t="s">
        <v>765</v>
      </c>
      <c r="B1092" s="325" t="s">
        <v>843</v>
      </c>
      <c r="C1092" s="325" t="s">
        <v>790</v>
      </c>
      <c r="D1092" s="325" t="s">
        <v>318</v>
      </c>
      <c r="E1092" s="325" t="s">
        <v>265</v>
      </c>
      <c r="F1092" s="325" t="s">
        <v>478</v>
      </c>
    </row>
    <row r="1093" spans="1:6" x14ac:dyDescent="0.2">
      <c r="A1093" s="325" t="s">
        <v>765</v>
      </c>
      <c r="B1093" s="325" t="s">
        <v>844</v>
      </c>
      <c r="C1093" s="325" t="s">
        <v>790</v>
      </c>
      <c r="D1093" s="325" t="s">
        <v>257</v>
      </c>
      <c r="E1093" s="325" t="s">
        <v>265</v>
      </c>
      <c r="F1093" s="325" t="s">
        <v>338</v>
      </c>
    </row>
    <row r="1094" spans="1:6" x14ac:dyDescent="0.2">
      <c r="A1094" s="325" t="s">
        <v>765</v>
      </c>
      <c r="B1094" s="325" t="s">
        <v>845</v>
      </c>
      <c r="C1094" s="325" t="s">
        <v>790</v>
      </c>
      <c r="D1094" s="325" t="s">
        <v>751</v>
      </c>
      <c r="E1094" s="325" t="s">
        <v>265</v>
      </c>
      <c r="F1094" s="325" t="s">
        <v>753</v>
      </c>
    </row>
    <row r="1095" spans="1:6" x14ac:dyDescent="0.2">
      <c r="A1095" s="325" t="s">
        <v>765</v>
      </c>
      <c r="B1095" s="325" t="s">
        <v>846</v>
      </c>
      <c r="C1095" s="325" t="s">
        <v>790</v>
      </c>
      <c r="D1095" s="325" t="s">
        <v>55</v>
      </c>
      <c r="E1095" s="325" t="s">
        <v>265</v>
      </c>
      <c r="F1095" s="325" t="s">
        <v>305</v>
      </c>
    </row>
    <row r="1096" spans="1:6" x14ac:dyDescent="0.2">
      <c r="A1096" s="325" t="s">
        <v>765</v>
      </c>
      <c r="B1096" s="325" t="s">
        <v>847</v>
      </c>
      <c r="C1096" s="325" t="s">
        <v>790</v>
      </c>
      <c r="D1096" s="325" t="s">
        <v>522</v>
      </c>
      <c r="E1096" s="325" t="s">
        <v>265</v>
      </c>
      <c r="F1096" s="325" t="s">
        <v>602</v>
      </c>
    </row>
    <row r="1097" spans="1:6" x14ac:dyDescent="0.2">
      <c r="A1097" s="325" t="s">
        <v>765</v>
      </c>
      <c r="B1097" s="325" t="s">
        <v>848</v>
      </c>
      <c r="C1097" s="325" t="s">
        <v>790</v>
      </c>
      <c r="D1097" s="325" t="s">
        <v>370</v>
      </c>
      <c r="E1097" s="325" t="s">
        <v>265</v>
      </c>
      <c r="F1097" s="325" t="s">
        <v>484</v>
      </c>
    </row>
    <row r="1098" spans="1:6" x14ac:dyDescent="0.2">
      <c r="A1098" s="325" t="s">
        <v>765</v>
      </c>
      <c r="B1098" s="325" t="s">
        <v>849</v>
      </c>
      <c r="C1098" s="325" t="s">
        <v>790</v>
      </c>
      <c r="D1098" s="325" t="s">
        <v>752</v>
      </c>
      <c r="E1098" s="325" t="s">
        <v>265</v>
      </c>
      <c r="F1098" s="325" t="s">
        <v>754</v>
      </c>
    </row>
    <row r="1099" spans="1:6" x14ac:dyDescent="0.2">
      <c r="A1099" s="325" t="s">
        <v>765</v>
      </c>
      <c r="B1099" s="325" t="s">
        <v>850</v>
      </c>
      <c r="C1099" s="325" t="s">
        <v>790</v>
      </c>
      <c r="D1099" s="325" t="s">
        <v>585</v>
      </c>
      <c r="E1099" s="325" t="s">
        <v>265</v>
      </c>
      <c r="F1099" s="325" t="s">
        <v>564</v>
      </c>
    </row>
    <row r="1100" spans="1:6" x14ac:dyDescent="0.2">
      <c r="A1100" s="325" t="s">
        <v>765</v>
      </c>
      <c r="B1100" s="325" t="s">
        <v>851</v>
      </c>
      <c r="C1100" s="325" t="s">
        <v>790</v>
      </c>
      <c r="D1100" s="325" t="s">
        <v>603</v>
      </c>
      <c r="E1100" s="325" t="s">
        <v>265</v>
      </c>
      <c r="F1100" s="325" t="s">
        <v>703</v>
      </c>
    </row>
    <row r="1101" spans="1:6" x14ac:dyDescent="0.2">
      <c r="A1101" s="325" t="s">
        <v>765</v>
      </c>
      <c r="B1101" s="325" t="s">
        <v>852</v>
      </c>
      <c r="C1101" s="325" t="s">
        <v>790</v>
      </c>
      <c r="D1101" s="325" t="s">
        <v>604</v>
      </c>
      <c r="E1101" s="325" t="s">
        <v>265</v>
      </c>
      <c r="F1101" s="325" t="s">
        <v>702</v>
      </c>
    </row>
    <row r="1102" spans="1:6" x14ac:dyDescent="0.2">
      <c r="A1102" s="325" t="s">
        <v>765</v>
      </c>
      <c r="B1102" s="325" t="s">
        <v>853</v>
      </c>
      <c r="C1102" s="325" t="s">
        <v>790</v>
      </c>
      <c r="D1102" s="325" t="s">
        <v>565</v>
      </c>
      <c r="E1102" s="325" t="s">
        <v>265</v>
      </c>
      <c r="F1102" s="325" t="s">
        <v>306</v>
      </c>
    </row>
    <row r="1103" spans="1:6" x14ac:dyDescent="0.2">
      <c r="A1103" s="325" t="s">
        <v>765</v>
      </c>
      <c r="B1103" s="325" t="s">
        <v>854</v>
      </c>
      <c r="C1103" s="325" t="s">
        <v>790</v>
      </c>
      <c r="D1103" s="325" t="s">
        <v>354</v>
      </c>
      <c r="E1103" s="325" t="s">
        <v>265</v>
      </c>
      <c r="F1103" s="325" t="s">
        <v>390</v>
      </c>
    </row>
    <row r="1104" spans="1:6" x14ac:dyDescent="0.2">
      <c r="A1104" s="325" t="s">
        <v>765</v>
      </c>
      <c r="B1104" s="325" t="s">
        <v>855</v>
      </c>
      <c r="C1104" s="325" t="s">
        <v>790</v>
      </c>
      <c r="D1104" s="325" t="s">
        <v>93</v>
      </c>
      <c r="E1104" s="325" t="s">
        <v>265</v>
      </c>
      <c r="F1104" s="325" t="s">
        <v>170</v>
      </c>
    </row>
    <row r="1105" spans="1:6" x14ac:dyDescent="0.2">
      <c r="A1105" s="325" t="s">
        <v>765</v>
      </c>
      <c r="B1105" s="325" t="s">
        <v>856</v>
      </c>
      <c r="C1105" s="325" t="s">
        <v>790</v>
      </c>
      <c r="D1105" s="325" t="s">
        <v>198</v>
      </c>
      <c r="E1105" s="325" t="s">
        <v>265</v>
      </c>
      <c r="F1105" s="325" t="s">
        <v>139</v>
      </c>
    </row>
    <row r="1106" spans="1:6" x14ac:dyDescent="0.2">
      <c r="A1106" s="325" t="s">
        <v>765</v>
      </c>
      <c r="B1106" s="325" t="s">
        <v>857</v>
      </c>
      <c r="C1106" s="325" t="s">
        <v>790</v>
      </c>
      <c r="D1106" s="325" t="s">
        <v>249</v>
      </c>
      <c r="E1106" s="325" t="s">
        <v>442</v>
      </c>
      <c r="F1106" s="325" t="s">
        <v>27</v>
      </c>
    </row>
    <row r="1107" spans="1:6" x14ac:dyDescent="0.2">
      <c r="A1107" s="325" t="s">
        <v>765</v>
      </c>
      <c r="B1107" s="325" t="s">
        <v>858</v>
      </c>
      <c r="C1107" s="325" t="s">
        <v>790</v>
      </c>
      <c r="D1107" s="325" t="s">
        <v>152</v>
      </c>
      <c r="E1107" s="325" t="s">
        <v>265</v>
      </c>
      <c r="F1107" s="325" t="s">
        <v>555</v>
      </c>
    </row>
    <row r="1108" spans="1:6" x14ac:dyDescent="0.2">
      <c r="A1108" s="325" t="s">
        <v>765</v>
      </c>
      <c r="B1108" s="325" t="s">
        <v>859</v>
      </c>
      <c r="C1108" s="325" t="s">
        <v>790</v>
      </c>
      <c r="D1108" s="325" t="s">
        <v>547</v>
      </c>
      <c r="E1108" s="325" t="s">
        <v>265</v>
      </c>
      <c r="F1108" s="325" t="s">
        <v>374</v>
      </c>
    </row>
    <row r="1109" spans="1:6" x14ac:dyDescent="0.2">
      <c r="A1109" s="325" t="s">
        <v>765</v>
      </c>
      <c r="B1109" s="325" t="s">
        <v>860</v>
      </c>
      <c r="C1109" s="325" t="s">
        <v>790</v>
      </c>
      <c r="D1109" s="325" t="s">
        <v>490</v>
      </c>
      <c r="E1109" s="325" t="s">
        <v>265</v>
      </c>
      <c r="F1109" s="325" t="s">
        <v>177</v>
      </c>
    </row>
    <row r="1110" spans="1:6" x14ac:dyDescent="0.2">
      <c r="A1110" s="325" t="s">
        <v>765</v>
      </c>
      <c r="B1110" s="325" t="s">
        <v>861</v>
      </c>
      <c r="C1110" s="325" t="s">
        <v>790</v>
      </c>
      <c r="D1110" s="325" t="s">
        <v>209</v>
      </c>
      <c r="E1110" s="325" t="s">
        <v>265</v>
      </c>
      <c r="F1110" s="325" t="s">
        <v>41</v>
      </c>
    </row>
    <row r="1111" spans="1:6" x14ac:dyDescent="0.2">
      <c r="A1111" s="325" t="s">
        <v>765</v>
      </c>
      <c r="B1111" s="325" t="s">
        <v>862</v>
      </c>
      <c r="C1111" s="325" t="s">
        <v>790</v>
      </c>
      <c r="D1111" s="325" t="s">
        <v>163</v>
      </c>
      <c r="E1111" s="325" t="s">
        <v>265</v>
      </c>
      <c r="F1111" s="325" t="s">
        <v>98</v>
      </c>
    </row>
    <row r="1112" spans="1:6" x14ac:dyDescent="0.2">
      <c r="A1112" s="325" t="s">
        <v>765</v>
      </c>
      <c r="B1112" s="325" t="s">
        <v>863</v>
      </c>
      <c r="C1112" s="325" t="s">
        <v>790</v>
      </c>
      <c r="D1112" s="325" t="s">
        <v>200</v>
      </c>
      <c r="E1112" s="325" t="s">
        <v>265</v>
      </c>
      <c r="F1112" s="325" t="s">
        <v>230</v>
      </c>
    </row>
    <row r="1113" spans="1:6" x14ac:dyDescent="0.2">
      <c r="A1113" s="325" t="s">
        <v>765</v>
      </c>
      <c r="B1113" s="325" t="s">
        <v>864</v>
      </c>
      <c r="C1113" s="325" t="s">
        <v>790</v>
      </c>
      <c r="D1113" s="325" t="s">
        <v>54</v>
      </c>
      <c r="E1113" s="325" t="s">
        <v>265</v>
      </c>
      <c r="F1113" s="325" t="s">
        <v>192</v>
      </c>
    </row>
    <row r="1114" spans="1:6" x14ac:dyDescent="0.2">
      <c r="A1114" s="325" t="s">
        <v>765</v>
      </c>
      <c r="B1114" s="325" t="s">
        <v>865</v>
      </c>
      <c r="C1114" s="325" t="s">
        <v>790</v>
      </c>
      <c r="D1114" s="325" t="s">
        <v>133</v>
      </c>
      <c r="E1114" s="325" t="s">
        <v>265</v>
      </c>
      <c r="F1114" s="325" t="s">
        <v>349</v>
      </c>
    </row>
    <row r="1115" spans="1:6" x14ac:dyDescent="0.2">
      <c r="A1115" s="325" t="s">
        <v>765</v>
      </c>
      <c r="B1115" s="325" t="s">
        <v>866</v>
      </c>
      <c r="C1115" s="325" t="s">
        <v>790</v>
      </c>
      <c r="D1115" s="325" t="s">
        <v>232</v>
      </c>
      <c r="E1115" s="325" t="s">
        <v>265</v>
      </c>
      <c r="F1115" s="325" t="s">
        <v>16</v>
      </c>
    </row>
    <row r="1116" spans="1:6" x14ac:dyDescent="0.2">
      <c r="A1116" s="325" t="s">
        <v>765</v>
      </c>
      <c r="B1116" s="325" t="s">
        <v>867</v>
      </c>
      <c r="C1116" s="325" t="s">
        <v>790</v>
      </c>
      <c r="D1116" s="325" t="s">
        <v>56</v>
      </c>
      <c r="E1116" s="325" t="s">
        <v>265</v>
      </c>
      <c r="F1116" s="325" t="s">
        <v>199</v>
      </c>
    </row>
    <row r="1117" spans="1:6" x14ac:dyDescent="0.2">
      <c r="A1117" s="325" t="s">
        <v>765</v>
      </c>
      <c r="B1117" s="325" t="s">
        <v>868</v>
      </c>
      <c r="C1117" s="325" t="s">
        <v>790</v>
      </c>
      <c r="D1117" s="325" t="s">
        <v>434</v>
      </c>
      <c r="E1117" s="325" t="s">
        <v>265</v>
      </c>
      <c r="F1117" s="325" t="s">
        <v>514</v>
      </c>
    </row>
    <row r="1118" spans="1:6" x14ac:dyDescent="0.2">
      <c r="A1118" s="325" t="s">
        <v>765</v>
      </c>
      <c r="B1118" s="325" t="s">
        <v>869</v>
      </c>
      <c r="C1118" s="325" t="s">
        <v>790</v>
      </c>
      <c r="D1118" s="325" t="s">
        <v>108</v>
      </c>
      <c r="E1118" s="325" t="s">
        <v>265</v>
      </c>
      <c r="F1118" s="325" t="s">
        <v>362</v>
      </c>
    </row>
    <row r="1119" spans="1:6" x14ac:dyDescent="0.2">
      <c r="A1119" s="325" t="s">
        <v>765</v>
      </c>
      <c r="B1119" s="325" t="s">
        <v>870</v>
      </c>
      <c r="C1119" s="325" t="s">
        <v>790</v>
      </c>
      <c r="D1119" s="325" t="s">
        <v>657</v>
      </c>
      <c r="E1119" s="325" t="s">
        <v>265</v>
      </c>
      <c r="F1119" s="325" t="s">
        <v>658</v>
      </c>
    </row>
    <row r="1120" spans="1:6" x14ac:dyDescent="0.2">
      <c r="A1120" s="325" t="s">
        <v>765</v>
      </c>
      <c r="B1120" s="325" t="s">
        <v>871</v>
      </c>
      <c r="C1120" s="325" t="s">
        <v>790</v>
      </c>
      <c r="D1120" s="325" t="s">
        <v>659</v>
      </c>
      <c r="E1120" s="325" t="s">
        <v>265</v>
      </c>
      <c r="F1120" s="325" t="s">
        <v>660</v>
      </c>
    </row>
    <row r="1121" spans="1:6" x14ac:dyDescent="0.2">
      <c r="A1121" s="325" t="s">
        <v>765</v>
      </c>
      <c r="B1121" s="325" t="s">
        <v>872</v>
      </c>
      <c r="C1121" s="325" t="s">
        <v>790</v>
      </c>
      <c r="D1121" s="325" t="s">
        <v>661</v>
      </c>
      <c r="E1121" s="325" t="s">
        <v>265</v>
      </c>
      <c r="F1121" s="325" t="s">
        <v>662</v>
      </c>
    </row>
    <row r="1122" spans="1:6" x14ac:dyDescent="0.2">
      <c r="A1122" s="325" t="s">
        <v>765</v>
      </c>
      <c r="B1122" s="325" t="s">
        <v>873</v>
      </c>
      <c r="C1122" s="325" t="s">
        <v>790</v>
      </c>
      <c r="D1122" s="325" t="s">
        <v>648</v>
      </c>
      <c r="E1122" s="325" t="s">
        <v>265</v>
      </c>
      <c r="F1122" s="325" t="s">
        <v>651</v>
      </c>
    </row>
    <row r="1123" spans="1:6" x14ac:dyDescent="0.2">
      <c r="A1123" s="325" t="s">
        <v>765</v>
      </c>
      <c r="B1123" s="325" t="s">
        <v>874</v>
      </c>
      <c r="C1123" s="325" t="s">
        <v>790</v>
      </c>
      <c r="D1123" s="325" t="s">
        <v>649</v>
      </c>
      <c r="E1123" s="325" t="s">
        <v>265</v>
      </c>
      <c r="F1123" s="325" t="s">
        <v>652</v>
      </c>
    </row>
    <row r="1124" spans="1:6" x14ac:dyDescent="0.2">
      <c r="A1124" s="325" t="s">
        <v>765</v>
      </c>
      <c r="B1124" s="325" t="s">
        <v>875</v>
      </c>
      <c r="C1124" s="325" t="s">
        <v>790</v>
      </c>
      <c r="D1124" s="325" t="s">
        <v>650</v>
      </c>
      <c r="E1124" s="325" t="s">
        <v>265</v>
      </c>
      <c r="F1124" s="325" t="s">
        <v>653</v>
      </c>
    </row>
    <row r="1125" spans="1:6" x14ac:dyDescent="0.2">
      <c r="A1125" s="325" t="s">
        <v>765</v>
      </c>
      <c r="B1125" s="325" t="s">
        <v>876</v>
      </c>
      <c r="C1125" s="325" t="s">
        <v>790</v>
      </c>
      <c r="D1125" s="325" t="s">
        <v>327</v>
      </c>
      <c r="E1125" s="325" t="s">
        <v>265</v>
      </c>
      <c r="F1125" s="325" t="s">
        <v>102</v>
      </c>
    </row>
    <row r="1126" spans="1:6" x14ac:dyDescent="0.2">
      <c r="A1126" s="325" t="s">
        <v>765</v>
      </c>
      <c r="B1126" s="325" t="s">
        <v>877</v>
      </c>
      <c r="C1126" s="325" t="s">
        <v>790</v>
      </c>
      <c r="D1126" s="325" t="s">
        <v>356</v>
      </c>
      <c r="E1126" s="325" t="s">
        <v>265</v>
      </c>
      <c r="F1126" s="325" t="s">
        <v>1011</v>
      </c>
    </row>
    <row r="1127" spans="1:6" x14ac:dyDescent="0.2">
      <c r="A1127" s="325" t="s">
        <v>765</v>
      </c>
      <c r="B1127" s="325" t="s">
        <v>878</v>
      </c>
      <c r="C1127" s="325" t="s">
        <v>790</v>
      </c>
      <c r="D1127" s="325" t="s">
        <v>513</v>
      </c>
      <c r="E1127" s="325" t="s">
        <v>442</v>
      </c>
      <c r="F1127" s="325" t="s">
        <v>264</v>
      </c>
    </row>
    <row r="1128" spans="1:6" x14ac:dyDescent="0.2">
      <c r="A1128" s="325" t="s">
        <v>765</v>
      </c>
      <c r="B1128" s="325" t="s">
        <v>879</v>
      </c>
      <c r="C1128" s="325" t="s">
        <v>790</v>
      </c>
      <c r="D1128" s="325" t="s">
        <v>554</v>
      </c>
      <c r="E1128" s="325" t="s">
        <v>442</v>
      </c>
      <c r="F1128" s="325" t="s">
        <v>229</v>
      </c>
    </row>
    <row r="1129" spans="1:6" x14ac:dyDescent="0.2">
      <c r="A1129" s="325" t="s">
        <v>765</v>
      </c>
      <c r="B1129" s="325" t="s">
        <v>880</v>
      </c>
      <c r="C1129" s="325" t="s">
        <v>790</v>
      </c>
      <c r="D1129" s="325" t="s">
        <v>409</v>
      </c>
      <c r="E1129" s="325" t="s">
        <v>442</v>
      </c>
      <c r="F1129" s="325" t="s">
        <v>336</v>
      </c>
    </row>
    <row r="1130" spans="1:6" x14ac:dyDescent="0.2">
      <c r="A1130" s="325" t="s">
        <v>765</v>
      </c>
      <c r="B1130" s="325" t="s">
        <v>881</v>
      </c>
      <c r="C1130" s="325" t="s">
        <v>790</v>
      </c>
      <c r="D1130" s="325" t="s">
        <v>72</v>
      </c>
      <c r="E1130" s="325" t="s">
        <v>265</v>
      </c>
      <c r="F1130" s="325" t="s">
        <v>451</v>
      </c>
    </row>
    <row r="1131" spans="1:6" x14ac:dyDescent="0.2">
      <c r="A1131" s="325" t="s">
        <v>765</v>
      </c>
      <c r="B1131" s="325" t="s">
        <v>882</v>
      </c>
      <c r="C1131" s="325" t="s">
        <v>790</v>
      </c>
      <c r="D1131" s="325" t="s">
        <v>35</v>
      </c>
      <c r="E1131" s="325" t="s">
        <v>265</v>
      </c>
      <c r="F1131" s="325" t="s">
        <v>414</v>
      </c>
    </row>
    <row r="1132" spans="1:6" x14ac:dyDescent="0.2">
      <c r="A1132" s="325" t="s">
        <v>765</v>
      </c>
      <c r="B1132" s="325" t="s">
        <v>883</v>
      </c>
      <c r="C1132" s="325" t="s">
        <v>790</v>
      </c>
      <c r="D1132" s="325" t="s">
        <v>453</v>
      </c>
      <c r="E1132" s="325" t="s">
        <v>456</v>
      </c>
      <c r="F1132" s="325" t="s">
        <v>62</v>
      </c>
    </row>
    <row r="1133" spans="1:6" x14ac:dyDescent="0.2">
      <c r="A1133" s="325" t="s">
        <v>765</v>
      </c>
      <c r="B1133" s="325" t="s">
        <v>884</v>
      </c>
      <c r="C1133" s="325" t="s">
        <v>790</v>
      </c>
      <c r="D1133" s="325" t="s">
        <v>84</v>
      </c>
      <c r="E1133" s="325" t="s">
        <v>456</v>
      </c>
      <c r="F1133" s="325" t="s">
        <v>148</v>
      </c>
    </row>
    <row r="1134" spans="1:6" x14ac:dyDescent="0.2">
      <c r="A1134" s="325" t="s">
        <v>765</v>
      </c>
      <c r="B1134" s="325" t="s">
        <v>885</v>
      </c>
      <c r="C1134" s="325" t="s">
        <v>790</v>
      </c>
      <c r="D1134" s="325" t="s">
        <v>534</v>
      </c>
      <c r="E1134" s="325" t="s">
        <v>456</v>
      </c>
      <c r="F1134" s="325" t="s">
        <v>8</v>
      </c>
    </row>
    <row r="1135" spans="1:6" x14ac:dyDescent="0.2">
      <c r="A1135" s="325" t="s">
        <v>765</v>
      </c>
      <c r="B1135" s="325" t="s">
        <v>886</v>
      </c>
      <c r="C1135" s="325" t="s">
        <v>790</v>
      </c>
      <c r="D1135" s="325" t="s">
        <v>583</v>
      </c>
      <c r="E1135" s="325" t="s">
        <v>456</v>
      </c>
      <c r="F1135" s="325" t="s">
        <v>475</v>
      </c>
    </row>
    <row r="1136" spans="1:6" x14ac:dyDescent="0.2">
      <c r="A1136" s="325" t="s">
        <v>765</v>
      </c>
      <c r="B1136" s="325" t="s">
        <v>887</v>
      </c>
      <c r="C1136" s="325" t="s">
        <v>790</v>
      </c>
      <c r="D1136" s="325" t="s">
        <v>481</v>
      </c>
      <c r="E1136" s="325" t="s">
        <v>456</v>
      </c>
      <c r="F1136" s="325" t="s">
        <v>245</v>
      </c>
    </row>
    <row r="1137" spans="1:6" x14ac:dyDescent="0.2">
      <c r="A1137" s="325" t="s">
        <v>765</v>
      </c>
      <c r="B1137" s="325" t="s">
        <v>888</v>
      </c>
      <c r="C1137" s="325" t="s">
        <v>790</v>
      </c>
      <c r="D1137" s="325" t="s">
        <v>398</v>
      </c>
      <c r="E1137" s="325" t="s">
        <v>456</v>
      </c>
      <c r="F1137" s="325" t="s">
        <v>181</v>
      </c>
    </row>
    <row r="1138" spans="1:6" x14ac:dyDescent="0.2">
      <c r="A1138" s="325" t="s">
        <v>765</v>
      </c>
      <c r="B1138" s="325" t="s">
        <v>889</v>
      </c>
      <c r="C1138" s="325" t="s">
        <v>790</v>
      </c>
      <c r="D1138" s="325" t="s">
        <v>712</v>
      </c>
      <c r="E1138" s="325" t="s">
        <v>456</v>
      </c>
      <c r="F1138" s="325" t="s">
        <v>713</v>
      </c>
    </row>
    <row r="1139" spans="1:6" x14ac:dyDescent="0.2">
      <c r="A1139" s="325" t="s">
        <v>765</v>
      </c>
      <c r="B1139" s="325" t="s">
        <v>890</v>
      </c>
      <c r="C1139" s="325" t="s">
        <v>790</v>
      </c>
      <c r="D1139" s="325" t="s">
        <v>97</v>
      </c>
      <c r="E1139" s="325" t="s">
        <v>456</v>
      </c>
      <c r="F1139" s="325" t="s">
        <v>63</v>
      </c>
    </row>
    <row r="1140" spans="1:6" x14ac:dyDescent="0.2">
      <c r="A1140" s="325" t="s">
        <v>765</v>
      </c>
      <c r="B1140" s="325" t="s">
        <v>891</v>
      </c>
      <c r="C1140" s="325" t="s">
        <v>790</v>
      </c>
      <c r="D1140" s="325" t="s">
        <v>190</v>
      </c>
      <c r="E1140" s="325" t="s">
        <v>456</v>
      </c>
      <c r="F1140" s="325" t="s">
        <v>1012</v>
      </c>
    </row>
    <row r="1141" spans="1:6" x14ac:dyDescent="0.2">
      <c r="A1141" s="325" t="s">
        <v>765</v>
      </c>
      <c r="B1141" s="325" t="s">
        <v>892</v>
      </c>
      <c r="C1141" s="325" t="s">
        <v>790</v>
      </c>
      <c r="D1141" s="325" t="s">
        <v>699</v>
      </c>
      <c r="E1141" s="325" t="s">
        <v>265</v>
      </c>
      <c r="F1141" s="325" t="s">
        <v>994</v>
      </c>
    </row>
    <row r="1142" spans="1:6" x14ac:dyDescent="0.2">
      <c r="A1142" s="325" t="s">
        <v>765</v>
      </c>
      <c r="B1142" s="325" t="s">
        <v>893</v>
      </c>
      <c r="C1142" s="325" t="s">
        <v>790</v>
      </c>
      <c r="D1142" s="325" t="s">
        <v>380</v>
      </c>
      <c r="E1142" s="325" t="s">
        <v>456</v>
      </c>
      <c r="F1142" s="325" t="s">
        <v>74</v>
      </c>
    </row>
    <row r="1143" spans="1:6" x14ac:dyDescent="0.2">
      <c r="A1143" s="325" t="s">
        <v>765</v>
      </c>
      <c r="B1143" s="325" t="s">
        <v>894</v>
      </c>
      <c r="C1143" s="325" t="s">
        <v>790</v>
      </c>
      <c r="D1143" s="325" t="s">
        <v>579</v>
      </c>
      <c r="E1143" s="325" t="s">
        <v>456</v>
      </c>
      <c r="F1143" s="325" t="s">
        <v>236</v>
      </c>
    </row>
    <row r="1144" spans="1:6" x14ac:dyDescent="0.2">
      <c r="A1144" s="325" t="s">
        <v>765</v>
      </c>
      <c r="B1144" s="325" t="s">
        <v>895</v>
      </c>
      <c r="C1144" s="325" t="s">
        <v>790</v>
      </c>
      <c r="D1144" s="325" t="s">
        <v>155</v>
      </c>
      <c r="E1144" s="325" t="s">
        <v>456</v>
      </c>
      <c r="F1144" s="325" t="s">
        <v>74</v>
      </c>
    </row>
    <row r="1145" spans="1:6" x14ac:dyDescent="0.2">
      <c r="A1145" s="325" t="s">
        <v>765</v>
      </c>
      <c r="B1145" s="325" t="s">
        <v>896</v>
      </c>
      <c r="C1145" s="325" t="s">
        <v>790</v>
      </c>
      <c r="D1145" s="325" t="s">
        <v>581</v>
      </c>
      <c r="E1145" s="325" t="s">
        <v>456</v>
      </c>
      <c r="F1145" s="325" t="s">
        <v>236</v>
      </c>
    </row>
    <row r="1146" spans="1:6" x14ac:dyDescent="0.2">
      <c r="A1146" s="325" t="s">
        <v>765</v>
      </c>
      <c r="B1146" s="325" t="s">
        <v>897</v>
      </c>
      <c r="C1146" s="325" t="s">
        <v>790</v>
      </c>
      <c r="D1146" s="325" t="s">
        <v>357</v>
      </c>
      <c r="E1146" s="325" t="s">
        <v>456</v>
      </c>
      <c r="F1146" s="325" t="s">
        <v>342</v>
      </c>
    </row>
    <row r="1147" spans="1:6" x14ac:dyDescent="0.2">
      <c r="A1147" s="325" t="s">
        <v>765</v>
      </c>
      <c r="B1147" s="325" t="s">
        <v>898</v>
      </c>
      <c r="C1147" s="325" t="s">
        <v>790</v>
      </c>
      <c r="D1147" s="325" t="s">
        <v>171</v>
      </c>
      <c r="E1147" s="325" t="s">
        <v>456</v>
      </c>
      <c r="F1147" s="325" t="s">
        <v>559</v>
      </c>
    </row>
    <row r="1148" spans="1:6" x14ac:dyDescent="0.2">
      <c r="A1148" s="325" t="s">
        <v>765</v>
      </c>
      <c r="B1148" s="325" t="s">
        <v>899</v>
      </c>
      <c r="C1148" s="325" t="s">
        <v>790</v>
      </c>
      <c r="D1148" s="325" t="s">
        <v>424</v>
      </c>
      <c r="E1148" s="325" t="s">
        <v>456</v>
      </c>
      <c r="F1148" s="325" t="s">
        <v>256</v>
      </c>
    </row>
    <row r="1149" spans="1:6" x14ac:dyDescent="0.2">
      <c r="A1149" s="325" t="s">
        <v>765</v>
      </c>
      <c r="B1149" s="325" t="s">
        <v>901</v>
      </c>
      <c r="C1149" s="325" t="s">
        <v>790</v>
      </c>
      <c r="D1149" s="325" t="s">
        <v>21</v>
      </c>
      <c r="E1149" s="325" t="s">
        <v>265</v>
      </c>
      <c r="F1149" s="325" t="s">
        <v>47</v>
      </c>
    </row>
    <row r="1150" spans="1:6" x14ac:dyDescent="0.2">
      <c r="A1150" s="325" t="s">
        <v>765</v>
      </c>
      <c r="B1150" s="325" t="s">
        <v>902</v>
      </c>
      <c r="C1150" s="325" t="s">
        <v>790</v>
      </c>
      <c r="D1150" s="325" t="s">
        <v>323</v>
      </c>
      <c r="E1150" s="325" t="s">
        <v>265</v>
      </c>
      <c r="F1150" s="325" t="s">
        <v>20</v>
      </c>
    </row>
    <row r="1151" spans="1:6" x14ac:dyDescent="0.2">
      <c r="A1151" s="325" t="s">
        <v>765</v>
      </c>
      <c r="B1151" s="325" t="s">
        <v>903</v>
      </c>
      <c r="C1151" s="325" t="s">
        <v>790</v>
      </c>
      <c r="D1151" s="325" t="s">
        <v>447</v>
      </c>
      <c r="E1151" s="325" t="s">
        <v>265</v>
      </c>
      <c r="F1151" s="325" t="s">
        <v>741</v>
      </c>
    </row>
    <row r="1152" spans="1:6" x14ac:dyDescent="0.2">
      <c r="A1152" s="325" t="s">
        <v>765</v>
      </c>
      <c r="B1152" s="325" t="s">
        <v>904</v>
      </c>
      <c r="C1152" s="325" t="s">
        <v>790</v>
      </c>
      <c r="D1152" s="325" t="s">
        <v>742</v>
      </c>
      <c r="E1152" s="325" t="s">
        <v>456</v>
      </c>
      <c r="F1152" s="325" t="s">
        <v>743</v>
      </c>
    </row>
    <row r="1153" spans="1:6" x14ac:dyDescent="0.2">
      <c r="A1153" s="325" t="s">
        <v>765</v>
      </c>
      <c r="B1153" s="325" t="s">
        <v>905</v>
      </c>
      <c r="C1153" s="325" t="s">
        <v>790</v>
      </c>
      <c r="D1153" s="325" t="s">
        <v>42</v>
      </c>
      <c r="E1153" s="325" t="s">
        <v>456</v>
      </c>
      <c r="F1153" s="325" t="s">
        <v>995</v>
      </c>
    </row>
    <row r="1154" spans="1:6" x14ac:dyDescent="0.2">
      <c r="A1154" s="325" t="s">
        <v>765</v>
      </c>
      <c r="B1154" s="325" t="s">
        <v>906</v>
      </c>
      <c r="C1154" s="325" t="s">
        <v>790</v>
      </c>
      <c r="D1154" s="325" t="s">
        <v>679</v>
      </c>
      <c r="E1154" s="325" t="s">
        <v>265</v>
      </c>
      <c r="F1154" s="325" t="s">
        <v>682</v>
      </c>
    </row>
    <row r="1155" spans="1:6" x14ac:dyDescent="0.2">
      <c r="A1155" s="325" t="s">
        <v>765</v>
      </c>
      <c r="B1155" s="325" t="s">
        <v>907</v>
      </c>
      <c r="C1155" s="325" t="s">
        <v>790</v>
      </c>
      <c r="D1155" s="325" t="s">
        <v>45</v>
      </c>
      <c r="E1155" s="325" t="s">
        <v>456</v>
      </c>
      <c r="F1155" s="325" t="s">
        <v>165</v>
      </c>
    </row>
    <row r="1156" spans="1:6" x14ac:dyDescent="0.2">
      <c r="A1156" s="325" t="s">
        <v>765</v>
      </c>
      <c r="B1156" s="325" t="s">
        <v>908</v>
      </c>
      <c r="C1156" s="325" t="s">
        <v>790</v>
      </c>
      <c r="D1156" s="325" t="s">
        <v>151</v>
      </c>
      <c r="E1156" s="325" t="s">
        <v>456</v>
      </c>
      <c r="F1156" s="325" t="s">
        <v>535</v>
      </c>
    </row>
    <row r="1157" spans="1:6" x14ac:dyDescent="0.2">
      <c r="A1157" s="325" t="s">
        <v>765</v>
      </c>
      <c r="B1157" s="325" t="s">
        <v>909</v>
      </c>
      <c r="C1157" s="325" t="s">
        <v>790</v>
      </c>
      <c r="D1157" s="325" t="s">
        <v>433</v>
      </c>
      <c r="E1157" s="325" t="s">
        <v>456</v>
      </c>
      <c r="F1157" s="325" t="s">
        <v>311</v>
      </c>
    </row>
    <row r="1158" spans="1:6" x14ac:dyDescent="0.2">
      <c r="A1158" s="325" t="s">
        <v>765</v>
      </c>
      <c r="B1158" s="325" t="s">
        <v>910</v>
      </c>
      <c r="C1158" s="325" t="s">
        <v>790</v>
      </c>
      <c r="D1158" s="325" t="s">
        <v>395</v>
      </c>
      <c r="E1158" s="325" t="s">
        <v>456</v>
      </c>
      <c r="F1158" s="325" t="s">
        <v>588</v>
      </c>
    </row>
    <row r="1159" spans="1:6" x14ac:dyDescent="0.2">
      <c r="A1159" s="325" t="s">
        <v>765</v>
      </c>
      <c r="B1159" s="325" t="s">
        <v>911</v>
      </c>
      <c r="C1159" s="325" t="s">
        <v>790</v>
      </c>
      <c r="D1159" s="325" t="s">
        <v>499</v>
      </c>
      <c r="E1159" s="325" t="s">
        <v>456</v>
      </c>
      <c r="F1159" s="325" t="s">
        <v>314</v>
      </c>
    </row>
    <row r="1160" spans="1:6" x14ac:dyDescent="0.2">
      <c r="A1160" s="325" t="s">
        <v>765</v>
      </c>
      <c r="B1160" s="325" t="s">
        <v>912</v>
      </c>
      <c r="C1160" s="325" t="s">
        <v>790</v>
      </c>
      <c r="D1160" s="325" t="s">
        <v>65</v>
      </c>
      <c r="E1160" s="325" t="s">
        <v>456</v>
      </c>
      <c r="F1160" s="325" t="s">
        <v>33</v>
      </c>
    </row>
    <row r="1161" spans="1:6" x14ac:dyDescent="0.2">
      <c r="A1161" s="325" t="s">
        <v>765</v>
      </c>
      <c r="B1161" s="325" t="s">
        <v>913</v>
      </c>
      <c r="C1161" s="325" t="s">
        <v>790</v>
      </c>
      <c r="D1161" s="325" t="s">
        <v>267</v>
      </c>
      <c r="E1161" s="325" t="s">
        <v>456</v>
      </c>
      <c r="F1161" s="325" t="s">
        <v>22</v>
      </c>
    </row>
    <row r="1162" spans="1:6" x14ac:dyDescent="0.2">
      <c r="A1162" s="325" t="s">
        <v>765</v>
      </c>
      <c r="B1162" s="325" t="s">
        <v>914</v>
      </c>
      <c r="C1162" s="325" t="s">
        <v>790</v>
      </c>
      <c r="D1162" s="325" t="s">
        <v>13</v>
      </c>
      <c r="E1162" s="325" t="s">
        <v>456</v>
      </c>
      <c r="F1162" s="325" t="s">
        <v>222</v>
      </c>
    </row>
    <row r="1163" spans="1:6" x14ac:dyDescent="0.2">
      <c r="A1163" s="325" t="s">
        <v>765</v>
      </c>
      <c r="B1163" s="325" t="s">
        <v>915</v>
      </c>
      <c r="C1163" s="325" t="s">
        <v>790</v>
      </c>
      <c r="D1163" s="325" t="s">
        <v>463</v>
      </c>
      <c r="E1163" s="325" t="s">
        <v>456</v>
      </c>
      <c r="F1163" s="325" t="s">
        <v>536</v>
      </c>
    </row>
    <row r="1164" spans="1:6" x14ac:dyDescent="0.2">
      <c r="A1164" s="325" t="s">
        <v>765</v>
      </c>
      <c r="B1164" s="325" t="s">
        <v>916</v>
      </c>
      <c r="C1164" s="325" t="s">
        <v>790</v>
      </c>
      <c r="D1164" s="325" t="s">
        <v>11</v>
      </c>
      <c r="E1164" s="325" t="s">
        <v>456</v>
      </c>
      <c r="F1164" s="325" t="s">
        <v>573</v>
      </c>
    </row>
    <row r="1165" spans="1:6" x14ac:dyDescent="0.2">
      <c r="A1165" s="325" t="s">
        <v>765</v>
      </c>
      <c r="B1165" s="325" t="s">
        <v>917</v>
      </c>
      <c r="C1165" s="325" t="s">
        <v>790</v>
      </c>
      <c r="D1165" s="325" t="s">
        <v>577</v>
      </c>
      <c r="E1165" s="325" t="s">
        <v>456</v>
      </c>
      <c r="F1165" s="325" t="s">
        <v>343</v>
      </c>
    </row>
    <row r="1166" spans="1:6" x14ac:dyDescent="0.2">
      <c r="A1166" s="325" t="s">
        <v>765</v>
      </c>
      <c r="B1166" s="325" t="s">
        <v>974</v>
      </c>
      <c r="C1166" s="325" t="s">
        <v>790</v>
      </c>
      <c r="D1166" s="325" t="s">
        <v>51</v>
      </c>
      <c r="E1166" s="325" t="s">
        <v>265</v>
      </c>
      <c r="F1166" s="325" t="s">
        <v>266</v>
      </c>
    </row>
    <row r="1167" spans="1:6" x14ac:dyDescent="0.2">
      <c r="A1167" s="325" t="s">
        <v>765</v>
      </c>
      <c r="B1167" s="325" t="s">
        <v>975</v>
      </c>
      <c r="C1167" s="325" t="s">
        <v>790</v>
      </c>
      <c r="D1167" s="325" t="s">
        <v>283</v>
      </c>
      <c r="E1167" s="325" t="s">
        <v>265</v>
      </c>
      <c r="F1167" s="325" t="s">
        <v>53</v>
      </c>
    </row>
    <row r="1168" spans="1:6" x14ac:dyDescent="0.2">
      <c r="A1168" s="325" t="s">
        <v>765</v>
      </c>
      <c r="B1168" s="325" t="s">
        <v>976</v>
      </c>
      <c r="C1168" s="325" t="s">
        <v>790</v>
      </c>
      <c r="D1168" s="325" t="s">
        <v>542</v>
      </c>
      <c r="E1168" s="325" t="s">
        <v>265</v>
      </c>
      <c r="F1168" s="325" t="s">
        <v>372</v>
      </c>
    </row>
    <row r="1169" spans="1:6" x14ac:dyDescent="0.2">
      <c r="A1169" s="325" t="s">
        <v>765</v>
      </c>
      <c r="B1169" s="325" t="s">
        <v>977</v>
      </c>
      <c r="C1169" s="325" t="s">
        <v>790</v>
      </c>
      <c r="D1169" s="325" t="s">
        <v>576</v>
      </c>
      <c r="E1169" s="325" t="s">
        <v>265</v>
      </c>
      <c r="F1169" s="325" t="s">
        <v>333</v>
      </c>
    </row>
    <row r="1170" spans="1:6" x14ac:dyDescent="0.2">
      <c r="A1170" s="325" t="s">
        <v>765</v>
      </c>
      <c r="B1170" s="325" t="s">
        <v>793</v>
      </c>
      <c r="C1170" s="325" t="s">
        <v>565</v>
      </c>
      <c r="D1170" s="325" t="s">
        <v>654</v>
      </c>
      <c r="E1170" s="325" t="s">
        <v>265</v>
      </c>
      <c r="F1170" s="325" t="s">
        <v>998</v>
      </c>
    </row>
    <row r="1171" spans="1:6" x14ac:dyDescent="0.2">
      <c r="A1171" s="325" t="s">
        <v>765</v>
      </c>
      <c r="B1171" s="325" t="s">
        <v>794</v>
      </c>
      <c r="C1171" s="325" t="s">
        <v>565</v>
      </c>
      <c r="D1171" s="325" t="s">
        <v>510</v>
      </c>
      <c r="E1171" s="325" t="s">
        <v>265</v>
      </c>
      <c r="F1171" s="325" t="s">
        <v>999</v>
      </c>
    </row>
    <row r="1172" spans="1:6" x14ac:dyDescent="0.2">
      <c r="A1172" s="325" t="s">
        <v>765</v>
      </c>
      <c r="B1172" s="325" t="s">
        <v>795</v>
      </c>
      <c r="C1172" s="325" t="s">
        <v>565</v>
      </c>
      <c r="D1172" s="325" t="s">
        <v>400</v>
      </c>
      <c r="E1172" s="325" t="s">
        <v>265</v>
      </c>
      <c r="F1172" s="325" t="s">
        <v>1001</v>
      </c>
    </row>
    <row r="1173" spans="1:6" x14ac:dyDescent="0.2">
      <c r="A1173" s="325" t="s">
        <v>765</v>
      </c>
      <c r="B1173" s="325" t="s">
        <v>796</v>
      </c>
      <c r="C1173" s="325" t="s">
        <v>565</v>
      </c>
      <c r="D1173" s="325" t="s">
        <v>302</v>
      </c>
      <c r="E1173" s="325" t="s">
        <v>265</v>
      </c>
      <c r="F1173" s="325" t="s">
        <v>1000</v>
      </c>
    </row>
    <row r="1174" spans="1:6" x14ac:dyDescent="0.2">
      <c r="A1174" s="325" t="s">
        <v>765</v>
      </c>
      <c r="B1174" s="325" t="s">
        <v>797</v>
      </c>
      <c r="C1174" s="325" t="s">
        <v>565</v>
      </c>
      <c r="D1174" s="325" t="s">
        <v>28</v>
      </c>
      <c r="E1174" s="325" t="s">
        <v>442</v>
      </c>
      <c r="F1174" s="325" t="s">
        <v>1008</v>
      </c>
    </row>
    <row r="1175" spans="1:6" x14ac:dyDescent="0.2">
      <c r="A1175" s="325" t="s">
        <v>765</v>
      </c>
      <c r="B1175" s="325" t="s">
        <v>798</v>
      </c>
      <c r="C1175" s="325" t="s">
        <v>565</v>
      </c>
      <c r="D1175" s="325" t="s">
        <v>67</v>
      </c>
      <c r="E1175" s="325" t="s">
        <v>556</v>
      </c>
      <c r="F1175" s="325" t="s">
        <v>1009</v>
      </c>
    </row>
    <row r="1176" spans="1:6" x14ac:dyDescent="0.2">
      <c r="A1176" s="325" t="s">
        <v>765</v>
      </c>
      <c r="B1176" s="325" t="s">
        <v>799</v>
      </c>
      <c r="C1176" s="325" t="s">
        <v>565</v>
      </c>
      <c r="D1176" s="325" t="s">
        <v>168</v>
      </c>
      <c r="E1176" s="325" t="s">
        <v>265</v>
      </c>
      <c r="F1176" s="325" t="s">
        <v>145</v>
      </c>
    </row>
    <row r="1177" spans="1:6" x14ac:dyDescent="0.2">
      <c r="A1177" s="325" t="s">
        <v>765</v>
      </c>
      <c r="B1177" s="325" t="s">
        <v>800</v>
      </c>
      <c r="C1177" s="325" t="s">
        <v>565</v>
      </c>
      <c r="D1177" s="325" t="s">
        <v>310</v>
      </c>
      <c r="E1177" s="325" t="s">
        <v>265</v>
      </c>
      <c r="F1177" s="325" t="s">
        <v>350</v>
      </c>
    </row>
    <row r="1178" spans="1:6" x14ac:dyDescent="0.2">
      <c r="A1178" s="325" t="s">
        <v>765</v>
      </c>
      <c r="B1178" s="325" t="s">
        <v>801</v>
      </c>
      <c r="C1178" s="325" t="s">
        <v>565</v>
      </c>
      <c r="D1178" s="325" t="s">
        <v>87</v>
      </c>
      <c r="E1178" s="325" t="s">
        <v>265</v>
      </c>
      <c r="F1178" s="325" t="s">
        <v>79</v>
      </c>
    </row>
    <row r="1179" spans="1:6" x14ac:dyDescent="0.2">
      <c r="A1179" s="325" t="s">
        <v>765</v>
      </c>
      <c r="B1179" s="325" t="s">
        <v>802</v>
      </c>
      <c r="C1179" s="325" t="s">
        <v>565</v>
      </c>
      <c r="D1179" s="325" t="s">
        <v>228</v>
      </c>
      <c r="E1179" s="325" t="s">
        <v>265</v>
      </c>
      <c r="F1179" s="325" t="s">
        <v>331</v>
      </c>
    </row>
    <row r="1180" spans="1:6" x14ac:dyDescent="0.2">
      <c r="A1180" s="325" t="s">
        <v>765</v>
      </c>
      <c r="B1180" s="325" t="s">
        <v>803</v>
      </c>
      <c r="C1180" s="325" t="s">
        <v>565</v>
      </c>
      <c r="D1180" s="325" t="s">
        <v>144</v>
      </c>
      <c r="E1180" s="325" t="s">
        <v>265</v>
      </c>
      <c r="F1180" s="325" t="s">
        <v>340</v>
      </c>
    </row>
    <row r="1181" spans="1:6" x14ac:dyDescent="0.2">
      <c r="A1181" s="325" t="s">
        <v>765</v>
      </c>
      <c r="B1181" s="325" t="s">
        <v>804</v>
      </c>
      <c r="C1181" s="325" t="s">
        <v>565</v>
      </c>
      <c r="D1181" s="325" t="s">
        <v>429</v>
      </c>
      <c r="E1181" s="325" t="s">
        <v>265</v>
      </c>
      <c r="F1181" s="325" t="s">
        <v>263</v>
      </c>
    </row>
    <row r="1182" spans="1:6" x14ac:dyDescent="0.2">
      <c r="A1182" s="325" t="s">
        <v>765</v>
      </c>
      <c r="B1182" s="325" t="s">
        <v>805</v>
      </c>
      <c r="C1182" s="325" t="s">
        <v>565</v>
      </c>
      <c r="D1182" s="325" t="s">
        <v>182</v>
      </c>
      <c r="E1182" s="325" t="s">
        <v>265</v>
      </c>
      <c r="F1182" s="325" t="s">
        <v>223</v>
      </c>
    </row>
    <row r="1183" spans="1:6" x14ac:dyDescent="0.2">
      <c r="A1183" s="325" t="s">
        <v>765</v>
      </c>
      <c r="B1183" s="325" t="s">
        <v>806</v>
      </c>
      <c r="C1183" s="325" t="s">
        <v>565</v>
      </c>
      <c r="D1183" s="325" t="s">
        <v>298</v>
      </c>
      <c r="E1183" s="325" t="s">
        <v>265</v>
      </c>
      <c r="F1183" s="325" t="s">
        <v>423</v>
      </c>
    </row>
    <row r="1184" spans="1:6" x14ac:dyDescent="0.2">
      <c r="A1184" s="325" t="s">
        <v>765</v>
      </c>
      <c r="B1184" s="325" t="s">
        <v>807</v>
      </c>
      <c r="C1184" s="325" t="s">
        <v>565</v>
      </c>
      <c r="D1184" s="325" t="s">
        <v>571</v>
      </c>
      <c r="E1184" s="325" t="s">
        <v>265</v>
      </c>
      <c r="F1184" s="325" t="s">
        <v>258</v>
      </c>
    </row>
    <row r="1185" spans="1:6" x14ac:dyDescent="0.2">
      <c r="A1185" s="325" t="s">
        <v>765</v>
      </c>
      <c r="B1185" s="325" t="s">
        <v>808</v>
      </c>
      <c r="C1185" s="325" t="s">
        <v>565</v>
      </c>
      <c r="D1185" s="325" t="s">
        <v>156</v>
      </c>
      <c r="E1185" s="325" t="s">
        <v>265</v>
      </c>
      <c r="F1185" s="325" t="s">
        <v>226</v>
      </c>
    </row>
    <row r="1186" spans="1:6" x14ac:dyDescent="0.2">
      <c r="A1186" s="325" t="s">
        <v>765</v>
      </c>
      <c r="B1186" s="325" t="s">
        <v>809</v>
      </c>
      <c r="C1186" s="325" t="s">
        <v>565</v>
      </c>
      <c r="D1186" s="325" t="s">
        <v>299</v>
      </c>
      <c r="E1186" s="325" t="s">
        <v>265</v>
      </c>
      <c r="F1186" s="325" t="s">
        <v>3</v>
      </c>
    </row>
    <row r="1187" spans="1:6" x14ac:dyDescent="0.2">
      <c r="A1187" s="325" t="s">
        <v>765</v>
      </c>
      <c r="B1187" s="325" t="s">
        <v>810</v>
      </c>
      <c r="C1187" s="325" t="s">
        <v>565</v>
      </c>
      <c r="D1187" s="325" t="s">
        <v>164</v>
      </c>
      <c r="E1187" s="325" t="s">
        <v>265</v>
      </c>
      <c r="F1187" s="325" t="s">
        <v>524</v>
      </c>
    </row>
    <row r="1188" spans="1:6" x14ac:dyDescent="0.2">
      <c r="A1188" s="325" t="s">
        <v>765</v>
      </c>
      <c r="B1188" s="325" t="s">
        <v>811</v>
      </c>
      <c r="C1188" s="325" t="s">
        <v>565</v>
      </c>
      <c r="D1188" s="325" t="s">
        <v>403</v>
      </c>
      <c r="E1188" s="325" t="s">
        <v>265</v>
      </c>
      <c r="F1188" s="325" t="s">
        <v>195</v>
      </c>
    </row>
    <row r="1189" spans="1:6" x14ac:dyDescent="0.2">
      <c r="A1189" s="325" t="s">
        <v>765</v>
      </c>
      <c r="B1189" s="325" t="s">
        <v>812</v>
      </c>
      <c r="C1189" s="325" t="s">
        <v>565</v>
      </c>
      <c r="D1189" s="325" t="s">
        <v>367</v>
      </c>
      <c r="E1189" s="325" t="s">
        <v>265</v>
      </c>
      <c r="F1189" s="325" t="s">
        <v>461</v>
      </c>
    </row>
    <row r="1190" spans="1:6" x14ac:dyDescent="0.2">
      <c r="A1190" s="325" t="s">
        <v>765</v>
      </c>
      <c r="B1190" s="325" t="s">
        <v>813</v>
      </c>
      <c r="C1190" s="325" t="s">
        <v>565</v>
      </c>
      <c r="D1190" s="325" t="s">
        <v>105</v>
      </c>
      <c r="E1190" s="325" t="s">
        <v>265</v>
      </c>
      <c r="F1190" s="325" t="s">
        <v>393</v>
      </c>
    </row>
    <row r="1191" spans="1:6" x14ac:dyDescent="0.2">
      <c r="A1191" s="325" t="s">
        <v>765</v>
      </c>
      <c r="B1191" s="325" t="s">
        <v>814</v>
      </c>
      <c r="C1191" s="325" t="s">
        <v>565</v>
      </c>
      <c r="D1191" s="325" t="s">
        <v>520</v>
      </c>
      <c r="E1191" s="325" t="s">
        <v>265</v>
      </c>
      <c r="F1191" s="325" t="s">
        <v>277</v>
      </c>
    </row>
    <row r="1192" spans="1:6" x14ac:dyDescent="0.2">
      <c r="A1192" s="325" t="s">
        <v>765</v>
      </c>
      <c r="B1192" s="325" t="s">
        <v>815</v>
      </c>
      <c r="C1192" s="325" t="s">
        <v>565</v>
      </c>
      <c r="D1192" s="325" t="s">
        <v>469</v>
      </c>
      <c r="E1192" s="325" t="s">
        <v>265</v>
      </c>
      <c r="F1192" s="325" t="s">
        <v>452</v>
      </c>
    </row>
    <row r="1193" spans="1:6" x14ac:dyDescent="0.2">
      <c r="A1193" s="325" t="s">
        <v>765</v>
      </c>
      <c r="B1193" s="325" t="s">
        <v>816</v>
      </c>
      <c r="C1193" s="325" t="s">
        <v>565</v>
      </c>
      <c r="D1193" s="325" t="s">
        <v>432</v>
      </c>
      <c r="E1193" s="325" t="s">
        <v>265</v>
      </c>
      <c r="F1193" s="325" t="s">
        <v>489</v>
      </c>
    </row>
    <row r="1194" spans="1:6" x14ac:dyDescent="0.2">
      <c r="A1194" s="325" t="s">
        <v>765</v>
      </c>
      <c r="B1194" s="325" t="s">
        <v>817</v>
      </c>
      <c r="C1194" s="325" t="s">
        <v>565</v>
      </c>
      <c r="D1194" s="325" t="s">
        <v>75</v>
      </c>
      <c r="E1194" s="325" t="s">
        <v>442</v>
      </c>
      <c r="F1194" s="325" t="s">
        <v>288</v>
      </c>
    </row>
    <row r="1195" spans="1:6" x14ac:dyDescent="0.2">
      <c r="A1195" s="325" t="s">
        <v>765</v>
      </c>
      <c r="B1195" s="325" t="s">
        <v>818</v>
      </c>
      <c r="C1195" s="325" t="s">
        <v>565</v>
      </c>
      <c r="D1195" s="325" t="s">
        <v>666</v>
      </c>
      <c r="E1195" s="325" t="s">
        <v>556</v>
      </c>
      <c r="F1195" s="325" t="s">
        <v>665</v>
      </c>
    </row>
    <row r="1196" spans="1:6" x14ac:dyDescent="0.2">
      <c r="A1196" s="325" t="s">
        <v>765</v>
      </c>
      <c r="B1196" s="325" t="s">
        <v>819</v>
      </c>
      <c r="C1196" s="325" t="s">
        <v>565</v>
      </c>
      <c r="D1196" s="325" t="s">
        <v>111</v>
      </c>
      <c r="E1196" s="325" t="s">
        <v>265</v>
      </c>
      <c r="F1196" s="325" t="s">
        <v>261</v>
      </c>
    </row>
    <row r="1197" spans="1:6" x14ac:dyDescent="0.2">
      <c r="A1197" s="325" t="s">
        <v>765</v>
      </c>
      <c r="B1197" s="325" t="s">
        <v>820</v>
      </c>
      <c r="C1197" s="325" t="s">
        <v>565</v>
      </c>
      <c r="D1197" s="325" t="s">
        <v>289</v>
      </c>
      <c r="E1197" s="325" t="s">
        <v>265</v>
      </c>
      <c r="F1197" s="325" t="s">
        <v>674</v>
      </c>
    </row>
    <row r="1198" spans="1:6" x14ac:dyDescent="0.2">
      <c r="A1198" s="325" t="s">
        <v>765</v>
      </c>
      <c r="B1198" s="325" t="s">
        <v>821</v>
      </c>
      <c r="C1198" s="325" t="s">
        <v>565</v>
      </c>
      <c r="D1198" s="325" t="s">
        <v>308</v>
      </c>
      <c r="E1198" s="325" t="s">
        <v>265</v>
      </c>
      <c r="F1198" s="325" t="s">
        <v>675</v>
      </c>
    </row>
    <row r="1199" spans="1:6" x14ac:dyDescent="0.2">
      <c r="A1199" s="325" t="s">
        <v>765</v>
      </c>
      <c r="B1199" s="325" t="s">
        <v>822</v>
      </c>
      <c r="C1199" s="325" t="s">
        <v>565</v>
      </c>
      <c r="D1199" s="325" t="s">
        <v>411</v>
      </c>
      <c r="E1199" s="325" t="s">
        <v>265</v>
      </c>
      <c r="F1199" s="325" t="s">
        <v>115</v>
      </c>
    </row>
    <row r="1200" spans="1:6" x14ac:dyDescent="0.2">
      <c r="A1200" s="325" t="s">
        <v>765</v>
      </c>
      <c r="B1200" s="325" t="s">
        <v>823</v>
      </c>
      <c r="C1200" s="325" t="s">
        <v>565</v>
      </c>
      <c r="D1200" s="325" t="s">
        <v>425</v>
      </c>
      <c r="E1200" s="325" t="s">
        <v>265</v>
      </c>
      <c r="F1200" s="325" t="s">
        <v>364</v>
      </c>
    </row>
    <row r="1201" spans="1:6" x14ac:dyDescent="0.2">
      <c r="A1201" s="325" t="s">
        <v>765</v>
      </c>
      <c r="B1201" s="325" t="s">
        <v>824</v>
      </c>
      <c r="C1201" s="325" t="s">
        <v>565</v>
      </c>
      <c r="D1201" s="325" t="s">
        <v>431</v>
      </c>
      <c r="E1201" s="325" t="s">
        <v>265</v>
      </c>
      <c r="F1201" s="325" t="s">
        <v>464</v>
      </c>
    </row>
    <row r="1202" spans="1:6" x14ac:dyDescent="0.2">
      <c r="A1202" s="325" t="s">
        <v>765</v>
      </c>
      <c r="B1202" s="325" t="s">
        <v>825</v>
      </c>
      <c r="C1202" s="325" t="s">
        <v>565</v>
      </c>
      <c r="D1202" s="325" t="s">
        <v>696</v>
      </c>
      <c r="E1202" s="325" t="s">
        <v>265</v>
      </c>
      <c r="F1202" s="325" t="s">
        <v>1010</v>
      </c>
    </row>
    <row r="1203" spans="1:6" x14ac:dyDescent="0.2">
      <c r="A1203" s="325" t="s">
        <v>765</v>
      </c>
      <c r="B1203" s="325" t="s">
        <v>826</v>
      </c>
      <c r="C1203" s="325" t="s">
        <v>565</v>
      </c>
      <c r="D1203" s="325" t="s">
        <v>15</v>
      </c>
      <c r="E1203" s="325" t="s">
        <v>265</v>
      </c>
      <c r="F1203" s="325" t="s">
        <v>446</v>
      </c>
    </row>
    <row r="1204" spans="1:6" x14ac:dyDescent="0.2">
      <c r="A1204" s="325" t="s">
        <v>765</v>
      </c>
      <c r="B1204" s="325" t="s">
        <v>827</v>
      </c>
      <c r="C1204" s="325" t="s">
        <v>565</v>
      </c>
      <c r="D1204" s="325" t="s">
        <v>551</v>
      </c>
      <c r="E1204" s="325" t="s">
        <v>265</v>
      </c>
      <c r="F1204" s="325" t="s">
        <v>10</v>
      </c>
    </row>
    <row r="1205" spans="1:6" x14ac:dyDescent="0.2">
      <c r="A1205" s="325" t="s">
        <v>765</v>
      </c>
      <c r="B1205" s="325" t="s">
        <v>828</v>
      </c>
      <c r="C1205" s="325" t="s">
        <v>565</v>
      </c>
      <c r="D1205" s="325" t="s">
        <v>9</v>
      </c>
      <c r="E1205" s="325" t="s">
        <v>265</v>
      </c>
      <c r="F1205" s="325" t="s">
        <v>189</v>
      </c>
    </row>
    <row r="1206" spans="1:6" x14ac:dyDescent="0.2">
      <c r="A1206" s="325" t="s">
        <v>765</v>
      </c>
      <c r="B1206" s="325" t="s">
        <v>829</v>
      </c>
      <c r="C1206" s="325" t="s">
        <v>565</v>
      </c>
      <c r="D1206" s="325" t="s">
        <v>566</v>
      </c>
      <c r="E1206" s="325" t="s">
        <v>265</v>
      </c>
      <c r="F1206" s="325" t="s">
        <v>135</v>
      </c>
    </row>
    <row r="1207" spans="1:6" x14ac:dyDescent="0.2">
      <c r="A1207" s="325" t="s">
        <v>765</v>
      </c>
      <c r="B1207" s="325" t="s">
        <v>830</v>
      </c>
      <c r="C1207" s="325" t="s">
        <v>565</v>
      </c>
      <c r="D1207" s="325" t="s">
        <v>412</v>
      </c>
      <c r="E1207" s="325" t="s">
        <v>456</v>
      </c>
      <c r="F1207" s="325" t="s">
        <v>128</v>
      </c>
    </row>
    <row r="1208" spans="1:6" x14ac:dyDescent="0.2">
      <c r="A1208" s="325" t="s">
        <v>765</v>
      </c>
      <c r="B1208" s="325" t="s">
        <v>831</v>
      </c>
      <c r="C1208" s="325" t="s">
        <v>565</v>
      </c>
      <c r="D1208" s="325" t="s">
        <v>369</v>
      </c>
      <c r="E1208" s="325" t="s">
        <v>456</v>
      </c>
      <c r="F1208" s="325" t="s">
        <v>496</v>
      </c>
    </row>
    <row r="1209" spans="1:6" x14ac:dyDescent="0.2">
      <c r="A1209" s="325" t="s">
        <v>765</v>
      </c>
      <c r="B1209" s="325" t="s">
        <v>832</v>
      </c>
      <c r="C1209" s="325" t="s">
        <v>565</v>
      </c>
      <c r="D1209" s="325" t="s">
        <v>348</v>
      </c>
      <c r="E1209" s="325" t="s">
        <v>265</v>
      </c>
      <c r="F1209" s="325" t="s">
        <v>293</v>
      </c>
    </row>
    <row r="1210" spans="1:6" x14ac:dyDescent="0.2">
      <c r="A1210" s="325" t="s">
        <v>765</v>
      </c>
      <c r="B1210" s="325" t="s">
        <v>833</v>
      </c>
      <c r="C1210" s="325" t="s">
        <v>565</v>
      </c>
      <c r="D1210" s="325" t="s">
        <v>244</v>
      </c>
      <c r="E1210" s="325" t="s">
        <v>265</v>
      </c>
      <c r="F1210" s="325" t="s">
        <v>543</v>
      </c>
    </row>
    <row r="1211" spans="1:6" x14ac:dyDescent="0.2">
      <c r="A1211" s="325" t="s">
        <v>765</v>
      </c>
      <c r="B1211" s="325" t="s">
        <v>834</v>
      </c>
      <c r="C1211" s="325" t="s">
        <v>565</v>
      </c>
      <c r="D1211" s="325" t="s">
        <v>488</v>
      </c>
      <c r="E1211" s="325" t="s">
        <v>265</v>
      </c>
      <c r="F1211" s="325" t="s">
        <v>545</v>
      </c>
    </row>
    <row r="1212" spans="1:6" x14ac:dyDescent="0.2">
      <c r="A1212" s="325" t="s">
        <v>765</v>
      </c>
      <c r="B1212" s="325" t="s">
        <v>835</v>
      </c>
      <c r="C1212" s="325" t="s">
        <v>565</v>
      </c>
      <c r="D1212" s="325" t="s">
        <v>397</v>
      </c>
      <c r="E1212" s="325" t="s">
        <v>265</v>
      </c>
      <c r="F1212" s="325" t="s">
        <v>88</v>
      </c>
    </row>
    <row r="1213" spans="1:6" x14ac:dyDescent="0.2">
      <c r="A1213" s="325" t="s">
        <v>765</v>
      </c>
      <c r="B1213" s="325" t="s">
        <v>836</v>
      </c>
      <c r="C1213" s="325" t="s">
        <v>565</v>
      </c>
      <c r="D1213" s="325" t="s">
        <v>440</v>
      </c>
      <c r="E1213" s="325" t="s">
        <v>265</v>
      </c>
      <c r="F1213" s="325" t="s">
        <v>368</v>
      </c>
    </row>
    <row r="1214" spans="1:6" x14ac:dyDescent="0.2">
      <c r="A1214" s="325" t="s">
        <v>765</v>
      </c>
      <c r="B1214" s="325" t="s">
        <v>837</v>
      </c>
      <c r="C1214" s="325" t="s">
        <v>565</v>
      </c>
      <c r="D1214" s="325" t="s">
        <v>445</v>
      </c>
      <c r="E1214" s="325" t="s">
        <v>265</v>
      </c>
      <c r="F1214" s="325" t="s">
        <v>238</v>
      </c>
    </row>
    <row r="1215" spans="1:6" x14ac:dyDescent="0.2">
      <c r="A1215" s="325" t="s">
        <v>765</v>
      </c>
      <c r="B1215" s="325" t="s">
        <v>838</v>
      </c>
      <c r="C1215" s="325" t="s">
        <v>565</v>
      </c>
      <c r="D1215" s="325" t="s">
        <v>119</v>
      </c>
      <c r="E1215" s="325" t="s">
        <v>265</v>
      </c>
      <c r="F1215" s="325" t="s">
        <v>557</v>
      </c>
    </row>
    <row r="1216" spans="1:6" x14ac:dyDescent="0.2">
      <c r="A1216" s="325" t="s">
        <v>765</v>
      </c>
      <c r="B1216" s="325" t="s">
        <v>839</v>
      </c>
      <c r="C1216" s="325" t="s">
        <v>565</v>
      </c>
      <c r="D1216" s="325" t="s">
        <v>580</v>
      </c>
      <c r="E1216" s="325" t="s">
        <v>265</v>
      </c>
      <c r="F1216" s="325" t="s">
        <v>120</v>
      </c>
    </row>
    <row r="1217" spans="1:6" x14ac:dyDescent="0.2">
      <c r="A1217" s="325" t="s">
        <v>765</v>
      </c>
      <c r="B1217" s="325" t="s">
        <v>840</v>
      </c>
      <c r="C1217" s="325" t="s">
        <v>565</v>
      </c>
      <c r="D1217" s="325" t="s">
        <v>64</v>
      </c>
      <c r="E1217" s="325" t="s">
        <v>265</v>
      </c>
      <c r="F1217" s="325" t="s">
        <v>197</v>
      </c>
    </row>
    <row r="1218" spans="1:6" x14ac:dyDescent="0.2">
      <c r="A1218" s="325" t="s">
        <v>765</v>
      </c>
      <c r="B1218" s="325" t="s">
        <v>841</v>
      </c>
      <c r="C1218" s="325" t="s">
        <v>565</v>
      </c>
      <c r="D1218" s="325" t="s">
        <v>471</v>
      </c>
      <c r="E1218" s="325" t="s">
        <v>265</v>
      </c>
      <c r="F1218" s="325" t="s">
        <v>466</v>
      </c>
    </row>
    <row r="1219" spans="1:6" x14ac:dyDescent="0.2">
      <c r="A1219" s="325" t="s">
        <v>765</v>
      </c>
      <c r="B1219" s="325" t="s">
        <v>842</v>
      </c>
      <c r="C1219" s="325" t="s">
        <v>565</v>
      </c>
      <c r="D1219" s="325" t="s">
        <v>539</v>
      </c>
      <c r="E1219" s="325" t="s">
        <v>265</v>
      </c>
      <c r="F1219" s="325" t="s">
        <v>394</v>
      </c>
    </row>
    <row r="1220" spans="1:6" x14ac:dyDescent="0.2">
      <c r="A1220" s="325" t="s">
        <v>765</v>
      </c>
      <c r="B1220" s="325" t="s">
        <v>843</v>
      </c>
      <c r="C1220" s="325" t="s">
        <v>565</v>
      </c>
      <c r="D1220" s="325" t="s">
        <v>318</v>
      </c>
      <c r="E1220" s="325" t="s">
        <v>265</v>
      </c>
      <c r="F1220" s="325" t="s">
        <v>478</v>
      </c>
    </row>
    <row r="1221" spans="1:6" x14ac:dyDescent="0.2">
      <c r="A1221" s="325" t="s">
        <v>765</v>
      </c>
      <c r="B1221" s="325" t="s">
        <v>844</v>
      </c>
      <c r="C1221" s="325" t="s">
        <v>565</v>
      </c>
      <c r="D1221" s="325" t="s">
        <v>257</v>
      </c>
      <c r="E1221" s="325" t="s">
        <v>265</v>
      </c>
      <c r="F1221" s="325" t="s">
        <v>338</v>
      </c>
    </row>
    <row r="1222" spans="1:6" x14ac:dyDescent="0.2">
      <c r="A1222" s="325" t="s">
        <v>765</v>
      </c>
      <c r="B1222" s="325" t="s">
        <v>845</v>
      </c>
      <c r="C1222" s="325" t="s">
        <v>565</v>
      </c>
      <c r="D1222" s="325" t="s">
        <v>751</v>
      </c>
      <c r="E1222" s="325" t="s">
        <v>265</v>
      </c>
      <c r="F1222" s="325" t="s">
        <v>753</v>
      </c>
    </row>
    <row r="1223" spans="1:6" x14ac:dyDescent="0.2">
      <c r="A1223" s="325" t="s">
        <v>765</v>
      </c>
      <c r="B1223" s="325" t="s">
        <v>846</v>
      </c>
      <c r="C1223" s="325" t="s">
        <v>565</v>
      </c>
      <c r="D1223" s="325" t="s">
        <v>55</v>
      </c>
      <c r="E1223" s="325" t="s">
        <v>265</v>
      </c>
      <c r="F1223" s="325" t="s">
        <v>305</v>
      </c>
    </row>
    <row r="1224" spans="1:6" x14ac:dyDescent="0.2">
      <c r="A1224" s="325" t="s">
        <v>765</v>
      </c>
      <c r="B1224" s="325" t="s">
        <v>847</v>
      </c>
      <c r="C1224" s="325" t="s">
        <v>565</v>
      </c>
      <c r="D1224" s="325" t="s">
        <v>522</v>
      </c>
      <c r="E1224" s="325" t="s">
        <v>265</v>
      </c>
      <c r="F1224" s="325" t="s">
        <v>602</v>
      </c>
    </row>
    <row r="1225" spans="1:6" x14ac:dyDescent="0.2">
      <c r="A1225" s="325" t="s">
        <v>765</v>
      </c>
      <c r="B1225" s="325" t="s">
        <v>848</v>
      </c>
      <c r="C1225" s="325" t="s">
        <v>565</v>
      </c>
      <c r="D1225" s="325" t="s">
        <v>370</v>
      </c>
      <c r="E1225" s="325" t="s">
        <v>265</v>
      </c>
      <c r="F1225" s="325" t="s">
        <v>484</v>
      </c>
    </row>
    <row r="1226" spans="1:6" x14ac:dyDescent="0.2">
      <c r="A1226" s="325" t="s">
        <v>765</v>
      </c>
      <c r="B1226" s="325" t="s">
        <v>849</v>
      </c>
      <c r="C1226" s="325" t="s">
        <v>565</v>
      </c>
      <c r="D1226" s="325" t="s">
        <v>752</v>
      </c>
      <c r="E1226" s="325" t="s">
        <v>265</v>
      </c>
      <c r="F1226" s="325" t="s">
        <v>754</v>
      </c>
    </row>
    <row r="1227" spans="1:6" x14ac:dyDescent="0.2">
      <c r="A1227" s="325" t="s">
        <v>765</v>
      </c>
      <c r="B1227" s="325" t="s">
        <v>850</v>
      </c>
      <c r="C1227" s="325" t="s">
        <v>565</v>
      </c>
      <c r="D1227" s="325" t="s">
        <v>585</v>
      </c>
      <c r="E1227" s="325" t="s">
        <v>265</v>
      </c>
      <c r="F1227" s="325" t="s">
        <v>564</v>
      </c>
    </row>
    <row r="1228" spans="1:6" x14ac:dyDescent="0.2">
      <c r="A1228" s="325" t="s">
        <v>765</v>
      </c>
      <c r="B1228" s="325" t="s">
        <v>851</v>
      </c>
      <c r="C1228" s="325" t="s">
        <v>565</v>
      </c>
      <c r="D1228" s="325" t="s">
        <v>603</v>
      </c>
      <c r="E1228" s="325" t="s">
        <v>265</v>
      </c>
      <c r="F1228" s="325" t="s">
        <v>703</v>
      </c>
    </row>
    <row r="1229" spans="1:6" x14ac:dyDescent="0.2">
      <c r="A1229" s="325" t="s">
        <v>765</v>
      </c>
      <c r="B1229" s="325" t="s">
        <v>852</v>
      </c>
      <c r="C1229" s="325" t="s">
        <v>565</v>
      </c>
      <c r="D1229" s="325" t="s">
        <v>604</v>
      </c>
      <c r="E1229" s="325" t="s">
        <v>265</v>
      </c>
      <c r="F1229" s="325" t="s">
        <v>702</v>
      </c>
    </row>
    <row r="1230" spans="1:6" x14ac:dyDescent="0.2">
      <c r="A1230" s="325" t="s">
        <v>765</v>
      </c>
      <c r="B1230" s="325" t="s">
        <v>853</v>
      </c>
      <c r="C1230" s="325" t="s">
        <v>565</v>
      </c>
      <c r="D1230" s="325" t="s">
        <v>565</v>
      </c>
      <c r="E1230" s="325" t="s">
        <v>265</v>
      </c>
      <c r="F1230" s="325" t="s">
        <v>306</v>
      </c>
    </row>
    <row r="1231" spans="1:6" x14ac:dyDescent="0.2">
      <c r="A1231" s="325" t="s">
        <v>765</v>
      </c>
      <c r="B1231" s="325" t="s">
        <v>854</v>
      </c>
      <c r="C1231" s="325" t="s">
        <v>565</v>
      </c>
      <c r="D1231" s="325" t="s">
        <v>354</v>
      </c>
      <c r="E1231" s="325" t="s">
        <v>265</v>
      </c>
      <c r="F1231" s="325" t="s">
        <v>390</v>
      </c>
    </row>
    <row r="1232" spans="1:6" x14ac:dyDescent="0.2">
      <c r="A1232" s="325" t="s">
        <v>765</v>
      </c>
      <c r="B1232" s="325" t="s">
        <v>855</v>
      </c>
      <c r="C1232" s="325" t="s">
        <v>565</v>
      </c>
      <c r="D1232" s="325" t="s">
        <v>93</v>
      </c>
      <c r="E1232" s="325" t="s">
        <v>265</v>
      </c>
      <c r="F1232" s="325" t="s">
        <v>170</v>
      </c>
    </row>
    <row r="1233" spans="1:6" x14ac:dyDescent="0.2">
      <c r="A1233" s="325" t="s">
        <v>765</v>
      </c>
      <c r="B1233" s="325" t="s">
        <v>856</v>
      </c>
      <c r="C1233" s="325" t="s">
        <v>565</v>
      </c>
      <c r="D1233" s="325" t="s">
        <v>198</v>
      </c>
      <c r="E1233" s="325" t="s">
        <v>265</v>
      </c>
      <c r="F1233" s="325" t="s">
        <v>139</v>
      </c>
    </row>
    <row r="1234" spans="1:6" x14ac:dyDescent="0.2">
      <c r="A1234" s="325" t="s">
        <v>765</v>
      </c>
      <c r="B1234" s="325" t="s">
        <v>857</v>
      </c>
      <c r="C1234" s="325" t="s">
        <v>565</v>
      </c>
      <c r="D1234" s="325" t="s">
        <v>249</v>
      </c>
      <c r="E1234" s="325" t="s">
        <v>442</v>
      </c>
      <c r="F1234" s="325" t="s">
        <v>27</v>
      </c>
    </row>
    <row r="1235" spans="1:6" x14ac:dyDescent="0.2">
      <c r="A1235" s="325" t="s">
        <v>765</v>
      </c>
      <c r="B1235" s="325" t="s">
        <v>858</v>
      </c>
      <c r="C1235" s="325" t="s">
        <v>565</v>
      </c>
      <c r="D1235" s="325" t="s">
        <v>152</v>
      </c>
      <c r="E1235" s="325" t="s">
        <v>265</v>
      </c>
      <c r="F1235" s="325" t="s">
        <v>555</v>
      </c>
    </row>
    <row r="1236" spans="1:6" x14ac:dyDescent="0.2">
      <c r="A1236" s="325" t="s">
        <v>765</v>
      </c>
      <c r="B1236" s="325" t="s">
        <v>859</v>
      </c>
      <c r="C1236" s="325" t="s">
        <v>565</v>
      </c>
      <c r="D1236" s="325" t="s">
        <v>547</v>
      </c>
      <c r="E1236" s="325" t="s">
        <v>265</v>
      </c>
      <c r="F1236" s="325" t="s">
        <v>374</v>
      </c>
    </row>
    <row r="1237" spans="1:6" x14ac:dyDescent="0.2">
      <c r="A1237" s="325" t="s">
        <v>765</v>
      </c>
      <c r="B1237" s="325" t="s">
        <v>860</v>
      </c>
      <c r="C1237" s="325" t="s">
        <v>565</v>
      </c>
      <c r="D1237" s="325" t="s">
        <v>490</v>
      </c>
      <c r="E1237" s="325" t="s">
        <v>265</v>
      </c>
      <c r="F1237" s="325" t="s">
        <v>177</v>
      </c>
    </row>
    <row r="1238" spans="1:6" x14ac:dyDescent="0.2">
      <c r="A1238" s="325" t="s">
        <v>765</v>
      </c>
      <c r="B1238" s="325" t="s">
        <v>861</v>
      </c>
      <c r="C1238" s="325" t="s">
        <v>565</v>
      </c>
      <c r="D1238" s="325" t="s">
        <v>209</v>
      </c>
      <c r="E1238" s="325" t="s">
        <v>265</v>
      </c>
      <c r="F1238" s="325" t="s">
        <v>41</v>
      </c>
    </row>
    <row r="1239" spans="1:6" x14ac:dyDescent="0.2">
      <c r="A1239" s="325" t="s">
        <v>765</v>
      </c>
      <c r="B1239" s="325" t="s">
        <v>862</v>
      </c>
      <c r="C1239" s="325" t="s">
        <v>565</v>
      </c>
      <c r="D1239" s="325" t="s">
        <v>163</v>
      </c>
      <c r="E1239" s="325" t="s">
        <v>265</v>
      </c>
      <c r="F1239" s="325" t="s">
        <v>98</v>
      </c>
    </row>
    <row r="1240" spans="1:6" x14ac:dyDescent="0.2">
      <c r="A1240" s="325" t="s">
        <v>765</v>
      </c>
      <c r="B1240" s="325" t="s">
        <v>863</v>
      </c>
      <c r="C1240" s="325" t="s">
        <v>565</v>
      </c>
      <c r="D1240" s="325" t="s">
        <v>200</v>
      </c>
      <c r="E1240" s="325" t="s">
        <v>265</v>
      </c>
      <c r="F1240" s="325" t="s">
        <v>230</v>
      </c>
    </row>
    <row r="1241" spans="1:6" x14ac:dyDescent="0.2">
      <c r="A1241" s="325" t="s">
        <v>765</v>
      </c>
      <c r="B1241" s="325" t="s">
        <v>864</v>
      </c>
      <c r="C1241" s="325" t="s">
        <v>565</v>
      </c>
      <c r="D1241" s="325" t="s">
        <v>54</v>
      </c>
      <c r="E1241" s="325" t="s">
        <v>265</v>
      </c>
      <c r="F1241" s="325" t="s">
        <v>192</v>
      </c>
    </row>
    <row r="1242" spans="1:6" x14ac:dyDescent="0.2">
      <c r="A1242" s="325" t="s">
        <v>765</v>
      </c>
      <c r="B1242" s="325" t="s">
        <v>865</v>
      </c>
      <c r="C1242" s="325" t="s">
        <v>565</v>
      </c>
      <c r="D1242" s="325" t="s">
        <v>133</v>
      </c>
      <c r="E1242" s="325" t="s">
        <v>265</v>
      </c>
      <c r="F1242" s="325" t="s">
        <v>349</v>
      </c>
    </row>
    <row r="1243" spans="1:6" x14ac:dyDescent="0.2">
      <c r="A1243" s="325" t="s">
        <v>765</v>
      </c>
      <c r="B1243" s="325" t="s">
        <v>866</v>
      </c>
      <c r="C1243" s="325" t="s">
        <v>565</v>
      </c>
      <c r="D1243" s="325" t="s">
        <v>232</v>
      </c>
      <c r="E1243" s="325" t="s">
        <v>265</v>
      </c>
      <c r="F1243" s="325" t="s">
        <v>16</v>
      </c>
    </row>
    <row r="1244" spans="1:6" x14ac:dyDescent="0.2">
      <c r="A1244" s="325" t="s">
        <v>765</v>
      </c>
      <c r="B1244" s="325" t="s">
        <v>867</v>
      </c>
      <c r="C1244" s="325" t="s">
        <v>565</v>
      </c>
      <c r="D1244" s="325" t="s">
        <v>56</v>
      </c>
      <c r="E1244" s="325" t="s">
        <v>265</v>
      </c>
      <c r="F1244" s="325" t="s">
        <v>199</v>
      </c>
    </row>
    <row r="1245" spans="1:6" x14ac:dyDescent="0.2">
      <c r="A1245" s="325" t="s">
        <v>765</v>
      </c>
      <c r="B1245" s="325" t="s">
        <v>868</v>
      </c>
      <c r="C1245" s="325" t="s">
        <v>565</v>
      </c>
      <c r="D1245" s="325" t="s">
        <v>434</v>
      </c>
      <c r="E1245" s="325" t="s">
        <v>456</v>
      </c>
      <c r="F1245" s="325" t="s">
        <v>514</v>
      </c>
    </row>
    <row r="1246" spans="1:6" x14ac:dyDescent="0.2">
      <c r="A1246" s="325" t="s">
        <v>765</v>
      </c>
      <c r="B1246" s="325" t="s">
        <v>869</v>
      </c>
      <c r="C1246" s="325" t="s">
        <v>565</v>
      </c>
      <c r="D1246" s="325" t="s">
        <v>108</v>
      </c>
      <c r="E1246" s="325" t="s">
        <v>456</v>
      </c>
      <c r="F1246" s="325" t="s">
        <v>362</v>
      </c>
    </row>
    <row r="1247" spans="1:6" x14ac:dyDescent="0.2">
      <c r="A1247" s="325" t="s">
        <v>765</v>
      </c>
      <c r="B1247" s="325" t="s">
        <v>870</v>
      </c>
      <c r="C1247" s="325" t="s">
        <v>565</v>
      </c>
      <c r="D1247" s="325" t="s">
        <v>657</v>
      </c>
      <c r="E1247" s="325" t="s">
        <v>265</v>
      </c>
      <c r="F1247" s="325" t="s">
        <v>658</v>
      </c>
    </row>
    <row r="1248" spans="1:6" x14ac:dyDescent="0.2">
      <c r="A1248" s="325" t="s">
        <v>765</v>
      </c>
      <c r="B1248" s="325" t="s">
        <v>871</v>
      </c>
      <c r="C1248" s="325" t="s">
        <v>565</v>
      </c>
      <c r="D1248" s="325" t="s">
        <v>659</v>
      </c>
      <c r="E1248" s="325" t="s">
        <v>265</v>
      </c>
      <c r="F1248" s="325" t="s">
        <v>660</v>
      </c>
    </row>
    <row r="1249" spans="1:6" x14ac:dyDescent="0.2">
      <c r="A1249" s="325" t="s">
        <v>765</v>
      </c>
      <c r="B1249" s="325" t="s">
        <v>872</v>
      </c>
      <c r="C1249" s="325" t="s">
        <v>565</v>
      </c>
      <c r="D1249" s="325" t="s">
        <v>661</v>
      </c>
      <c r="E1249" s="325" t="s">
        <v>265</v>
      </c>
      <c r="F1249" s="325" t="s">
        <v>662</v>
      </c>
    </row>
    <row r="1250" spans="1:6" x14ac:dyDescent="0.2">
      <c r="A1250" s="325" t="s">
        <v>765</v>
      </c>
      <c r="B1250" s="325" t="s">
        <v>873</v>
      </c>
      <c r="C1250" s="325" t="s">
        <v>565</v>
      </c>
      <c r="D1250" s="325" t="s">
        <v>648</v>
      </c>
      <c r="E1250" s="325" t="s">
        <v>265</v>
      </c>
      <c r="F1250" s="325" t="s">
        <v>651</v>
      </c>
    </row>
    <row r="1251" spans="1:6" x14ac:dyDescent="0.2">
      <c r="A1251" s="325" t="s">
        <v>765</v>
      </c>
      <c r="B1251" s="325" t="s">
        <v>874</v>
      </c>
      <c r="C1251" s="325" t="s">
        <v>565</v>
      </c>
      <c r="D1251" s="325" t="s">
        <v>649</v>
      </c>
      <c r="E1251" s="325" t="s">
        <v>265</v>
      </c>
      <c r="F1251" s="325" t="s">
        <v>652</v>
      </c>
    </row>
    <row r="1252" spans="1:6" x14ac:dyDescent="0.2">
      <c r="A1252" s="325" t="s">
        <v>765</v>
      </c>
      <c r="B1252" s="325" t="s">
        <v>875</v>
      </c>
      <c r="C1252" s="325" t="s">
        <v>565</v>
      </c>
      <c r="D1252" s="325" t="s">
        <v>650</v>
      </c>
      <c r="E1252" s="325" t="s">
        <v>265</v>
      </c>
      <c r="F1252" s="325" t="s">
        <v>653</v>
      </c>
    </row>
    <row r="1253" spans="1:6" x14ac:dyDescent="0.2">
      <c r="A1253" s="325" t="s">
        <v>765</v>
      </c>
      <c r="B1253" s="325" t="s">
        <v>876</v>
      </c>
      <c r="C1253" s="325" t="s">
        <v>565</v>
      </c>
      <c r="D1253" s="325" t="s">
        <v>327</v>
      </c>
      <c r="E1253" s="325" t="s">
        <v>265</v>
      </c>
      <c r="F1253" s="325" t="s">
        <v>102</v>
      </c>
    </row>
    <row r="1254" spans="1:6" x14ac:dyDescent="0.2">
      <c r="A1254" s="325" t="s">
        <v>765</v>
      </c>
      <c r="B1254" s="325" t="s">
        <v>877</v>
      </c>
      <c r="C1254" s="325" t="s">
        <v>565</v>
      </c>
      <c r="D1254" s="325" t="s">
        <v>356</v>
      </c>
      <c r="E1254" s="325" t="s">
        <v>265</v>
      </c>
      <c r="F1254" s="325" t="s">
        <v>1011</v>
      </c>
    </row>
    <row r="1255" spans="1:6" x14ac:dyDescent="0.2">
      <c r="A1255" s="325" t="s">
        <v>765</v>
      </c>
      <c r="B1255" s="325" t="s">
        <v>878</v>
      </c>
      <c r="C1255" s="325" t="s">
        <v>565</v>
      </c>
      <c r="D1255" s="325" t="s">
        <v>513</v>
      </c>
      <c r="E1255" s="325" t="s">
        <v>456</v>
      </c>
      <c r="F1255" s="325" t="s">
        <v>264</v>
      </c>
    </row>
    <row r="1256" spans="1:6" x14ac:dyDescent="0.2">
      <c r="A1256" s="325" t="s">
        <v>765</v>
      </c>
      <c r="B1256" s="325" t="s">
        <v>879</v>
      </c>
      <c r="C1256" s="325" t="s">
        <v>565</v>
      </c>
      <c r="D1256" s="325" t="s">
        <v>554</v>
      </c>
      <c r="E1256" s="325" t="s">
        <v>456</v>
      </c>
      <c r="F1256" s="325" t="s">
        <v>229</v>
      </c>
    </row>
    <row r="1257" spans="1:6" x14ac:dyDescent="0.2">
      <c r="A1257" s="325" t="s">
        <v>765</v>
      </c>
      <c r="B1257" s="325" t="s">
        <v>880</v>
      </c>
      <c r="C1257" s="325" t="s">
        <v>565</v>
      </c>
      <c r="D1257" s="325" t="s">
        <v>409</v>
      </c>
      <c r="E1257" s="325" t="s">
        <v>456</v>
      </c>
      <c r="F1257" s="325" t="s">
        <v>336</v>
      </c>
    </row>
    <row r="1258" spans="1:6" x14ac:dyDescent="0.2">
      <c r="A1258" s="325" t="s">
        <v>765</v>
      </c>
      <c r="B1258" s="325" t="s">
        <v>881</v>
      </c>
      <c r="C1258" s="325" t="s">
        <v>565</v>
      </c>
      <c r="D1258" s="325" t="s">
        <v>72</v>
      </c>
      <c r="E1258" s="325" t="s">
        <v>265</v>
      </c>
      <c r="F1258" s="325" t="s">
        <v>451</v>
      </c>
    </row>
    <row r="1259" spans="1:6" x14ac:dyDescent="0.2">
      <c r="A1259" s="325" t="s">
        <v>765</v>
      </c>
      <c r="B1259" s="325" t="s">
        <v>882</v>
      </c>
      <c r="C1259" s="325" t="s">
        <v>565</v>
      </c>
      <c r="D1259" s="325" t="s">
        <v>35</v>
      </c>
      <c r="E1259" s="325" t="s">
        <v>265</v>
      </c>
      <c r="F1259" s="325" t="s">
        <v>414</v>
      </c>
    </row>
    <row r="1260" spans="1:6" x14ac:dyDescent="0.2">
      <c r="A1260" s="325" t="s">
        <v>765</v>
      </c>
      <c r="B1260" s="325" t="s">
        <v>883</v>
      </c>
      <c r="C1260" s="325" t="s">
        <v>565</v>
      </c>
      <c r="D1260" s="325" t="s">
        <v>453</v>
      </c>
      <c r="E1260" s="325" t="s">
        <v>456</v>
      </c>
      <c r="F1260" s="325" t="s">
        <v>62</v>
      </c>
    </row>
    <row r="1261" spans="1:6" x14ac:dyDescent="0.2">
      <c r="A1261" s="325" t="s">
        <v>765</v>
      </c>
      <c r="B1261" s="325" t="s">
        <v>884</v>
      </c>
      <c r="C1261" s="325" t="s">
        <v>565</v>
      </c>
      <c r="D1261" s="325" t="s">
        <v>84</v>
      </c>
      <c r="E1261" s="325" t="s">
        <v>456</v>
      </c>
      <c r="F1261" s="325" t="s">
        <v>148</v>
      </c>
    </row>
    <row r="1262" spans="1:6" x14ac:dyDescent="0.2">
      <c r="A1262" s="325" t="s">
        <v>765</v>
      </c>
      <c r="B1262" s="325" t="s">
        <v>885</v>
      </c>
      <c r="C1262" s="325" t="s">
        <v>565</v>
      </c>
      <c r="D1262" s="325" t="s">
        <v>534</v>
      </c>
      <c r="E1262" s="325" t="s">
        <v>456</v>
      </c>
      <c r="F1262" s="325" t="s">
        <v>8</v>
      </c>
    </row>
    <row r="1263" spans="1:6" x14ac:dyDescent="0.2">
      <c r="A1263" s="325" t="s">
        <v>765</v>
      </c>
      <c r="B1263" s="325" t="s">
        <v>886</v>
      </c>
      <c r="C1263" s="325" t="s">
        <v>565</v>
      </c>
      <c r="D1263" s="325" t="s">
        <v>583</v>
      </c>
      <c r="E1263" s="325" t="s">
        <v>456</v>
      </c>
      <c r="F1263" s="325" t="s">
        <v>475</v>
      </c>
    </row>
    <row r="1264" spans="1:6" x14ac:dyDescent="0.2">
      <c r="A1264" s="325" t="s">
        <v>765</v>
      </c>
      <c r="B1264" s="325" t="s">
        <v>887</v>
      </c>
      <c r="C1264" s="325" t="s">
        <v>565</v>
      </c>
      <c r="D1264" s="325" t="s">
        <v>481</v>
      </c>
      <c r="E1264" s="325" t="s">
        <v>456</v>
      </c>
      <c r="F1264" s="325" t="s">
        <v>245</v>
      </c>
    </row>
    <row r="1265" spans="1:6" x14ac:dyDescent="0.2">
      <c r="A1265" s="325" t="s">
        <v>765</v>
      </c>
      <c r="B1265" s="325" t="s">
        <v>888</v>
      </c>
      <c r="C1265" s="325" t="s">
        <v>565</v>
      </c>
      <c r="D1265" s="325" t="s">
        <v>398</v>
      </c>
      <c r="E1265" s="325" t="s">
        <v>456</v>
      </c>
      <c r="F1265" s="325" t="s">
        <v>181</v>
      </c>
    </row>
    <row r="1266" spans="1:6" x14ac:dyDescent="0.2">
      <c r="A1266" s="325" t="s">
        <v>765</v>
      </c>
      <c r="B1266" s="325" t="s">
        <v>889</v>
      </c>
      <c r="C1266" s="325" t="s">
        <v>565</v>
      </c>
      <c r="D1266" s="325" t="s">
        <v>712</v>
      </c>
      <c r="E1266" s="325" t="s">
        <v>456</v>
      </c>
      <c r="F1266" s="325" t="s">
        <v>713</v>
      </c>
    </row>
    <row r="1267" spans="1:6" x14ac:dyDescent="0.2">
      <c r="A1267" s="325" t="s">
        <v>765</v>
      </c>
      <c r="B1267" s="325" t="s">
        <v>890</v>
      </c>
      <c r="C1267" s="325" t="s">
        <v>565</v>
      </c>
      <c r="D1267" s="325" t="s">
        <v>97</v>
      </c>
      <c r="E1267" s="325" t="s">
        <v>456</v>
      </c>
      <c r="F1267" s="325" t="s">
        <v>63</v>
      </c>
    </row>
    <row r="1268" spans="1:6" x14ac:dyDescent="0.2">
      <c r="A1268" s="325" t="s">
        <v>765</v>
      </c>
      <c r="B1268" s="325" t="s">
        <v>891</v>
      </c>
      <c r="C1268" s="325" t="s">
        <v>565</v>
      </c>
      <c r="D1268" s="325" t="s">
        <v>190</v>
      </c>
      <c r="E1268" s="325" t="s">
        <v>456</v>
      </c>
      <c r="F1268" s="325" t="s">
        <v>1012</v>
      </c>
    </row>
    <row r="1269" spans="1:6" x14ac:dyDescent="0.2">
      <c r="A1269" s="325" t="s">
        <v>765</v>
      </c>
      <c r="B1269" s="325" t="s">
        <v>892</v>
      </c>
      <c r="C1269" s="325" t="s">
        <v>565</v>
      </c>
      <c r="D1269" s="325" t="s">
        <v>699</v>
      </c>
      <c r="E1269" s="325" t="s">
        <v>265</v>
      </c>
      <c r="F1269" s="325" t="s">
        <v>994</v>
      </c>
    </row>
    <row r="1270" spans="1:6" x14ac:dyDescent="0.2">
      <c r="A1270" s="325" t="s">
        <v>765</v>
      </c>
      <c r="B1270" s="325" t="s">
        <v>893</v>
      </c>
      <c r="C1270" s="325" t="s">
        <v>565</v>
      </c>
      <c r="D1270" s="325" t="s">
        <v>380</v>
      </c>
      <c r="E1270" s="325" t="s">
        <v>456</v>
      </c>
      <c r="F1270" s="325" t="s">
        <v>74</v>
      </c>
    </row>
    <row r="1271" spans="1:6" x14ac:dyDescent="0.2">
      <c r="A1271" s="325" t="s">
        <v>765</v>
      </c>
      <c r="B1271" s="325" t="s">
        <v>894</v>
      </c>
      <c r="C1271" s="325" t="s">
        <v>565</v>
      </c>
      <c r="D1271" s="325" t="s">
        <v>579</v>
      </c>
      <c r="E1271" s="325" t="s">
        <v>456</v>
      </c>
      <c r="F1271" s="325" t="s">
        <v>236</v>
      </c>
    </row>
    <row r="1272" spans="1:6" x14ac:dyDescent="0.2">
      <c r="A1272" s="325" t="s">
        <v>765</v>
      </c>
      <c r="B1272" s="325" t="s">
        <v>895</v>
      </c>
      <c r="C1272" s="325" t="s">
        <v>565</v>
      </c>
      <c r="D1272" s="325" t="s">
        <v>155</v>
      </c>
      <c r="E1272" s="325" t="s">
        <v>456</v>
      </c>
      <c r="F1272" s="325" t="s">
        <v>74</v>
      </c>
    </row>
    <row r="1273" spans="1:6" x14ac:dyDescent="0.2">
      <c r="A1273" s="325" t="s">
        <v>765</v>
      </c>
      <c r="B1273" s="325" t="s">
        <v>896</v>
      </c>
      <c r="C1273" s="325" t="s">
        <v>565</v>
      </c>
      <c r="D1273" s="325" t="s">
        <v>581</v>
      </c>
      <c r="E1273" s="325" t="s">
        <v>456</v>
      </c>
      <c r="F1273" s="325" t="s">
        <v>236</v>
      </c>
    </row>
    <row r="1274" spans="1:6" x14ac:dyDescent="0.2">
      <c r="A1274" s="325" t="s">
        <v>765</v>
      </c>
      <c r="B1274" s="325" t="s">
        <v>897</v>
      </c>
      <c r="C1274" s="325" t="s">
        <v>565</v>
      </c>
      <c r="D1274" s="325" t="s">
        <v>357</v>
      </c>
      <c r="E1274" s="325" t="s">
        <v>456</v>
      </c>
      <c r="F1274" s="325" t="s">
        <v>342</v>
      </c>
    </row>
    <row r="1275" spans="1:6" x14ac:dyDescent="0.2">
      <c r="A1275" s="325" t="s">
        <v>765</v>
      </c>
      <c r="B1275" s="325" t="s">
        <v>898</v>
      </c>
      <c r="C1275" s="325" t="s">
        <v>565</v>
      </c>
      <c r="D1275" s="325" t="s">
        <v>171</v>
      </c>
      <c r="E1275" s="325" t="s">
        <v>456</v>
      </c>
      <c r="F1275" s="325" t="s">
        <v>559</v>
      </c>
    </row>
    <row r="1276" spans="1:6" x14ac:dyDescent="0.2">
      <c r="A1276" s="325" t="s">
        <v>765</v>
      </c>
      <c r="B1276" s="325" t="s">
        <v>899</v>
      </c>
      <c r="C1276" s="325" t="s">
        <v>565</v>
      </c>
      <c r="D1276" s="325" t="s">
        <v>424</v>
      </c>
      <c r="E1276" s="325" t="s">
        <v>456</v>
      </c>
      <c r="F1276" s="325" t="s">
        <v>256</v>
      </c>
    </row>
    <row r="1277" spans="1:6" x14ac:dyDescent="0.2">
      <c r="A1277" s="325" t="s">
        <v>765</v>
      </c>
      <c r="B1277" s="325" t="s">
        <v>901</v>
      </c>
      <c r="C1277" s="325" t="s">
        <v>565</v>
      </c>
      <c r="D1277" s="325" t="s">
        <v>21</v>
      </c>
      <c r="E1277" s="325" t="s">
        <v>265</v>
      </c>
      <c r="F1277" s="325" t="s">
        <v>47</v>
      </c>
    </row>
    <row r="1278" spans="1:6" x14ac:dyDescent="0.2">
      <c r="A1278" s="325" t="s">
        <v>765</v>
      </c>
      <c r="B1278" s="325" t="s">
        <v>902</v>
      </c>
      <c r="C1278" s="325" t="s">
        <v>565</v>
      </c>
      <c r="D1278" s="325" t="s">
        <v>323</v>
      </c>
      <c r="E1278" s="325" t="s">
        <v>265</v>
      </c>
      <c r="F1278" s="325" t="s">
        <v>20</v>
      </c>
    </row>
    <row r="1279" spans="1:6" x14ac:dyDescent="0.2">
      <c r="A1279" s="325" t="s">
        <v>765</v>
      </c>
      <c r="B1279" s="325" t="s">
        <v>903</v>
      </c>
      <c r="C1279" s="325" t="s">
        <v>565</v>
      </c>
      <c r="D1279" s="325" t="s">
        <v>447</v>
      </c>
      <c r="E1279" s="325" t="s">
        <v>265</v>
      </c>
      <c r="F1279" s="325" t="s">
        <v>741</v>
      </c>
    </row>
    <row r="1280" spans="1:6" x14ac:dyDescent="0.2">
      <c r="A1280" s="325" t="s">
        <v>765</v>
      </c>
      <c r="B1280" s="325" t="s">
        <v>904</v>
      </c>
      <c r="C1280" s="325" t="s">
        <v>565</v>
      </c>
      <c r="D1280" s="325" t="s">
        <v>742</v>
      </c>
      <c r="E1280" s="325" t="s">
        <v>456</v>
      </c>
      <c r="F1280" s="325" t="s">
        <v>743</v>
      </c>
    </row>
    <row r="1281" spans="1:6" x14ac:dyDescent="0.2">
      <c r="A1281" s="325" t="s">
        <v>765</v>
      </c>
      <c r="B1281" s="325" t="s">
        <v>905</v>
      </c>
      <c r="C1281" s="325" t="s">
        <v>565</v>
      </c>
      <c r="D1281" s="325" t="s">
        <v>85</v>
      </c>
      <c r="E1281" s="325" t="s">
        <v>456</v>
      </c>
      <c r="F1281" s="325" t="s">
        <v>995</v>
      </c>
    </row>
    <row r="1282" spans="1:6" x14ac:dyDescent="0.2">
      <c r="A1282" s="325" t="s">
        <v>765</v>
      </c>
      <c r="B1282" s="325" t="s">
        <v>906</v>
      </c>
      <c r="C1282" s="325" t="s">
        <v>565</v>
      </c>
      <c r="D1282" s="325" t="s">
        <v>679</v>
      </c>
      <c r="E1282" s="325" t="s">
        <v>265</v>
      </c>
      <c r="F1282" s="325" t="s">
        <v>682</v>
      </c>
    </row>
    <row r="1283" spans="1:6" x14ac:dyDescent="0.2">
      <c r="A1283" s="325" t="s">
        <v>765</v>
      </c>
      <c r="B1283" s="325" t="s">
        <v>907</v>
      </c>
      <c r="C1283" s="325" t="s">
        <v>565</v>
      </c>
      <c r="D1283" s="325" t="s">
        <v>45</v>
      </c>
      <c r="E1283" s="325" t="s">
        <v>456</v>
      </c>
      <c r="F1283" s="325" t="s">
        <v>165</v>
      </c>
    </row>
    <row r="1284" spans="1:6" x14ac:dyDescent="0.2">
      <c r="A1284" s="325" t="s">
        <v>765</v>
      </c>
      <c r="B1284" s="325" t="s">
        <v>908</v>
      </c>
      <c r="C1284" s="325" t="s">
        <v>565</v>
      </c>
      <c r="D1284" s="325" t="s">
        <v>151</v>
      </c>
      <c r="E1284" s="325" t="s">
        <v>456</v>
      </c>
      <c r="F1284" s="325" t="s">
        <v>535</v>
      </c>
    </row>
    <row r="1285" spans="1:6" x14ac:dyDescent="0.2">
      <c r="A1285" s="325" t="s">
        <v>765</v>
      </c>
      <c r="B1285" s="325" t="s">
        <v>909</v>
      </c>
      <c r="C1285" s="325" t="s">
        <v>565</v>
      </c>
      <c r="D1285" s="325" t="s">
        <v>433</v>
      </c>
      <c r="E1285" s="325" t="s">
        <v>456</v>
      </c>
      <c r="F1285" s="325" t="s">
        <v>311</v>
      </c>
    </row>
    <row r="1286" spans="1:6" x14ac:dyDescent="0.2">
      <c r="A1286" s="325" t="s">
        <v>765</v>
      </c>
      <c r="B1286" s="325" t="s">
        <v>910</v>
      </c>
      <c r="C1286" s="325" t="s">
        <v>565</v>
      </c>
      <c r="D1286" s="325" t="s">
        <v>395</v>
      </c>
      <c r="E1286" s="325" t="s">
        <v>456</v>
      </c>
      <c r="F1286" s="325" t="s">
        <v>588</v>
      </c>
    </row>
    <row r="1287" spans="1:6" x14ac:dyDescent="0.2">
      <c r="A1287" s="325" t="s">
        <v>765</v>
      </c>
      <c r="B1287" s="325" t="s">
        <v>911</v>
      </c>
      <c r="C1287" s="325" t="s">
        <v>565</v>
      </c>
      <c r="D1287" s="325" t="s">
        <v>499</v>
      </c>
      <c r="E1287" s="325" t="s">
        <v>456</v>
      </c>
      <c r="F1287" s="325" t="s">
        <v>314</v>
      </c>
    </row>
    <row r="1288" spans="1:6" x14ac:dyDescent="0.2">
      <c r="A1288" s="325" t="s">
        <v>765</v>
      </c>
      <c r="B1288" s="325" t="s">
        <v>912</v>
      </c>
      <c r="C1288" s="325" t="s">
        <v>565</v>
      </c>
      <c r="D1288" s="325" t="s">
        <v>65</v>
      </c>
      <c r="E1288" s="325" t="s">
        <v>456</v>
      </c>
      <c r="F1288" s="325" t="s">
        <v>33</v>
      </c>
    </row>
    <row r="1289" spans="1:6" x14ac:dyDescent="0.2">
      <c r="A1289" s="325" t="s">
        <v>765</v>
      </c>
      <c r="B1289" s="325" t="s">
        <v>913</v>
      </c>
      <c r="C1289" s="325" t="s">
        <v>565</v>
      </c>
      <c r="D1289" s="325" t="s">
        <v>267</v>
      </c>
      <c r="E1289" s="325" t="s">
        <v>456</v>
      </c>
      <c r="F1289" s="325" t="s">
        <v>22</v>
      </c>
    </row>
    <row r="1290" spans="1:6" x14ac:dyDescent="0.2">
      <c r="A1290" s="325" t="s">
        <v>765</v>
      </c>
      <c r="B1290" s="325" t="s">
        <v>914</v>
      </c>
      <c r="C1290" s="325" t="s">
        <v>565</v>
      </c>
      <c r="D1290" s="325" t="s">
        <v>13</v>
      </c>
      <c r="E1290" s="325" t="s">
        <v>456</v>
      </c>
      <c r="F1290" s="325" t="s">
        <v>222</v>
      </c>
    </row>
    <row r="1291" spans="1:6" x14ac:dyDescent="0.2">
      <c r="A1291" s="325" t="s">
        <v>765</v>
      </c>
      <c r="B1291" s="325" t="s">
        <v>915</v>
      </c>
      <c r="C1291" s="325" t="s">
        <v>565</v>
      </c>
      <c r="D1291" s="325" t="s">
        <v>463</v>
      </c>
      <c r="E1291" s="325" t="s">
        <v>456</v>
      </c>
      <c r="F1291" s="325" t="s">
        <v>536</v>
      </c>
    </row>
    <row r="1292" spans="1:6" x14ac:dyDescent="0.2">
      <c r="A1292" s="325" t="s">
        <v>765</v>
      </c>
      <c r="B1292" s="325" t="s">
        <v>916</v>
      </c>
      <c r="C1292" s="325" t="s">
        <v>565</v>
      </c>
      <c r="D1292" s="325" t="s">
        <v>11</v>
      </c>
      <c r="E1292" s="325" t="s">
        <v>456</v>
      </c>
      <c r="F1292" s="325" t="s">
        <v>573</v>
      </c>
    </row>
    <row r="1293" spans="1:6" x14ac:dyDescent="0.2">
      <c r="A1293" s="325" t="s">
        <v>765</v>
      </c>
      <c r="B1293" s="325" t="s">
        <v>917</v>
      </c>
      <c r="C1293" s="325" t="s">
        <v>565</v>
      </c>
      <c r="D1293" s="325" t="s">
        <v>577</v>
      </c>
      <c r="E1293" s="325" t="s">
        <v>456</v>
      </c>
      <c r="F1293" s="325" t="s">
        <v>343</v>
      </c>
    </row>
    <row r="1294" spans="1:6" x14ac:dyDescent="0.2">
      <c r="A1294" s="325" t="s">
        <v>765</v>
      </c>
      <c r="B1294" s="325" t="s">
        <v>918</v>
      </c>
      <c r="C1294" s="325" t="s">
        <v>565</v>
      </c>
      <c r="D1294" s="325" t="s">
        <v>113</v>
      </c>
      <c r="E1294" s="325" t="s">
        <v>456</v>
      </c>
      <c r="F1294" s="325" t="s">
        <v>219</v>
      </c>
    </row>
    <row r="1295" spans="1:6" x14ac:dyDescent="0.2">
      <c r="A1295" s="325" t="s">
        <v>765</v>
      </c>
      <c r="B1295" s="325" t="s">
        <v>919</v>
      </c>
      <c r="C1295" s="325" t="s">
        <v>565</v>
      </c>
      <c r="D1295" s="325" t="s">
        <v>294</v>
      </c>
      <c r="E1295" s="325" t="s">
        <v>456</v>
      </c>
      <c r="F1295" s="325" t="s">
        <v>498</v>
      </c>
    </row>
    <row r="1296" spans="1:6" x14ac:dyDescent="0.2">
      <c r="A1296" s="325" t="s">
        <v>765</v>
      </c>
      <c r="B1296" s="325" t="s">
        <v>920</v>
      </c>
      <c r="C1296" s="325" t="s">
        <v>565</v>
      </c>
      <c r="D1296" s="325" t="s">
        <v>131</v>
      </c>
      <c r="E1296" s="325" t="s">
        <v>456</v>
      </c>
      <c r="F1296" s="325" t="s">
        <v>407</v>
      </c>
    </row>
    <row r="1297" spans="1:6" x14ac:dyDescent="0.2">
      <c r="A1297" s="325" t="s">
        <v>765</v>
      </c>
      <c r="B1297" s="325" t="s">
        <v>921</v>
      </c>
      <c r="C1297" s="325" t="s">
        <v>565</v>
      </c>
      <c r="D1297" s="325" t="s">
        <v>450</v>
      </c>
      <c r="E1297" s="325" t="s">
        <v>456</v>
      </c>
      <c r="F1297" s="325" t="s">
        <v>416</v>
      </c>
    </row>
    <row r="1298" spans="1:6" x14ac:dyDescent="0.2">
      <c r="A1298" s="325" t="s">
        <v>765</v>
      </c>
      <c r="B1298" s="325" t="s">
        <v>922</v>
      </c>
      <c r="C1298" s="325" t="s">
        <v>565</v>
      </c>
      <c r="D1298" s="325" t="s">
        <v>437</v>
      </c>
      <c r="E1298" s="325" t="s">
        <v>456</v>
      </c>
      <c r="F1298" s="325" t="s">
        <v>455</v>
      </c>
    </row>
    <row r="1299" spans="1:6" x14ac:dyDescent="0.2">
      <c r="A1299" s="325" t="s">
        <v>765</v>
      </c>
      <c r="B1299" s="325" t="s">
        <v>923</v>
      </c>
      <c r="C1299" s="325" t="s">
        <v>565</v>
      </c>
      <c r="D1299" s="325" t="s">
        <v>14</v>
      </c>
      <c r="E1299" s="325" t="s">
        <v>456</v>
      </c>
      <c r="F1299" s="325" t="s">
        <v>430</v>
      </c>
    </row>
    <row r="1300" spans="1:6" x14ac:dyDescent="0.2">
      <c r="A1300" s="325" t="s">
        <v>765</v>
      </c>
      <c r="B1300" s="325" t="s">
        <v>924</v>
      </c>
      <c r="C1300" s="325" t="s">
        <v>565</v>
      </c>
      <c r="D1300" s="325" t="s">
        <v>172</v>
      </c>
      <c r="E1300" s="325" t="s">
        <v>456</v>
      </c>
      <c r="F1300" s="325" t="s">
        <v>89</v>
      </c>
    </row>
    <row r="1301" spans="1:6" x14ac:dyDescent="0.2">
      <c r="A1301" s="325" t="s">
        <v>765</v>
      </c>
      <c r="B1301" s="325" t="s">
        <v>925</v>
      </c>
      <c r="C1301" s="325" t="s">
        <v>565</v>
      </c>
      <c r="D1301" s="325" t="s">
        <v>670</v>
      </c>
      <c r="E1301" s="325" t="s">
        <v>265</v>
      </c>
      <c r="F1301" s="325" t="s">
        <v>689</v>
      </c>
    </row>
    <row r="1302" spans="1:6" x14ac:dyDescent="0.2">
      <c r="A1302" s="325" t="s">
        <v>765</v>
      </c>
      <c r="B1302" s="325" t="s">
        <v>926</v>
      </c>
      <c r="C1302" s="325" t="s">
        <v>565</v>
      </c>
      <c r="D1302" s="325" t="s">
        <v>250</v>
      </c>
      <c r="E1302" s="325" t="s">
        <v>265</v>
      </c>
      <c r="F1302" s="325" t="s">
        <v>589</v>
      </c>
    </row>
    <row r="1303" spans="1:6" x14ac:dyDescent="0.2">
      <c r="A1303" s="325" t="s">
        <v>765</v>
      </c>
      <c r="B1303" s="325" t="s">
        <v>927</v>
      </c>
      <c r="C1303" s="325" t="s">
        <v>565</v>
      </c>
      <c r="D1303" s="325" t="s">
        <v>663</v>
      </c>
      <c r="E1303" s="325" t="s">
        <v>456</v>
      </c>
      <c r="F1303" s="325" t="s">
        <v>468</v>
      </c>
    </row>
    <row r="1304" spans="1:6" x14ac:dyDescent="0.2">
      <c r="A1304" s="325" t="s">
        <v>765</v>
      </c>
      <c r="B1304" s="325" t="s">
        <v>928</v>
      </c>
      <c r="C1304" s="325" t="s">
        <v>565</v>
      </c>
      <c r="D1304" s="325" t="s">
        <v>711</v>
      </c>
      <c r="E1304" s="325" t="s">
        <v>456</v>
      </c>
      <c r="F1304" s="325" t="s">
        <v>1013</v>
      </c>
    </row>
    <row r="1305" spans="1:6" x14ac:dyDescent="0.2">
      <c r="A1305" s="325" t="s">
        <v>765</v>
      </c>
      <c r="B1305" s="325" t="s">
        <v>929</v>
      </c>
      <c r="C1305" s="325" t="s">
        <v>565</v>
      </c>
      <c r="D1305" s="325" t="s">
        <v>704</v>
      </c>
      <c r="E1305" s="325" t="s">
        <v>456</v>
      </c>
      <c r="F1305" s="325" t="s">
        <v>715</v>
      </c>
    </row>
    <row r="1306" spans="1:6" x14ac:dyDescent="0.2">
      <c r="A1306" s="325" t="s">
        <v>765</v>
      </c>
      <c r="B1306" s="325" t="s">
        <v>930</v>
      </c>
      <c r="C1306" s="325" t="s">
        <v>565</v>
      </c>
      <c r="D1306" s="325" t="s">
        <v>0</v>
      </c>
      <c r="E1306" s="325" t="s">
        <v>456</v>
      </c>
      <c r="F1306" s="325" t="s">
        <v>584</v>
      </c>
    </row>
    <row r="1307" spans="1:6" x14ac:dyDescent="0.2">
      <c r="A1307" s="325" t="s">
        <v>765</v>
      </c>
      <c r="B1307" s="325" t="s">
        <v>931</v>
      </c>
      <c r="C1307" s="325" t="s">
        <v>565</v>
      </c>
      <c r="D1307" s="325" t="s">
        <v>344</v>
      </c>
      <c r="E1307" s="325" t="s">
        <v>456</v>
      </c>
      <c r="F1307" s="325" t="s">
        <v>114</v>
      </c>
    </row>
    <row r="1308" spans="1:6" x14ac:dyDescent="0.2">
      <c r="A1308" s="325" t="s">
        <v>765</v>
      </c>
      <c r="B1308" s="325" t="s">
        <v>934</v>
      </c>
      <c r="C1308" s="325" t="s">
        <v>565</v>
      </c>
      <c r="D1308" s="325" t="s">
        <v>681</v>
      </c>
      <c r="E1308" s="325" t="s">
        <v>265</v>
      </c>
      <c r="F1308" s="325" t="s">
        <v>684</v>
      </c>
    </row>
    <row r="1309" spans="1:6" x14ac:dyDescent="0.2">
      <c r="A1309" s="325" t="s">
        <v>765</v>
      </c>
      <c r="B1309" s="325" t="s">
        <v>959</v>
      </c>
      <c r="C1309" s="325" t="s">
        <v>565</v>
      </c>
      <c r="D1309" s="325" t="s">
        <v>491</v>
      </c>
      <c r="E1309" s="325" t="s">
        <v>265</v>
      </c>
      <c r="F1309" s="325" t="s">
        <v>373</v>
      </c>
    </row>
    <row r="1310" spans="1:6" x14ac:dyDescent="0.2">
      <c r="A1310" s="325" t="s">
        <v>765</v>
      </c>
      <c r="B1310" s="325" t="s">
        <v>960</v>
      </c>
      <c r="C1310" s="325" t="s">
        <v>565</v>
      </c>
      <c r="D1310" s="325" t="s">
        <v>567</v>
      </c>
      <c r="E1310" s="325" t="s">
        <v>265</v>
      </c>
      <c r="F1310" s="325" t="s">
        <v>473</v>
      </c>
    </row>
    <row r="1311" spans="1:6" x14ac:dyDescent="0.2">
      <c r="A1311" s="325" t="s">
        <v>765</v>
      </c>
      <c r="B1311" s="325" t="s">
        <v>961</v>
      </c>
      <c r="C1311" s="325" t="s">
        <v>565</v>
      </c>
      <c r="D1311" s="325" t="s">
        <v>126</v>
      </c>
      <c r="E1311" s="325" t="s">
        <v>265</v>
      </c>
      <c r="F1311" s="325" t="s">
        <v>81</v>
      </c>
    </row>
    <row r="1312" spans="1:6" x14ac:dyDescent="0.2">
      <c r="A1312" s="325" t="s">
        <v>765</v>
      </c>
      <c r="B1312" s="325" t="s">
        <v>962</v>
      </c>
      <c r="C1312" s="325" t="s">
        <v>565</v>
      </c>
      <c r="D1312" s="325" t="s">
        <v>528</v>
      </c>
      <c r="E1312" s="325" t="s">
        <v>456</v>
      </c>
      <c r="F1312" s="325" t="s">
        <v>281</v>
      </c>
    </row>
    <row r="1313" spans="1:6" x14ac:dyDescent="0.2">
      <c r="A1313" s="325" t="s">
        <v>765</v>
      </c>
      <c r="B1313" s="325" t="s">
        <v>963</v>
      </c>
      <c r="C1313" s="325" t="s">
        <v>565</v>
      </c>
      <c r="D1313" s="325" t="s">
        <v>483</v>
      </c>
      <c r="E1313" s="325" t="s">
        <v>456</v>
      </c>
      <c r="F1313" s="325" t="s">
        <v>587</v>
      </c>
    </row>
    <row r="1314" spans="1:6" x14ac:dyDescent="0.2">
      <c r="A1314" s="325" t="s">
        <v>765</v>
      </c>
      <c r="B1314" s="325" t="s">
        <v>964</v>
      </c>
      <c r="C1314" s="325" t="s">
        <v>565</v>
      </c>
      <c r="D1314" s="325" t="s">
        <v>531</v>
      </c>
      <c r="E1314" s="325" t="s">
        <v>556</v>
      </c>
      <c r="F1314" s="325" t="s">
        <v>247</v>
      </c>
    </row>
    <row r="1315" spans="1:6" x14ac:dyDescent="0.2">
      <c r="A1315" s="325" t="s">
        <v>765</v>
      </c>
      <c r="B1315" s="325" t="s">
        <v>967</v>
      </c>
      <c r="C1315" s="325" t="s">
        <v>565</v>
      </c>
      <c r="D1315" s="325" t="s">
        <v>707</v>
      </c>
      <c r="E1315" s="325" t="s">
        <v>265</v>
      </c>
      <c r="F1315" s="325" t="s">
        <v>705</v>
      </c>
    </row>
    <row r="1316" spans="1:6" x14ac:dyDescent="0.2">
      <c r="A1316" s="325" t="s">
        <v>765</v>
      </c>
      <c r="B1316" s="325" t="s">
        <v>968</v>
      </c>
      <c r="C1316" s="325" t="s">
        <v>565</v>
      </c>
      <c r="D1316" s="325" t="s">
        <v>708</v>
      </c>
      <c r="E1316" s="325" t="s">
        <v>265</v>
      </c>
      <c r="F1316" s="325" t="s">
        <v>706</v>
      </c>
    </row>
    <row r="1317" spans="1:6" x14ac:dyDescent="0.2">
      <c r="A1317" s="325" t="s">
        <v>765</v>
      </c>
      <c r="B1317" s="325" t="s">
        <v>969</v>
      </c>
      <c r="C1317" s="325" t="s">
        <v>565</v>
      </c>
      <c r="D1317" s="325" t="s">
        <v>710</v>
      </c>
      <c r="E1317" s="325" t="s">
        <v>456</v>
      </c>
      <c r="F1317" s="325" t="s">
        <v>747</v>
      </c>
    </row>
    <row r="1318" spans="1:6" x14ac:dyDescent="0.2">
      <c r="A1318" s="325" t="s">
        <v>765</v>
      </c>
      <c r="B1318" s="325" t="s">
        <v>974</v>
      </c>
      <c r="C1318" s="325" t="s">
        <v>565</v>
      </c>
      <c r="D1318" s="325" t="s">
        <v>51</v>
      </c>
      <c r="E1318" s="325" t="s">
        <v>265</v>
      </c>
      <c r="F1318" s="325" t="s">
        <v>266</v>
      </c>
    </row>
    <row r="1319" spans="1:6" x14ac:dyDescent="0.2">
      <c r="A1319" s="325" t="s">
        <v>765</v>
      </c>
      <c r="B1319" s="325" t="s">
        <v>975</v>
      </c>
      <c r="C1319" s="325" t="s">
        <v>565</v>
      </c>
      <c r="D1319" s="325" t="s">
        <v>283</v>
      </c>
      <c r="E1319" s="325" t="s">
        <v>265</v>
      </c>
      <c r="F1319" s="325" t="s">
        <v>53</v>
      </c>
    </row>
    <row r="1320" spans="1:6" x14ac:dyDescent="0.2">
      <c r="A1320" s="325" t="s">
        <v>765</v>
      </c>
      <c r="B1320" s="325" t="s">
        <v>976</v>
      </c>
      <c r="C1320" s="325" t="s">
        <v>565</v>
      </c>
      <c r="D1320" s="325" t="s">
        <v>542</v>
      </c>
      <c r="E1320" s="325" t="s">
        <v>265</v>
      </c>
      <c r="F1320" s="325" t="s">
        <v>372</v>
      </c>
    </row>
    <row r="1321" spans="1:6" x14ac:dyDescent="0.2">
      <c r="A1321" s="325" t="s">
        <v>765</v>
      </c>
      <c r="B1321" s="325" t="s">
        <v>977</v>
      </c>
      <c r="C1321" s="325" t="s">
        <v>565</v>
      </c>
      <c r="D1321" s="325" t="s">
        <v>576</v>
      </c>
      <c r="E1321" s="325" t="s">
        <v>265</v>
      </c>
      <c r="F1321" s="325" t="s">
        <v>333</v>
      </c>
    </row>
    <row r="1322" spans="1:6" x14ac:dyDescent="0.2">
      <c r="A1322" s="325" t="s">
        <v>740</v>
      </c>
      <c r="B1322" s="325" t="s">
        <v>793</v>
      </c>
      <c r="C1322" s="325" t="s">
        <v>991</v>
      </c>
      <c r="D1322" s="325" t="s">
        <v>654</v>
      </c>
      <c r="E1322" s="325" t="s">
        <v>265</v>
      </c>
      <c r="F1322" s="325" t="s">
        <v>998</v>
      </c>
    </row>
    <row r="1323" spans="1:6" x14ac:dyDescent="0.2">
      <c r="A1323" s="325" t="s">
        <v>740</v>
      </c>
      <c r="B1323" s="325" t="s">
        <v>794</v>
      </c>
      <c r="C1323" s="325" t="s">
        <v>991</v>
      </c>
      <c r="D1323" s="325" t="s">
        <v>510</v>
      </c>
      <c r="E1323" s="325" t="s">
        <v>265</v>
      </c>
      <c r="F1323" s="325" t="s">
        <v>999</v>
      </c>
    </row>
    <row r="1324" spans="1:6" x14ac:dyDescent="0.2">
      <c r="A1324" s="325" t="s">
        <v>740</v>
      </c>
      <c r="B1324" s="325" t="s">
        <v>795</v>
      </c>
      <c r="C1324" s="325" t="s">
        <v>991</v>
      </c>
      <c r="D1324" s="325" t="s">
        <v>302</v>
      </c>
      <c r="E1324" s="325" t="s">
        <v>265</v>
      </c>
      <c r="F1324" s="325" t="s">
        <v>1000</v>
      </c>
    </row>
    <row r="1325" spans="1:6" x14ac:dyDescent="0.2">
      <c r="A1325" s="325" t="s">
        <v>740</v>
      </c>
      <c r="B1325" s="325" t="s">
        <v>796</v>
      </c>
      <c r="C1325" s="325" t="s">
        <v>991</v>
      </c>
      <c r="D1325" s="325" t="s">
        <v>400</v>
      </c>
      <c r="E1325" s="325" t="s">
        <v>265</v>
      </c>
      <c r="F1325" s="325" t="s">
        <v>1001</v>
      </c>
    </row>
    <row r="1326" spans="1:6" x14ac:dyDescent="0.2">
      <c r="A1326" s="325" t="s">
        <v>740</v>
      </c>
      <c r="B1326" s="325" t="s">
        <v>797</v>
      </c>
      <c r="C1326" s="325" t="s">
        <v>991</v>
      </c>
      <c r="D1326" s="325" t="s">
        <v>168</v>
      </c>
      <c r="E1326" s="325" t="s">
        <v>265</v>
      </c>
      <c r="F1326" s="325" t="s">
        <v>145</v>
      </c>
    </row>
    <row r="1327" spans="1:6" x14ac:dyDescent="0.2">
      <c r="A1327" s="325" t="s">
        <v>740</v>
      </c>
      <c r="B1327" s="325" t="s">
        <v>798</v>
      </c>
      <c r="C1327" s="325" t="s">
        <v>991</v>
      </c>
      <c r="D1327" s="325" t="s">
        <v>310</v>
      </c>
      <c r="E1327" s="325" t="s">
        <v>265</v>
      </c>
      <c r="F1327" s="325" t="s">
        <v>350</v>
      </c>
    </row>
    <row r="1328" spans="1:6" x14ac:dyDescent="0.2">
      <c r="A1328" s="325" t="s">
        <v>740</v>
      </c>
      <c r="B1328" s="325" t="s">
        <v>799</v>
      </c>
      <c r="C1328" s="325" t="s">
        <v>991</v>
      </c>
      <c r="D1328" s="325" t="s">
        <v>87</v>
      </c>
      <c r="E1328" s="325" t="s">
        <v>265</v>
      </c>
      <c r="F1328" s="325" t="s">
        <v>79</v>
      </c>
    </row>
    <row r="1329" spans="1:6" x14ac:dyDescent="0.2">
      <c r="A1329" s="325" t="s">
        <v>740</v>
      </c>
      <c r="B1329" s="325" t="s">
        <v>800</v>
      </c>
      <c r="C1329" s="325" t="s">
        <v>991</v>
      </c>
      <c r="D1329" s="325" t="s">
        <v>228</v>
      </c>
      <c r="E1329" s="325" t="s">
        <v>265</v>
      </c>
      <c r="F1329" s="325" t="s">
        <v>331</v>
      </c>
    </row>
    <row r="1330" spans="1:6" x14ac:dyDescent="0.2">
      <c r="A1330" s="325" t="s">
        <v>740</v>
      </c>
      <c r="B1330" s="325" t="s">
        <v>801</v>
      </c>
      <c r="C1330" s="325" t="s">
        <v>991</v>
      </c>
      <c r="D1330" s="325" t="s">
        <v>144</v>
      </c>
      <c r="E1330" s="325" t="s">
        <v>265</v>
      </c>
      <c r="F1330" s="325" t="s">
        <v>340</v>
      </c>
    </row>
    <row r="1331" spans="1:6" x14ac:dyDescent="0.2">
      <c r="A1331" s="325" t="s">
        <v>740</v>
      </c>
      <c r="B1331" s="325" t="s">
        <v>802</v>
      </c>
      <c r="C1331" s="325" t="s">
        <v>991</v>
      </c>
      <c r="D1331" s="325" t="s">
        <v>429</v>
      </c>
      <c r="E1331" s="325" t="s">
        <v>265</v>
      </c>
      <c r="F1331" s="325" t="s">
        <v>263</v>
      </c>
    </row>
    <row r="1332" spans="1:6" x14ac:dyDescent="0.2">
      <c r="A1332" s="325" t="s">
        <v>740</v>
      </c>
      <c r="B1332" s="325" t="s">
        <v>803</v>
      </c>
      <c r="C1332" s="325" t="s">
        <v>991</v>
      </c>
      <c r="D1332" s="325" t="s">
        <v>182</v>
      </c>
      <c r="E1332" s="325" t="s">
        <v>265</v>
      </c>
      <c r="F1332" s="325" t="s">
        <v>223</v>
      </c>
    </row>
    <row r="1333" spans="1:6" x14ac:dyDescent="0.2">
      <c r="A1333" s="325" t="s">
        <v>740</v>
      </c>
      <c r="B1333" s="325" t="s">
        <v>804</v>
      </c>
      <c r="C1333" s="325" t="s">
        <v>991</v>
      </c>
      <c r="D1333" s="325" t="s">
        <v>298</v>
      </c>
      <c r="E1333" s="325" t="s">
        <v>265</v>
      </c>
      <c r="F1333" s="325" t="s">
        <v>423</v>
      </c>
    </row>
    <row r="1334" spans="1:6" x14ac:dyDescent="0.2">
      <c r="A1334" s="325" t="s">
        <v>740</v>
      </c>
      <c r="B1334" s="325" t="s">
        <v>805</v>
      </c>
      <c r="C1334" s="325" t="s">
        <v>991</v>
      </c>
      <c r="D1334" s="325" t="s">
        <v>571</v>
      </c>
      <c r="E1334" s="325" t="s">
        <v>265</v>
      </c>
      <c r="F1334" s="325" t="s">
        <v>258</v>
      </c>
    </row>
    <row r="1335" spans="1:6" x14ac:dyDescent="0.2">
      <c r="A1335" s="325" t="s">
        <v>740</v>
      </c>
      <c r="B1335" s="325" t="s">
        <v>806</v>
      </c>
      <c r="C1335" s="325" t="s">
        <v>991</v>
      </c>
      <c r="D1335" s="325" t="s">
        <v>156</v>
      </c>
      <c r="E1335" s="325" t="s">
        <v>265</v>
      </c>
      <c r="F1335" s="325" t="s">
        <v>226</v>
      </c>
    </row>
    <row r="1336" spans="1:6" x14ac:dyDescent="0.2">
      <c r="A1336" s="325" t="s">
        <v>740</v>
      </c>
      <c r="B1336" s="325" t="s">
        <v>807</v>
      </c>
      <c r="C1336" s="325" t="s">
        <v>991</v>
      </c>
      <c r="D1336" s="325" t="s">
        <v>749</v>
      </c>
      <c r="E1336" s="325" t="s">
        <v>265</v>
      </c>
      <c r="F1336" s="325" t="s">
        <v>750</v>
      </c>
    </row>
    <row r="1337" spans="1:6" x14ac:dyDescent="0.2">
      <c r="A1337" s="325" t="s">
        <v>740</v>
      </c>
      <c r="B1337" s="325" t="s">
        <v>808</v>
      </c>
      <c r="C1337" s="325" t="s">
        <v>991</v>
      </c>
      <c r="D1337" s="325" t="s">
        <v>164</v>
      </c>
      <c r="E1337" s="325" t="s">
        <v>265</v>
      </c>
      <c r="F1337" s="325" t="s">
        <v>524</v>
      </c>
    </row>
    <row r="1338" spans="1:6" x14ac:dyDescent="0.2">
      <c r="A1338" s="325" t="s">
        <v>740</v>
      </c>
      <c r="B1338" s="325" t="s">
        <v>809</v>
      </c>
      <c r="C1338" s="325" t="s">
        <v>991</v>
      </c>
      <c r="D1338" s="325" t="s">
        <v>403</v>
      </c>
      <c r="E1338" s="325" t="s">
        <v>265</v>
      </c>
      <c r="F1338" s="325" t="s">
        <v>195</v>
      </c>
    </row>
    <row r="1339" spans="1:6" x14ac:dyDescent="0.2">
      <c r="A1339" s="325" t="s">
        <v>740</v>
      </c>
      <c r="B1339" s="325" t="s">
        <v>810</v>
      </c>
      <c r="C1339" s="325" t="s">
        <v>991</v>
      </c>
      <c r="D1339" s="325" t="s">
        <v>367</v>
      </c>
      <c r="E1339" s="325" t="s">
        <v>265</v>
      </c>
      <c r="F1339" s="325" t="s">
        <v>461</v>
      </c>
    </row>
    <row r="1340" spans="1:6" x14ac:dyDescent="0.2">
      <c r="A1340" s="325" t="s">
        <v>740</v>
      </c>
      <c r="B1340" s="325" t="s">
        <v>811</v>
      </c>
      <c r="C1340" s="325" t="s">
        <v>991</v>
      </c>
      <c r="D1340" s="325" t="s">
        <v>105</v>
      </c>
      <c r="E1340" s="325" t="s">
        <v>265</v>
      </c>
      <c r="F1340" s="325" t="s">
        <v>393</v>
      </c>
    </row>
    <row r="1341" spans="1:6" x14ac:dyDescent="0.2">
      <c r="A1341" s="325" t="s">
        <v>740</v>
      </c>
      <c r="B1341" s="325" t="s">
        <v>812</v>
      </c>
      <c r="C1341" s="325" t="s">
        <v>991</v>
      </c>
      <c r="D1341" s="325" t="s">
        <v>520</v>
      </c>
      <c r="E1341" s="325" t="s">
        <v>265</v>
      </c>
      <c r="F1341" s="325" t="s">
        <v>277</v>
      </c>
    </row>
    <row r="1342" spans="1:6" x14ac:dyDescent="0.2">
      <c r="A1342" s="325" t="s">
        <v>740</v>
      </c>
      <c r="B1342" s="325" t="s">
        <v>813</v>
      </c>
      <c r="C1342" s="325" t="s">
        <v>991</v>
      </c>
      <c r="D1342" s="325" t="s">
        <v>469</v>
      </c>
      <c r="E1342" s="325" t="s">
        <v>265</v>
      </c>
      <c r="F1342" s="325" t="s">
        <v>452</v>
      </c>
    </row>
    <row r="1343" spans="1:6" x14ac:dyDescent="0.2">
      <c r="A1343" s="325" t="s">
        <v>740</v>
      </c>
      <c r="B1343" s="325" t="s">
        <v>814</v>
      </c>
      <c r="C1343" s="325" t="s">
        <v>991</v>
      </c>
      <c r="D1343" s="325" t="s">
        <v>432</v>
      </c>
      <c r="E1343" s="325" t="s">
        <v>265</v>
      </c>
      <c r="F1343" s="325" t="s">
        <v>489</v>
      </c>
    </row>
    <row r="1344" spans="1:6" x14ac:dyDescent="0.2">
      <c r="A1344" s="325" t="s">
        <v>740</v>
      </c>
      <c r="B1344" s="325" t="s">
        <v>815</v>
      </c>
      <c r="C1344" s="325" t="s">
        <v>991</v>
      </c>
      <c r="D1344" s="325" t="s">
        <v>111</v>
      </c>
      <c r="E1344" s="325" t="s">
        <v>265</v>
      </c>
      <c r="F1344" s="325" t="s">
        <v>261</v>
      </c>
    </row>
    <row r="1345" spans="1:6" x14ac:dyDescent="0.2">
      <c r="A1345" s="325" t="s">
        <v>740</v>
      </c>
      <c r="B1345" s="325" t="s">
        <v>816</v>
      </c>
      <c r="C1345" s="325" t="s">
        <v>991</v>
      </c>
      <c r="D1345" s="325" t="s">
        <v>289</v>
      </c>
      <c r="E1345" s="325" t="s">
        <v>456</v>
      </c>
      <c r="F1345" s="325" t="s">
        <v>674</v>
      </c>
    </row>
    <row r="1346" spans="1:6" x14ac:dyDescent="0.2">
      <c r="A1346" s="325" t="s">
        <v>740</v>
      </c>
      <c r="B1346" s="325" t="s">
        <v>817</v>
      </c>
      <c r="C1346" s="325" t="s">
        <v>991</v>
      </c>
      <c r="D1346" s="325" t="s">
        <v>308</v>
      </c>
      <c r="E1346" s="325" t="s">
        <v>456</v>
      </c>
      <c r="F1346" s="325" t="s">
        <v>675</v>
      </c>
    </row>
    <row r="1347" spans="1:6" x14ac:dyDescent="0.2">
      <c r="A1347" s="325" t="s">
        <v>740</v>
      </c>
      <c r="B1347" s="325" t="s">
        <v>818</v>
      </c>
      <c r="C1347" s="325" t="s">
        <v>991</v>
      </c>
      <c r="D1347" s="325" t="s">
        <v>411</v>
      </c>
      <c r="E1347" s="325" t="s">
        <v>456</v>
      </c>
      <c r="F1347" s="325" t="s">
        <v>115</v>
      </c>
    </row>
    <row r="1348" spans="1:6" x14ac:dyDescent="0.2">
      <c r="A1348" s="325" t="s">
        <v>740</v>
      </c>
      <c r="B1348" s="325" t="s">
        <v>819</v>
      </c>
      <c r="C1348" s="325" t="s">
        <v>991</v>
      </c>
      <c r="D1348" s="325" t="s">
        <v>425</v>
      </c>
      <c r="E1348" s="325" t="s">
        <v>456</v>
      </c>
      <c r="F1348" s="325" t="s">
        <v>364</v>
      </c>
    </row>
    <row r="1349" spans="1:6" x14ac:dyDescent="0.2">
      <c r="A1349" s="325" t="s">
        <v>740</v>
      </c>
      <c r="B1349" s="325" t="s">
        <v>820</v>
      </c>
      <c r="C1349" s="325" t="s">
        <v>991</v>
      </c>
      <c r="D1349" s="325" t="s">
        <v>431</v>
      </c>
      <c r="E1349" s="325" t="s">
        <v>265</v>
      </c>
      <c r="F1349" s="325" t="s">
        <v>464</v>
      </c>
    </row>
    <row r="1350" spans="1:6" x14ac:dyDescent="0.2">
      <c r="A1350" s="325" t="s">
        <v>740</v>
      </c>
      <c r="B1350" s="325" t="s">
        <v>821</v>
      </c>
      <c r="C1350" s="325" t="s">
        <v>991</v>
      </c>
      <c r="D1350" s="325" t="s">
        <v>15</v>
      </c>
      <c r="E1350" s="325" t="s">
        <v>265</v>
      </c>
      <c r="F1350" s="325" t="s">
        <v>446</v>
      </c>
    </row>
    <row r="1351" spans="1:6" x14ac:dyDescent="0.2">
      <c r="A1351" s="325" t="s">
        <v>740</v>
      </c>
      <c r="B1351" s="325" t="s">
        <v>822</v>
      </c>
      <c r="C1351" s="325" t="s">
        <v>991</v>
      </c>
      <c r="D1351" s="325" t="s">
        <v>551</v>
      </c>
      <c r="E1351" s="325" t="s">
        <v>265</v>
      </c>
      <c r="F1351" s="325" t="s">
        <v>428</v>
      </c>
    </row>
    <row r="1352" spans="1:6" x14ac:dyDescent="0.2">
      <c r="A1352" s="325" t="s">
        <v>740</v>
      </c>
      <c r="B1352" s="325" t="s">
        <v>823</v>
      </c>
      <c r="C1352" s="325" t="s">
        <v>991</v>
      </c>
      <c r="D1352" s="325" t="s">
        <v>9</v>
      </c>
      <c r="E1352" s="325" t="s">
        <v>265</v>
      </c>
      <c r="F1352" s="325" t="s">
        <v>189</v>
      </c>
    </row>
    <row r="1353" spans="1:6" x14ac:dyDescent="0.2">
      <c r="A1353" s="325" t="s">
        <v>740</v>
      </c>
      <c r="B1353" s="325" t="s">
        <v>824</v>
      </c>
      <c r="C1353" s="325" t="s">
        <v>991</v>
      </c>
      <c r="D1353" s="325" t="s">
        <v>566</v>
      </c>
      <c r="E1353" s="325" t="s">
        <v>265</v>
      </c>
      <c r="F1353" s="325" t="s">
        <v>135</v>
      </c>
    </row>
    <row r="1354" spans="1:6" x14ac:dyDescent="0.2">
      <c r="A1354" s="325" t="s">
        <v>740</v>
      </c>
      <c r="B1354" s="325" t="s">
        <v>825</v>
      </c>
      <c r="C1354" s="325" t="s">
        <v>991</v>
      </c>
      <c r="D1354" s="325" t="s">
        <v>412</v>
      </c>
      <c r="E1354" s="325" t="s">
        <v>456</v>
      </c>
      <c r="F1354" s="325" t="s">
        <v>128</v>
      </c>
    </row>
    <row r="1355" spans="1:6" x14ac:dyDescent="0.2">
      <c r="A1355" s="325" t="s">
        <v>740</v>
      </c>
      <c r="B1355" s="325" t="s">
        <v>826</v>
      </c>
      <c r="C1355" s="325" t="s">
        <v>991</v>
      </c>
      <c r="D1355" s="325" t="s">
        <v>369</v>
      </c>
      <c r="E1355" s="325" t="s">
        <v>456</v>
      </c>
      <c r="F1355" s="325" t="s">
        <v>496</v>
      </c>
    </row>
    <row r="1356" spans="1:6" x14ac:dyDescent="0.2">
      <c r="A1356" s="325" t="s">
        <v>740</v>
      </c>
      <c r="B1356" s="325" t="s">
        <v>827</v>
      </c>
      <c r="C1356" s="325" t="s">
        <v>991</v>
      </c>
      <c r="D1356" s="325" t="s">
        <v>471</v>
      </c>
      <c r="E1356" s="325" t="s">
        <v>456</v>
      </c>
      <c r="F1356" s="325" t="s">
        <v>466</v>
      </c>
    </row>
    <row r="1357" spans="1:6" x14ac:dyDescent="0.2">
      <c r="A1357" s="325" t="s">
        <v>740</v>
      </c>
      <c r="B1357" s="325" t="s">
        <v>828</v>
      </c>
      <c r="C1357" s="325" t="s">
        <v>991</v>
      </c>
      <c r="D1357" s="325" t="s">
        <v>539</v>
      </c>
      <c r="E1357" s="325" t="s">
        <v>456</v>
      </c>
      <c r="F1357" s="325" t="s">
        <v>394</v>
      </c>
    </row>
    <row r="1358" spans="1:6" x14ac:dyDescent="0.2">
      <c r="A1358" s="325" t="s">
        <v>740</v>
      </c>
      <c r="B1358" s="325" t="s">
        <v>829</v>
      </c>
      <c r="C1358" s="325" t="s">
        <v>991</v>
      </c>
      <c r="D1358" s="325" t="s">
        <v>565</v>
      </c>
      <c r="E1358" s="325" t="s">
        <v>265</v>
      </c>
      <c r="F1358" s="325" t="s">
        <v>306</v>
      </c>
    </row>
    <row r="1359" spans="1:6" x14ac:dyDescent="0.2">
      <c r="A1359" s="325" t="s">
        <v>740</v>
      </c>
      <c r="B1359" s="325" t="s">
        <v>830</v>
      </c>
      <c r="C1359" s="325" t="s">
        <v>991</v>
      </c>
      <c r="D1359" s="325" t="s">
        <v>354</v>
      </c>
      <c r="E1359" s="325" t="s">
        <v>265</v>
      </c>
      <c r="F1359" s="325" t="s">
        <v>725</v>
      </c>
    </row>
    <row r="1360" spans="1:6" x14ac:dyDescent="0.2">
      <c r="A1360" s="325" t="s">
        <v>740</v>
      </c>
      <c r="B1360" s="325" t="s">
        <v>831</v>
      </c>
      <c r="C1360" s="325" t="s">
        <v>991</v>
      </c>
      <c r="D1360" s="325" t="s">
        <v>717</v>
      </c>
      <c r="E1360" s="325" t="s">
        <v>265</v>
      </c>
      <c r="F1360" s="325" t="s">
        <v>726</v>
      </c>
    </row>
    <row r="1361" spans="1:6" x14ac:dyDescent="0.2">
      <c r="A1361" s="325" t="s">
        <v>740</v>
      </c>
      <c r="B1361" s="325" t="s">
        <v>832</v>
      </c>
      <c r="C1361" s="325" t="s">
        <v>991</v>
      </c>
      <c r="D1361" s="325" t="s">
        <v>718</v>
      </c>
      <c r="E1361" s="325" t="s">
        <v>265</v>
      </c>
      <c r="F1361" s="325" t="s">
        <v>727</v>
      </c>
    </row>
    <row r="1362" spans="1:6" x14ac:dyDescent="0.2">
      <c r="A1362" s="325" t="s">
        <v>740</v>
      </c>
      <c r="B1362" s="325" t="s">
        <v>833</v>
      </c>
      <c r="C1362" s="325" t="s">
        <v>991</v>
      </c>
      <c r="D1362" s="325" t="s">
        <v>719</v>
      </c>
      <c r="E1362" s="325" t="s">
        <v>265</v>
      </c>
      <c r="F1362" s="325" t="s">
        <v>728</v>
      </c>
    </row>
    <row r="1363" spans="1:6" x14ac:dyDescent="0.2">
      <c r="A1363" s="325" t="s">
        <v>740</v>
      </c>
      <c r="B1363" s="325" t="s">
        <v>834</v>
      </c>
      <c r="C1363" s="325" t="s">
        <v>991</v>
      </c>
      <c r="D1363" s="325" t="s">
        <v>133</v>
      </c>
      <c r="E1363" s="325" t="s">
        <v>456</v>
      </c>
      <c r="F1363" s="325" t="s">
        <v>729</v>
      </c>
    </row>
    <row r="1364" spans="1:6" x14ac:dyDescent="0.2">
      <c r="A1364" s="325" t="s">
        <v>740</v>
      </c>
      <c r="B1364" s="325" t="s">
        <v>835</v>
      </c>
      <c r="C1364" s="325" t="s">
        <v>991</v>
      </c>
      <c r="D1364" s="325" t="s">
        <v>232</v>
      </c>
      <c r="E1364" s="325" t="s">
        <v>456</v>
      </c>
      <c r="F1364" s="325" t="s">
        <v>730</v>
      </c>
    </row>
    <row r="1365" spans="1:6" x14ac:dyDescent="0.2">
      <c r="A1365" s="325" t="s">
        <v>740</v>
      </c>
      <c r="B1365" s="325" t="s">
        <v>836</v>
      </c>
      <c r="C1365" s="325" t="s">
        <v>991</v>
      </c>
      <c r="D1365" s="325" t="s">
        <v>56</v>
      </c>
      <c r="E1365" s="325" t="s">
        <v>456</v>
      </c>
      <c r="F1365" s="325" t="s">
        <v>731</v>
      </c>
    </row>
    <row r="1366" spans="1:6" x14ac:dyDescent="0.2">
      <c r="A1366" s="325" t="s">
        <v>740</v>
      </c>
      <c r="B1366" s="325" t="s">
        <v>837</v>
      </c>
      <c r="C1366" s="325" t="s">
        <v>991</v>
      </c>
      <c r="D1366" s="325" t="s">
        <v>162</v>
      </c>
      <c r="E1366" s="325" t="s">
        <v>456</v>
      </c>
      <c r="F1366" s="325" t="s">
        <v>1</v>
      </c>
    </row>
    <row r="1367" spans="1:6" x14ac:dyDescent="0.2">
      <c r="A1367" s="325" t="s">
        <v>740</v>
      </c>
      <c r="B1367" s="325" t="s">
        <v>838</v>
      </c>
      <c r="C1367" s="325" t="s">
        <v>991</v>
      </c>
      <c r="D1367" s="325" t="s">
        <v>93</v>
      </c>
      <c r="E1367" s="325" t="s">
        <v>456</v>
      </c>
      <c r="F1367" s="325" t="s">
        <v>170</v>
      </c>
    </row>
    <row r="1368" spans="1:6" x14ac:dyDescent="0.2">
      <c r="A1368" s="325" t="s">
        <v>740</v>
      </c>
      <c r="B1368" s="325" t="s">
        <v>839</v>
      </c>
      <c r="C1368" s="325" t="s">
        <v>991</v>
      </c>
      <c r="D1368" s="325" t="s">
        <v>198</v>
      </c>
      <c r="E1368" s="325" t="s">
        <v>456</v>
      </c>
      <c r="F1368" s="325" t="s">
        <v>139</v>
      </c>
    </row>
    <row r="1369" spans="1:6" x14ac:dyDescent="0.2">
      <c r="A1369" s="325" t="s">
        <v>740</v>
      </c>
      <c r="B1369" s="325" t="s">
        <v>840</v>
      </c>
      <c r="C1369" s="325" t="s">
        <v>991</v>
      </c>
      <c r="D1369" s="325" t="s">
        <v>249</v>
      </c>
      <c r="E1369" s="325" t="s">
        <v>556</v>
      </c>
      <c r="F1369" s="325" t="s">
        <v>27</v>
      </c>
    </row>
    <row r="1370" spans="1:6" x14ac:dyDescent="0.2">
      <c r="A1370" s="325" t="s">
        <v>740</v>
      </c>
      <c r="B1370" s="325" t="s">
        <v>841</v>
      </c>
      <c r="C1370" s="325" t="s">
        <v>991</v>
      </c>
      <c r="D1370" s="325" t="s">
        <v>152</v>
      </c>
      <c r="E1370" s="325" t="s">
        <v>456</v>
      </c>
      <c r="F1370" s="325" t="s">
        <v>555</v>
      </c>
    </row>
    <row r="1371" spans="1:6" x14ac:dyDescent="0.2">
      <c r="A1371" s="325" t="s">
        <v>740</v>
      </c>
      <c r="B1371" s="325" t="s">
        <v>842</v>
      </c>
      <c r="C1371" s="325" t="s">
        <v>991</v>
      </c>
      <c r="D1371" s="325" t="s">
        <v>513</v>
      </c>
      <c r="E1371" s="325" t="s">
        <v>556</v>
      </c>
      <c r="F1371" s="325" t="s">
        <v>264</v>
      </c>
    </row>
    <row r="1372" spans="1:6" x14ac:dyDescent="0.2">
      <c r="A1372" s="325" t="s">
        <v>740</v>
      </c>
      <c r="B1372" s="325" t="s">
        <v>843</v>
      </c>
      <c r="C1372" s="325" t="s">
        <v>991</v>
      </c>
      <c r="D1372" s="325" t="s">
        <v>554</v>
      </c>
      <c r="E1372" s="325" t="s">
        <v>456</v>
      </c>
      <c r="F1372" s="325" t="s">
        <v>229</v>
      </c>
    </row>
    <row r="1373" spans="1:6" x14ac:dyDescent="0.2">
      <c r="A1373" s="325" t="s">
        <v>740</v>
      </c>
      <c r="B1373" s="325" t="s">
        <v>844</v>
      </c>
      <c r="C1373" s="325" t="s">
        <v>991</v>
      </c>
      <c r="D1373" s="325" t="s">
        <v>409</v>
      </c>
      <c r="E1373" s="325" t="s">
        <v>456</v>
      </c>
      <c r="F1373" s="325" t="s">
        <v>336</v>
      </c>
    </row>
    <row r="1374" spans="1:6" x14ac:dyDescent="0.2">
      <c r="A1374" s="325" t="s">
        <v>740</v>
      </c>
      <c r="B1374" s="325" t="s">
        <v>845</v>
      </c>
      <c r="C1374" s="325" t="s">
        <v>991</v>
      </c>
      <c r="D1374" s="325" t="s">
        <v>72</v>
      </c>
      <c r="E1374" s="325" t="s">
        <v>456</v>
      </c>
      <c r="F1374" s="325" t="s">
        <v>451</v>
      </c>
    </row>
    <row r="1375" spans="1:6" x14ac:dyDescent="0.2">
      <c r="A1375" s="325" t="s">
        <v>740</v>
      </c>
      <c r="B1375" s="325" t="s">
        <v>846</v>
      </c>
      <c r="C1375" s="325" t="s">
        <v>991</v>
      </c>
      <c r="D1375" s="325" t="s">
        <v>35</v>
      </c>
      <c r="E1375" s="325" t="s">
        <v>456</v>
      </c>
      <c r="F1375" s="325" t="s">
        <v>414</v>
      </c>
    </row>
    <row r="1376" spans="1:6" x14ac:dyDescent="0.2">
      <c r="A1376" s="325" t="s">
        <v>740</v>
      </c>
      <c r="B1376" s="325" t="s">
        <v>847</v>
      </c>
      <c r="C1376" s="325" t="s">
        <v>991</v>
      </c>
      <c r="D1376" s="325" t="s">
        <v>670</v>
      </c>
      <c r="E1376" s="325" t="s">
        <v>265</v>
      </c>
      <c r="F1376" s="325" t="s">
        <v>732</v>
      </c>
    </row>
    <row r="1377" spans="1:6" x14ac:dyDescent="0.2">
      <c r="A1377" s="325" t="s">
        <v>740</v>
      </c>
      <c r="B1377" s="325" t="s">
        <v>848</v>
      </c>
      <c r="C1377" s="325" t="s">
        <v>991</v>
      </c>
      <c r="D1377" s="325" t="s">
        <v>353</v>
      </c>
      <c r="E1377" s="325" t="s">
        <v>456</v>
      </c>
      <c r="F1377" s="325" t="s">
        <v>559</v>
      </c>
    </row>
    <row r="1378" spans="1:6" x14ac:dyDescent="0.2">
      <c r="A1378" s="325" t="s">
        <v>740</v>
      </c>
      <c r="B1378" s="325" t="s">
        <v>849</v>
      </c>
      <c r="C1378" s="325" t="s">
        <v>991</v>
      </c>
      <c r="D1378" s="325" t="s">
        <v>366</v>
      </c>
      <c r="E1378" s="325" t="s">
        <v>456</v>
      </c>
      <c r="F1378" s="325" t="s">
        <v>256</v>
      </c>
    </row>
    <row r="1379" spans="1:6" x14ac:dyDescent="0.2">
      <c r="A1379" s="325" t="s">
        <v>740</v>
      </c>
      <c r="B1379" s="325" t="s">
        <v>850</v>
      </c>
      <c r="C1379" s="325" t="s">
        <v>991</v>
      </c>
      <c r="D1379" s="325" t="s">
        <v>678</v>
      </c>
      <c r="E1379" s="325" t="s">
        <v>456</v>
      </c>
      <c r="F1379" s="325" t="s">
        <v>212</v>
      </c>
    </row>
    <row r="1380" spans="1:6" x14ac:dyDescent="0.2">
      <c r="A1380" s="325" t="s">
        <v>740</v>
      </c>
      <c r="B1380" s="325" t="s">
        <v>851</v>
      </c>
      <c r="C1380" s="325" t="s">
        <v>991</v>
      </c>
      <c r="D1380" s="325" t="s">
        <v>679</v>
      </c>
      <c r="E1380" s="325" t="s">
        <v>456</v>
      </c>
      <c r="F1380" s="325" t="s">
        <v>682</v>
      </c>
    </row>
    <row r="1381" spans="1:6" x14ac:dyDescent="0.2">
      <c r="A1381" s="325" t="s">
        <v>740</v>
      </c>
      <c r="B1381" s="325" t="s">
        <v>852</v>
      </c>
      <c r="C1381" s="325" t="s">
        <v>991</v>
      </c>
      <c r="D1381" s="325" t="s">
        <v>262</v>
      </c>
      <c r="E1381" s="325" t="s">
        <v>456</v>
      </c>
      <c r="F1381" s="325" t="s">
        <v>165</v>
      </c>
    </row>
    <row r="1382" spans="1:6" x14ac:dyDescent="0.2">
      <c r="A1382" s="325" t="s">
        <v>740</v>
      </c>
      <c r="B1382" s="325" t="s">
        <v>853</v>
      </c>
      <c r="C1382" s="325" t="s">
        <v>991</v>
      </c>
      <c r="D1382" s="325" t="s">
        <v>255</v>
      </c>
      <c r="E1382" s="325" t="s">
        <v>456</v>
      </c>
      <c r="F1382" s="325" t="s">
        <v>535</v>
      </c>
    </row>
    <row r="1383" spans="1:6" x14ac:dyDescent="0.2">
      <c r="A1383" s="325" t="s">
        <v>740</v>
      </c>
      <c r="B1383" s="325" t="s">
        <v>854</v>
      </c>
      <c r="C1383" s="325" t="s">
        <v>991</v>
      </c>
      <c r="D1383" s="325" t="s">
        <v>151</v>
      </c>
      <c r="E1383" s="325" t="s">
        <v>456</v>
      </c>
      <c r="F1383" s="325" t="s">
        <v>40</v>
      </c>
    </row>
    <row r="1384" spans="1:6" x14ac:dyDescent="0.2">
      <c r="A1384" s="325" t="s">
        <v>740</v>
      </c>
      <c r="B1384" s="325" t="s">
        <v>855</v>
      </c>
      <c r="C1384" s="325" t="s">
        <v>991</v>
      </c>
      <c r="D1384" s="325" t="s">
        <v>21</v>
      </c>
      <c r="E1384" s="325" t="s">
        <v>456</v>
      </c>
      <c r="F1384" s="325" t="s">
        <v>47</v>
      </c>
    </row>
    <row r="1385" spans="1:6" x14ac:dyDescent="0.2">
      <c r="A1385" s="325" t="s">
        <v>740</v>
      </c>
      <c r="B1385" s="325" t="s">
        <v>856</v>
      </c>
      <c r="C1385" s="325" t="s">
        <v>991</v>
      </c>
      <c r="D1385" s="325" t="s">
        <v>563</v>
      </c>
      <c r="E1385" s="325" t="s">
        <v>456</v>
      </c>
      <c r="F1385" s="325" t="s">
        <v>193</v>
      </c>
    </row>
    <row r="1386" spans="1:6" x14ac:dyDescent="0.2">
      <c r="A1386" s="325" t="s">
        <v>740</v>
      </c>
      <c r="B1386" s="325" t="s">
        <v>857</v>
      </c>
      <c r="C1386" s="325" t="s">
        <v>991</v>
      </c>
      <c r="D1386" s="325" t="s">
        <v>358</v>
      </c>
      <c r="E1386" s="325" t="s">
        <v>456</v>
      </c>
      <c r="F1386" s="325" t="s">
        <v>733</v>
      </c>
    </row>
    <row r="1387" spans="1:6" x14ac:dyDescent="0.2">
      <c r="A1387" s="325" t="s">
        <v>740</v>
      </c>
      <c r="B1387" s="325" t="s">
        <v>858</v>
      </c>
      <c r="C1387" s="325" t="s">
        <v>991</v>
      </c>
      <c r="D1387" s="325" t="s">
        <v>319</v>
      </c>
      <c r="E1387" s="325" t="s">
        <v>456</v>
      </c>
      <c r="F1387" s="325" t="s">
        <v>312</v>
      </c>
    </row>
    <row r="1388" spans="1:6" x14ac:dyDescent="0.2">
      <c r="A1388" s="325" t="s">
        <v>740</v>
      </c>
      <c r="B1388" s="325" t="s">
        <v>859</v>
      </c>
      <c r="C1388" s="325" t="s">
        <v>991</v>
      </c>
      <c r="D1388" s="325" t="s">
        <v>207</v>
      </c>
      <c r="E1388" s="325" t="s">
        <v>456</v>
      </c>
      <c r="F1388" s="325" t="s">
        <v>441</v>
      </c>
    </row>
    <row r="1389" spans="1:6" x14ac:dyDescent="0.2">
      <c r="A1389" s="325" t="s">
        <v>740</v>
      </c>
      <c r="B1389" s="325" t="s">
        <v>860</v>
      </c>
      <c r="C1389" s="325" t="s">
        <v>991</v>
      </c>
      <c r="D1389" s="325" t="s">
        <v>558</v>
      </c>
      <c r="E1389" s="325" t="s">
        <v>456</v>
      </c>
      <c r="F1389" s="325" t="s">
        <v>5</v>
      </c>
    </row>
    <row r="1390" spans="1:6" x14ac:dyDescent="0.2">
      <c r="A1390" s="325" t="s">
        <v>740</v>
      </c>
      <c r="B1390" s="325" t="s">
        <v>861</v>
      </c>
      <c r="C1390" s="325" t="s">
        <v>991</v>
      </c>
      <c r="D1390" s="325" t="s">
        <v>150</v>
      </c>
      <c r="E1390" s="325" t="s">
        <v>456</v>
      </c>
      <c r="F1390" s="325" t="s">
        <v>218</v>
      </c>
    </row>
    <row r="1391" spans="1:6" x14ac:dyDescent="0.2">
      <c r="A1391" s="325" t="s">
        <v>740</v>
      </c>
      <c r="B1391" s="325" t="s">
        <v>862</v>
      </c>
      <c r="C1391" s="325" t="s">
        <v>991</v>
      </c>
      <c r="D1391" s="325" t="s">
        <v>242</v>
      </c>
      <c r="E1391" s="325" t="s">
        <v>456</v>
      </c>
      <c r="F1391" s="325" t="s">
        <v>321</v>
      </c>
    </row>
    <row r="1392" spans="1:6" x14ac:dyDescent="0.2">
      <c r="A1392" s="325" t="s">
        <v>740</v>
      </c>
      <c r="B1392" s="325" t="s">
        <v>863</v>
      </c>
      <c r="C1392" s="325" t="s">
        <v>991</v>
      </c>
      <c r="D1392" s="325" t="s">
        <v>720</v>
      </c>
      <c r="E1392" s="325" t="s">
        <v>456</v>
      </c>
      <c r="F1392" s="325" t="s">
        <v>734</v>
      </c>
    </row>
    <row r="1393" spans="1:6" x14ac:dyDescent="0.2">
      <c r="A1393" s="325" t="s">
        <v>740</v>
      </c>
      <c r="B1393" s="325" t="s">
        <v>864</v>
      </c>
      <c r="C1393" s="325" t="s">
        <v>991</v>
      </c>
      <c r="D1393" s="325" t="s">
        <v>341</v>
      </c>
      <c r="E1393" s="325" t="s">
        <v>456</v>
      </c>
      <c r="F1393" s="325" t="s">
        <v>444</v>
      </c>
    </row>
    <row r="1394" spans="1:6" x14ac:dyDescent="0.2">
      <c r="A1394" s="325" t="s">
        <v>740</v>
      </c>
      <c r="B1394" s="325" t="s">
        <v>865</v>
      </c>
      <c r="C1394" s="325" t="s">
        <v>991</v>
      </c>
      <c r="D1394" s="325" t="s">
        <v>24</v>
      </c>
      <c r="E1394" s="325" t="s">
        <v>456</v>
      </c>
      <c r="F1394" s="325" t="s">
        <v>472</v>
      </c>
    </row>
    <row r="1395" spans="1:6" x14ac:dyDescent="0.2">
      <c r="A1395" s="325" t="s">
        <v>740</v>
      </c>
      <c r="B1395" s="325" t="s">
        <v>866</v>
      </c>
      <c r="C1395" s="325" t="s">
        <v>991</v>
      </c>
      <c r="D1395" s="325" t="s">
        <v>191</v>
      </c>
      <c r="E1395" s="325" t="s">
        <v>456</v>
      </c>
      <c r="F1395" s="325" t="s">
        <v>512</v>
      </c>
    </row>
    <row r="1396" spans="1:6" x14ac:dyDescent="0.2">
      <c r="A1396" s="325" t="s">
        <v>740</v>
      </c>
      <c r="B1396" s="325" t="s">
        <v>867</v>
      </c>
      <c r="C1396" s="325" t="s">
        <v>991</v>
      </c>
      <c r="D1396" s="325" t="s">
        <v>121</v>
      </c>
      <c r="E1396" s="325" t="s">
        <v>456</v>
      </c>
      <c r="F1396" s="325" t="s">
        <v>339</v>
      </c>
    </row>
    <row r="1397" spans="1:6" x14ac:dyDescent="0.2">
      <c r="A1397" s="325" t="s">
        <v>740</v>
      </c>
      <c r="B1397" s="325" t="s">
        <v>868</v>
      </c>
      <c r="C1397" s="325" t="s">
        <v>991</v>
      </c>
      <c r="D1397" s="325" t="s">
        <v>405</v>
      </c>
      <c r="E1397" s="325" t="s">
        <v>456</v>
      </c>
      <c r="F1397" s="325" t="s">
        <v>476</v>
      </c>
    </row>
    <row r="1398" spans="1:6" x14ac:dyDescent="0.2">
      <c r="A1398" s="325" t="s">
        <v>740</v>
      </c>
      <c r="B1398" s="325" t="s">
        <v>869</v>
      </c>
      <c r="C1398" s="325" t="s">
        <v>991</v>
      </c>
      <c r="D1398" s="325" t="s">
        <v>721</v>
      </c>
      <c r="E1398" s="325" t="s">
        <v>456</v>
      </c>
      <c r="F1398" s="325" t="s">
        <v>735</v>
      </c>
    </row>
    <row r="1399" spans="1:6" x14ac:dyDescent="0.2">
      <c r="A1399" s="325" t="s">
        <v>740</v>
      </c>
      <c r="B1399" s="325" t="s">
        <v>870</v>
      </c>
      <c r="C1399" s="325" t="s">
        <v>991</v>
      </c>
      <c r="D1399" s="325" t="s">
        <v>48</v>
      </c>
      <c r="E1399" s="325" t="s">
        <v>456</v>
      </c>
      <c r="F1399" s="325" t="s">
        <v>550</v>
      </c>
    </row>
    <row r="1400" spans="1:6" x14ac:dyDescent="0.2">
      <c r="A1400" s="325" t="s">
        <v>740</v>
      </c>
      <c r="B1400" s="325" t="s">
        <v>871</v>
      </c>
      <c r="C1400" s="325" t="s">
        <v>991</v>
      </c>
      <c r="D1400" s="325" t="s">
        <v>500</v>
      </c>
      <c r="E1400" s="325" t="s">
        <v>456</v>
      </c>
      <c r="F1400" s="325" t="s">
        <v>82</v>
      </c>
    </row>
    <row r="1401" spans="1:6" x14ac:dyDescent="0.2">
      <c r="A1401" s="325" t="s">
        <v>740</v>
      </c>
      <c r="B1401" s="325" t="s">
        <v>872</v>
      </c>
      <c r="C1401" s="325" t="s">
        <v>991</v>
      </c>
      <c r="D1401" s="325" t="s">
        <v>388</v>
      </c>
      <c r="E1401" s="325" t="s">
        <v>456</v>
      </c>
      <c r="F1401" s="325" t="s">
        <v>435</v>
      </c>
    </row>
    <row r="1402" spans="1:6" x14ac:dyDescent="0.2">
      <c r="A1402" s="325" t="s">
        <v>740</v>
      </c>
      <c r="B1402" s="325" t="s">
        <v>873</v>
      </c>
      <c r="C1402" s="325" t="s">
        <v>991</v>
      </c>
      <c r="D1402" s="325" t="s">
        <v>491</v>
      </c>
      <c r="E1402" s="325" t="s">
        <v>456</v>
      </c>
      <c r="F1402" s="325" t="s">
        <v>373</v>
      </c>
    </row>
    <row r="1403" spans="1:6" x14ac:dyDescent="0.2">
      <c r="A1403" s="325" t="s">
        <v>740</v>
      </c>
      <c r="B1403" s="325" t="s">
        <v>874</v>
      </c>
      <c r="C1403" s="325" t="s">
        <v>991</v>
      </c>
      <c r="D1403" s="325" t="s">
        <v>483</v>
      </c>
      <c r="E1403" s="325" t="s">
        <v>456</v>
      </c>
      <c r="F1403" s="325" t="s">
        <v>587</v>
      </c>
    </row>
    <row r="1404" spans="1:6" x14ac:dyDescent="0.2">
      <c r="A1404" s="325" t="s">
        <v>740</v>
      </c>
      <c r="B1404" s="325" t="s">
        <v>875</v>
      </c>
      <c r="C1404" s="325" t="s">
        <v>991</v>
      </c>
      <c r="D1404" s="325" t="s">
        <v>531</v>
      </c>
      <c r="E1404" s="325" t="s">
        <v>456</v>
      </c>
      <c r="F1404" s="325" t="s">
        <v>247</v>
      </c>
    </row>
    <row r="1405" spans="1:6" x14ac:dyDescent="0.2">
      <c r="A1405" s="325" t="s">
        <v>740</v>
      </c>
      <c r="B1405" s="325" t="s">
        <v>876</v>
      </c>
      <c r="C1405" s="325" t="s">
        <v>991</v>
      </c>
      <c r="D1405" s="325" t="s">
        <v>269</v>
      </c>
      <c r="E1405" s="325" t="s">
        <v>456</v>
      </c>
      <c r="F1405" s="325" t="s">
        <v>203</v>
      </c>
    </row>
    <row r="1406" spans="1:6" x14ac:dyDescent="0.2">
      <c r="A1406" s="325" t="s">
        <v>740</v>
      </c>
      <c r="B1406" s="325" t="s">
        <v>877</v>
      </c>
      <c r="C1406" s="325" t="s">
        <v>991</v>
      </c>
      <c r="D1406" s="325" t="s">
        <v>413</v>
      </c>
      <c r="E1406" s="325" t="s">
        <v>456</v>
      </c>
      <c r="F1406" s="325" t="s">
        <v>273</v>
      </c>
    </row>
    <row r="1407" spans="1:6" x14ac:dyDescent="0.2">
      <c r="A1407" s="325" t="s">
        <v>740</v>
      </c>
      <c r="B1407" s="325" t="s">
        <v>878</v>
      </c>
      <c r="C1407" s="325" t="s">
        <v>991</v>
      </c>
      <c r="D1407" s="325" t="s">
        <v>251</v>
      </c>
      <c r="E1407" s="325" t="s">
        <v>456</v>
      </c>
      <c r="F1407" s="325" t="s">
        <v>4</v>
      </c>
    </row>
    <row r="1408" spans="1:6" x14ac:dyDescent="0.2">
      <c r="A1408" s="325" t="s">
        <v>740</v>
      </c>
      <c r="B1408" s="325" t="s">
        <v>879</v>
      </c>
      <c r="C1408" s="325" t="s">
        <v>991</v>
      </c>
      <c r="D1408" s="325" t="s">
        <v>465</v>
      </c>
      <c r="E1408" s="325" t="s">
        <v>456</v>
      </c>
      <c r="F1408" s="325" t="s">
        <v>58</v>
      </c>
    </row>
    <row r="1409" spans="1:6" x14ac:dyDescent="0.2">
      <c r="A1409" s="325" t="s">
        <v>740</v>
      </c>
      <c r="B1409" s="325" t="s">
        <v>880</v>
      </c>
      <c r="C1409" s="325" t="s">
        <v>991</v>
      </c>
      <c r="D1409" s="325" t="s">
        <v>112</v>
      </c>
      <c r="E1409" s="325" t="s">
        <v>456</v>
      </c>
      <c r="F1409" s="325" t="s">
        <v>259</v>
      </c>
    </row>
    <row r="1410" spans="1:6" x14ac:dyDescent="0.2">
      <c r="A1410" s="325" t="s">
        <v>740</v>
      </c>
      <c r="B1410" s="325" t="s">
        <v>881</v>
      </c>
      <c r="C1410" s="325" t="s">
        <v>991</v>
      </c>
      <c r="D1410" s="325" t="s">
        <v>711</v>
      </c>
      <c r="E1410" s="325" t="s">
        <v>456</v>
      </c>
      <c r="F1410" s="325" t="s">
        <v>736</v>
      </c>
    </row>
    <row r="1411" spans="1:6" x14ac:dyDescent="0.2">
      <c r="A1411" s="325" t="s">
        <v>740</v>
      </c>
      <c r="B1411" s="325" t="s">
        <v>882</v>
      </c>
      <c r="C1411" s="325" t="s">
        <v>991</v>
      </c>
      <c r="D1411" s="325" t="s">
        <v>722</v>
      </c>
      <c r="E1411" s="325" t="s">
        <v>456</v>
      </c>
      <c r="F1411" s="325" t="s">
        <v>485</v>
      </c>
    </row>
    <row r="1412" spans="1:6" x14ac:dyDescent="0.2">
      <c r="A1412" s="325" t="s">
        <v>740</v>
      </c>
      <c r="B1412" s="325" t="s">
        <v>883</v>
      </c>
      <c r="C1412" s="325" t="s">
        <v>991</v>
      </c>
      <c r="D1412" s="325" t="s">
        <v>723</v>
      </c>
      <c r="E1412" s="325" t="s">
        <v>456</v>
      </c>
      <c r="F1412" s="325" t="s">
        <v>159</v>
      </c>
    </row>
    <row r="1413" spans="1:6" x14ac:dyDescent="0.2">
      <c r="A1413" s="325" t="s">
        <v>740</v>
      </c>
      <c r="B1413" s="325" t="s">
        <v>884</v>
      </c>
      <c r="C1413" s="325" t="s">
        <v>991</v>
      </c>
      <c r="D1413" s="325" t="s">
        <v>421</v>
      </c>
      <c r="E1413" s="325" t="s">
        <v>456</v>
      </c>
      <c r="F1413" s="325" t="s">
        <v>426</v>
      </c>
    </row>
    <row r="1414" spans="1:6" x14ac:dyDescent="0.2">
      <c r="A1414" s="325" t="s">
        <v>740</v>
      </c>
      <c r="B1414" s="325" t="s">
        <v>885</v>
      </c>
      <c r="C1414" s="325" t="s">
        <v>991</v>
      </c>
      <c r="D1414" s="325" t="s">
        <v>96</v>
      </c>
      <c r="E1414" s="325" t="s">
        <v>456</v>
      </c>
      <c r="F1414" s="325" t="s">
        <v>376</v>
      </c>
    </row>
    <row r="1415" spans="1:6" x14ac:dyDescent="0.2">
      <c r="A1415" s="325" t="s">
        <v>740</v>
      </c>
      <c r="B1415" s="325" t="s">
        <v>886</v>
      </c>
      <c r="C1415" s="325" t="s">
        <v>991</v>
      </c>
      <c r="D1415" s="325" t="s">
        <v>0</v>
      </c>
      <c r="E1415" s="325" t="s">
        <v>456</v>
      </c>
      <c r="F1415" s="325" t="s">
        <v>584</v>
      </c>
    </row>
    <row r="1416" spans="1:6" x14ac:dyDescent="0.2">
      <c r="A1416" s="325" t="s">
        <v>740</v>
      </c>
      <c r="B1416" s="325" t="s">
        <v>887</v>
      </c>
      <c r="C1416" s="325" t="s">
        <v>991</v>
      </c>
      <c r="D1416" s="325" t="s">
        <v>344</v>
      </c>
      <c r="E1416" s="325" t="s">
        <v>456</v>
      </c>
      <c r="F1416" s="325" t="s">
        <v>114</v>
      </c>
    </row>
    <row r="1417" spans="1:6" x14ac:dyDescent="0.2">
      <c r="A1417" s="325" t="s">
        <v>740</v>
      </c>
      <c r="B1417" s="325" t="s">
        <v>888</v>
      </c>
      <c r="C1417" s="325" t="s">
        <v>991</v>
      </c>
      <c r="D1417" s="325" t="s">
        <v>395</v>
      </c>
      <c r="E1417" s="325" t="s">
        <v>456</v>
      </c>
      <c r="F1417" s="325" t="s">
        <v>588</v>
      </c>
    </row>
    <row r="1418" spans="1:6" x14ac:dyDescent="0.2">
      <c r="A1418" s="325" t="s">
        <v>740</v>
      </c>
      <c r="B1418" s="325" t="s">
        <v>889</v>
      </c>
      <c r="C1418" s="325" t="s">
        <v>991</v>
      </c>
      <c r="D1418" s="325" t="s">
        <v>499</v>
      </c>
      <c r="E1418" s="325" t="s">
        <v>456</v>
      </c>
      <c r="F1418" s="325" t="s">
        <v>314</v>
      </c>
    </row>
    <row r="1419" spans="1:6" x14ac:dyDescent="0.2">
      <c r="A1419" s="325" t="s">
        <v>677</v>
      </c>
      <c r="B1419" s="325" t="s">
        <v>793</v>
      </c>
      <c r="C1419" s="325" t="s">
        <v>249</v>
      </c>
      <c r="D1419" s="325" t="s">
        <v>654</v>
      </c>
      <c r="E1419" s="325" t="s">
        <v>265</v>
      </c>
      <c r="F1419" s="325" t="s">
        <v>998</v>
      </c>
    </row>
    <row r="1420" spans="1:6" x14ac:dyDescent="0.2">
      <c r="A1420" s="325" t="s">
        <v>677</v>
      </c>
      <c r="B1420" s="325" t="s">
        <v>794</v>
      </c>
      <c r="C1420" s="325" t="s">
        <v>249</v>
      </c>
      <c r="D1420" s="325" t="s">
        <v>510</v>
      </c>
      <c r="E1420" s="325" t="s">
        <v>265</v>
      </c>
      <c r="F1420" s="325" t="s">
        <v>999</v>
      </c>
    </row>
    <row r="1421" spans="1:6" x14ac:dyDescent="0.2">
      <c r="A1421" s="325" t="s">
        <v>677</v>
      </c>
      <c r="B1421" s="325" t="s">
        <v>795</v>
      </c>
      <c r="C1421" s="325" t="s">
        <v>249</v>
      </c>
      <c r="D1421" s="325" t="s">
        <v>400</v>
      </c>
      <c r="E1421" s="325" t="s">
        <v>265</v>
      </c>
      <c r="F1421" s="325" t="s">
        <v>1001</v>
      </c>
    </row>
    <row r="1422" spans="1:6" x14ac:dyDescent="0.2">
      <c r="A1422" s="325" t="s">
        <v>677</v>
      </c>
      <c r="B1422" s="325" t="s">
        <v>796</v>
      </c>
      <c r="C1422" s="325" t="s">
        <v>249</v>
      </c>
      <c r="D1422" s="325" t="s">
        <v>302</v>
      </c>
      <c r="E1422" s="325" t="s">
        <v>265</v>
      </c>
      <c r="F1422" s="325" t="s">
        <v>1000</v>
      </c>
    </row>
    <row r="1423" spans="1:6" x14ac:dyDescent="0.2">
      <c r="A1423" s="325" t="s">
        <v>677</v>
      </c>
      <c r="B1423" s="325" t="s">
        <v>797</v>
      </c>
      <c r="C1423" s="325" t="s">
        <v>249</v>
      </c>
      <c r="D1423" s="325" t="s">
        <v>28</v>
      </c>
      <c r="E1423" s="325" t="s">
        <v>442</v>
      </c>
      <c r="F1423" s="325" t="s">
        <v>1008</v>
      </c>
    </row>
    <row r="1424" spans="1:6" x14ac:dyDescent="0.2">
      <c r="A1424" s="325" t="s">
        <v>677</v>
      </c>
      <c r="B1424" s="325" t="s">
        <v>798</v>
      </c>
      <c r="C1424" s="325" t="s">
        <v>249</v>
      </c>
      <c r="D1424" s="325" t="s">
        <v>67</v>
      </c>
      <c r="E1424" s="325" t="s">
        <v>556</v>
      </c>
      <c r="F1424" s="325" t="s">
        <v>1009</v>
      </c>
    </row>
    <row r="1425" spans="1:6" x14ac:dyDescent="0.2">
      <c r="A1425" s="325" t="s">
        <v>677</v>
      </c>
      <c r="B1425" s="325" t="s">
        <v>799</v>
      </c>
      <c r="C1425" s="325" t="s">
        <v>249</v>
      </c>
      <c r="D1425" s="325" t="s">
        <v>168</v>
      </c>
      <c r="E1425" s="325" t="s">
        <v>265</v>
      </c>
      <c r="F1425" s="325" t="s">
        <v>145</v>
      </c>
    </row>
    <row r="1426" spans="1:6" x14ac:dyDescent="0.2">
      <c r="A1426" s="325" t="s">
        <v>677</v>
      </c>
      <c r="B1426" s="325" t="s">
        <v>800</v>
      </c>
      <c r="C1426" s="325" t="s">
        <v>249</v>
      </c>
      <c r="D1426" s="325" t="s">
        <v>310</v>
      </c>
      <c r="E1426" s="325" t="s">
        <v>265</v>
      </c>
      <c r="F1426" s="325" t="s">
        <v>350</v>
      </c>
    </row>
    <row r="1427" spans="1:6" x14ac:dyDescent="0.2">
      <c r="A1427" s="325" t="s">
        <v>677</v>
      </c>
      <c r="B1427" s="325" t="s">
        <v>801</v>
      </c>
      <c r="C1427" s="325" t="s">
        <v>249</v>
      </c>
      <c r="D1427" s="325" t="s">
        <v>87</v>
      </c>
      <c r="E1427" s="325" t="s">
        <v>265</v>
      </c>
      <c r="F1427" s="325" t="s">
        <v>79</v>
      </c>
    </row>
    <row r="1428" spans="1:6" x14ac:dyDescent="0.2">
      <c r="A1428" s="325" t="s">
        <v>677</v>
      </c>
      <c r="B1428" s="325" t="s">
        <v>802</v>
      </c>
      <c r="C1428" s="325" t="s">
        <v>249</v>
      </c>
      <c r="D1428" s="325" t="s">
        <v>228</v>
      </c>
      <c r="E1428" s="325" t="s">
        <v>265</v>
      </c>
      <c r="F1428" s="325" t="s">
        <v>331</v>
      </c>
    </row>
    <row r="1429" spans="1:6" x14ac:dyDescent="0.2">
      <c r="A1429" s="325" t="s">
        <v>677</v>
      </c>
      <c r="B1429" s="325" t="s">
        <v>803</v>
      </c>
      <c r="C1429" s="325" t="s">
        <v>249</v>
      </c>
      <c r="D1429" s="325" t="s">
        <v>144</v>
      </c>
      <c r="E1429" s="325" t="s">
        <v>265</v>
      </c>
      <c r="F1429" s="325" t="s">
        <v>340</v>
      </c>
    </row>
    <row r="1430" spans="1:6" x14ac:dyDescent="0.2">
      <c r="A1430" s="325" t="s">
        <v>677</v>
      </c>
      <c r="B1430" s="325" t="s">
        <v>804</v>
      </c>
      <c r="C1430" s="325" t="s">
        <v>249</v>
      </c>
      <c r="D1430" s="325" t="s">
        <v>429</v>
      </c>
      <c r="E1430" s="325" t="s">
        <v>265</v>
      </c>
      <c r="F1430" s="325" t="s">
        <v>263</v>
      </c>
    </row>
    <row r="1431" spans="1:6" x14ac:dyDescent="0.2">
      <c r="A1431" s="325" t="s">
        <v>677</v>
      </c>
      <c r="B1431" s="325" t="s">
        <v>805</v>
      </c>
      <c r="C1431" s="325" t="s">
        <v>249</v>
      </c>
      <c r="D1431" s="325" t="s">
        <v>182</v>
      </c>
      <c r="E1431" s="325" t="s">
        <v>265</v>
      </c>
      <c r="F1431" s="325" t="s">
        <v>223</v>
      </c>
    </row>
    <row r="1432" spans="1:6" x14ac:dyDescent="0.2">
      <c r="A1432" s="325" t="s">
        <v>677</v>
      </c>
      <c r="B1432" s="325" t="s">
        <v>806</v>
      </c>
      <c r="C1432" s="325" t="s">
        <v>249</v>
      </c>
      <c r="D1432" s="325" t="s">
        <v>298</v>
      </c>
      <c r="E1432" s="325" t="s">
        <v>265</v>
      </c>
      <c r="F1432" s="325" t="s">
        <v>423</v>
      </c>
    </row>
    <row r="1433" spans="1:6" x14ac:dyDescent="0.2">
      <c r="A1433" s="325" t="s">
        <v>677</v>
      </c>
      <c r="B1433" s="325" t="s">
        <v>807</v>
      </c>
      <c r="C1433" s="325" t="s">
        <v>249</v>
      </c>
      <c r="D1433" s="325" t="s">
        <v>571</v>
      </c>
      <c r="E1433" s="325" t="s">
        <v>265</v>
      </c>
      <c r="F1433" s="325" t="s">
        <v>258</v>
      </c>
    </row>
    <row r="1434" spans="1:6" x14ac:dyDescent="0.2">
      <c r="A1434" s="325" t="s">
        <v>677</v>
      </c>
      <c r="B1434" s="325" t="s">
        <v>808</v>
      </c>
      <c r="C1434" s="325" t="s">
        <v>249</v>
      </c>
      <c r="D1434" s="325" t="s">
        <v>156</v>
      </c>
      <c r="E1434" s="325" t="s">
        <v>265</v>
      </c>
      <c r="F1434" s="325" t="s">
        <v>226</v>
      </c>
    </row>
    <row r="1435" spans="1:6" x14ac:dyDescent="0.2">
      <c r="A1435" s="325" t="s">
        <v>677</v>
      </c>
      <c r="B1435" s="325" t="s">
        <v>809</v>
      </c>
      <c r="C1435" s="325" t="s">
        <v>249</v>
      </c>
      <c r="D1435" s="325" t="s">
        <v>299</v>
      </c>
      <c r="E1435" s="325" t="s">
        <v>265</v>
      </c>
      <c r="F1435" s="325" t="s">
        <v>3</v>
      </c>
    </row>
    <row r="1436" spans="1:6" x14ac:dyDescent="0.2">
      <c r="A1436" s="325" t="s">
        <v>677</v>
      </c>
      <c r="B1436" s="325" t="s">
        <v>810</v>
      </c>
      <c r="C1436" s="325" t="s">
        <v>249</v>
      </c>
      <c r="D1436" s="325" t="s">
        <v>164</v>
      </c>
      <c r="E1436" s="325" t="s">
        <v>265</v>
      </c>
      <c r="F1436" s="325" t="s">
        <v>524</v>
      </c>
    </row>
    <row r="1437" spans="1:6" x14ac:dyDescent="0.2">
      <c r="A1437" s="325" t="s">
        <v>677</v>
      </c>
      <c r="B1437" s="325" t="s">
        <v>811</v>
      </c>
      <c r="C1437" s="325" t="s">
        <v>249</v>
      </c>
      <c r="D1437" s="325" t="s">
        <v>403</v>
      </c>
      <c r="E1437" s="325" t="s">
        <v>265</v>
      </c>
      <c r="F1437" s="325" t="s">
        <v>195</v>
      </c>
    </row>
    <row r="1438" spans="1:6" x14ac:dyDescent="0.2">
      <c r="A1438" s="325" t="s">
        <v>677</v>
      </c>
      <c r="B1438" s="325" t="s">
        <v>812</v>
      </c>
      <c r="C1438" s="325" t="s">
        <v>249</v>
      </c>
      <c r="D1438" s="325" t="s">
        <v>367</v>
      </c>
      <c r="E1438" s="325" t="s">
        <v>265</v>
      </c>
      <c r="F1438" s="325" t="s">
        <v>461</v>
      </c>
    </row>
    <row r="1439" spans="1:6" x14ac:dyDescent="0.2">
      <c r="A1439" s="325" t="s">
        <v>677</v>
      </c>
      <c r="B1439" s="325" t="s">
        <v>813</v>
      </c>
      <c r="C1439" s="325" t="s">
        <v>249</v>
      </c>
      <c r="D1439" s="325" t="s">
        <v>105</v>
      </c>
      <c r="E1439" s="325" t="s">
        <v>265</v>
      </c>
      <c r="F1439" s="325" t="s">
        <v>393</v>
      </c>
    </row>
    <row r="1440" spans="1:6" x14ac:dyDescent="0.2">
      <c r="A1440" s="325" t="s">
        <v>677</v>
      </c>
      <c r="B1440" s="325" t="s">
        <v>814</v>
      </c>
      <c r="C1440" s="325" t="s">
        <v>249</v>
      </c>
      <c r="D1440" s="325" t="s">
        <v>520</v>
      </c>
      <c r="E1440" s="325" t="s">
        <v>265</v>
      </c>
      <c r="F1440" s="325" t="s">
        <v>277</v>
      </c>
    </row>
    <row r="1441" spans="1:6" x14ac:dyDescent="0.2">
      <c r="A1441" s="325" t="s">
        <v>677</v>
      </c>
      <c r="B1441" s="325" t="s">
        <v>815</v>
      </c>
      <c r="C1441" s="325" t="s">
        <v>249</v>
      </c>
      <c r="D1441" s="325" t="s">
        <v>469</v>
      </c>
      <c r="E1441" s="325" t="s">
        <v>265</v>
      </c>
      <c r="F1441" s="325" t="s">
        <v>452</v>
      </c>
    </row>
    <row r="1442" spans="1:6" x14ac:dyDescent="0.2">
      <c r="A1442" s="325" t="s">
        <v>677</v>
      </c>
      <c r="B1442" s="325" t="s">
        <v>816</v>
      </c>
      <c r="C1442" s="325" t="s">
        <v>249</v>
      </c>
      <c r="D1442" s="325" t="s">
        <v>432</v>
      </c>
      <c r="E1442" s="325" t="s">
        <v>265</v>
      </c>
      <c r="F1442" s="325" t="s">
        <v>489</v>
      </c>
    </row>
    <row r="1443" spans="1:6" x14ac:dyDescent="0.2">
      <c r="A1443" s="325" t="s">
        <v>677</v>
      </c>
      <c r="B1443" s="325" t="s">
        <v>817</v>
      </c>
      <c r="C1443" s="325" t="s">
        <v>249</v>
      </c>
      <c r="D1443" s="325" t="s">
        <v>75</v>
      </c>
      <c r="E1443" s="325" t="s">
        <v>456</v>
      </c>
      <c r="F1443" s="325" t="s">
        <v>288</v>
      </c>
    </row>
    <row r="1444" spans="1:6" x14ac:dyDescent="0.2">
      <c r="A1444" s="325" t="s">
        <v>677</v>
      </c>
      <c r="B1444" s="325" t="s">
        <v>818</v>
      </c>
      <c r="C1444" s="325" t="s">
        <v>249</v>
      </c>
      <c r="D1444" s="325" t="s">
        <v>666</v>
      </c>
      <c r="E1444" s="325" t="s">
        <v>556</v>
      </c>
      <c r="F1444" s="325" t="s">
        <v>665</v>
      </c>
    </row>
    <row r="1445" spans="1:6" x14ac:dyDescent="0.2">
      <c r="A1445" s="325" t="s">
        <v>677</v>
      </c>
      <c r="B1445" s="325" t="s">
        <v>819</v>
      </c>
      <c r="C1445" s="325" t="s">
        <v>249</v>
      </c>
      <c r="D1445" s="325" t="s">
        <v>111</v>
      </c>
      <c r="E1445" s="325" t="s">
        <v>265</v>
      </c>
      <c r="F1445" s="325" t="s">
        <v>261</v>
      </c>
    </row>
    <row r="1446" spans="1:6" x14ac:dyDescent="0.2">
      <c r="A1446" s="325" t="s">
        <v>677</v>
      </c>
      <c r="B1446" s="325" t="s">
        <v>820</v>
      </c>
      <c r="C1446" s="325" t="s">
        <v>249</v>
      </c>
      <c r="D1446" s="325" t="s">
        <v>289</v>
      </c>
      <c r="E1446" s="325" t="s">
        <v>456</v>
      </c>
      <c r="F1446" s="325" t="s">
        <v>674</v>
      </c>
    </row>
    <row r="1447" spans="1:6" x14ac:dyDescent="0.2">
      <c r="A1447" s="325" t="s">
        <v>677</v>
      </c>
      <c r="B1447" s="325" t="s">
        <v>821</v>
      </c>
      <c r="C1447" s="325" t="s">
        <v>249</v>
      </c>
      <c r="D1447" s="325" t="s">
        <v>308</v>
      </c>
      <c r="E1447" s="325" t="s">
        <v>456</v>
      </c>
      <c r="F1447" s="325" t="s">
        <v>675</v>
      </c>
    </row>
    <row r="1448" spans="1:6" x14ac:dyDescent="0.2">
      <c r="A1448" s="325" t="s">
        <v>677</v>
      </c>
      <c r="B1448" s="325" t="s">
        <v>822</v>
      </c>
      <c r="C1448" s="325" t="s">
        <v>249</v>
      </c>
      <c r="D1448" s="325" t="s">
        <v>411</v>
      </c>
      <c r="E1448" s="325" t="s">
        <v>456</v>
      </c>
      <c r="F1448" s="325" t="s">
        <v>115</v>
      </c>
    </row>
    <row r="1449" spans="1:6" x14ac:dyDescent="0.2">
      <c r="A1449" s="325" t="s">
        <v>677</v>
      </c>
      <c r="B1449" s="325" t="s">
        <v>823</v>
      </c>
      <c r="C1449" s="325" t="s">
        <v>249</v>
      </c>
      <c r="D1449" s="325" t="s">
        <v>425</v>
      </c>
      <c r="E1449" s="325" t="s">
        <v>456</v>
      </c>
      <c r="F1449" s="325" t="s">
        <v>364</v>
      </c>
    </row>
    <row r="1450" spans="1:6" x14ac:dyDescent="0.2">
      <c r="A1450" s="325" t="s">
        <v>677</v>
      </c>
      <c r="B1450" s="325" t="s">
        <v>824</v>
      </c>
      <c r="C1450" s="325" t="s">
        <v>249</v>
      </c>
      <c r="D1450" s="325" t="s">
        <v>431</v>
      </c>
      <c r="E1450" s="325" t="s">
        <v>265</v>
      </c>
      <c r="F1450" s="325" t="s">
        <v>464</v>
      </c>
    </row>
    <row r="1451" spans="1:6" x14ac:dyDescent="0.2">
      <c r="A1451" s="325" t="s">
        <v>677</v>
      </c>
      <c r="B1451" s="325" t="s">
        <v>825</v>
      </c>
      <c r="C1451" s="325" t="s">
        <v>249</v>
      </c>
      <c r="D1451" s="325" t="s">
        <v>696</v>
      </c>
      <c r="E1451" s="325" t="s">
        <v>456</v>
      </c>
      <c r="F1451" s="325" t="s">
        <v>1010</v>
      </c>
    </row>
    <row r="1452" spans="1:6" x14ac:dyDescent="0.2">
      <c r="A1452" s="325" t="s">
        <v>677</v>
      </c>
      <c r="B1452" s="325" t="s">
        <v>826</v>
      </c>
      <c r="C1452" s="325" t="s">
        <v>249</v>
      </c>
      <c r="D1452" s="325" t="s">
        <v>15</v>
      </c>
      <c r="E1452" s="325" t="s">
        <v>265</v>
      </c>
      <c r="F1452" s="325" t="s">
        <v>446</v>
      </c>
    </row>
    <row r="1453" spans="1:6" x14ac:dyDescent="0.2">
      <c r="A1453" s="325" t="s">
        <v>677</v>
      </c>
      <c r="B1453" s="325" t="s">
        <v>827</v>
      </c>
      <c r="C1453" s="325" t="s">
        <v>249</v>
      </c>
      <c r="D1453" s="325" t="s">
        <v>551</v>
      </c>
      <c r="E1453" s="325" t="s">
        <v>265</v>
      </c>
      <c r="F1453" s="325" t="s">
        <v>10</v>
      </c>
    </row>
    <row r="1454" spans="1:6" x14ac:dyDescent="0.2">
      <c r="A1454" s="325" t="s">
        <v>677</v>
      </c>
      <c r="B1454" s="325" t="s">
        <v>828</v>
      </c>
      <c r="C1454" s="325" t="s">
        <v>249</v>
      </c>
      <c r="D1454" s="325" t="s">
        <v>9</v>
      </c>
      <c r="E1454" s="325" t="s">
        <v>265</v>
      </c>
      <c r="F1454" s="325" t="s">
        <v>189</v>
      </c>
    </row>
    <row r="1455" spans="1:6" x14ac:dyDescent="0.2">
      <c r="A1455" s="325" t="s">
        <v>677</v>
      </c>
      <c r="B1455" s="325" t="s">
        <v>829</v>
      </c>
      <c r="C1455" s="325" t="s">
        <v>249</v>
      </c>
      <c r="D1455" s="325" t="s">
        <v>566</v>
      </c>
      <c r="E1455" s="325" t="s">
        <v>265</v>
      </c>
      <c r="F1455" s="325" t="s">
        <v>135</v>
      </c>
    </row>
    <row r="1456" spans="1:6" x14ac:dyDescent="0.2">
      <c r="A1456" s="325" t="s">
        <v>677</v>
      </c>
      <c r="B1456" s="325" t="s">
        <v>830</v>
      </c>
      <c r="C1456" s="325" t="s">
        <v>249</v>
      </c>
      <c r="D1456" s="325" t="s">
        <v>412</v>
      </c>
      <c r="E1456" s="325" t="s">
        <v>456</v>
      </c>
      <c r="F1456" s="325" t="s">
        <v>128</v>
      </c>
    </row>
    <row r="1457" spans="1:6" x14ac:dyDescent="0.2">
      <c r="A1457" s="325" t="s">
        <v>677</v>
      </c>
      <c r="B1457" s="325" t="s">
        <v>831</v>
      </c>
      <c r="C1457" s="325" t="s">
        <v>249</v>
      </c>
      <c r="D1457" s="325" t="s">
        <v>369</v>
      </c>
      <c r="E1457" s="325" t="s">
        <v>456</v>
      </c>
      <c r="F1457" s="325" t="s">
        <v>496</v>
      </c>
    </row>
    <row r="1458" spans="1:6" x14ac:dyDescent="0.2">
      <c r="A1458" s="325" t="s">
        <v>677</v>
      </c>
      <c r="B1458" s="325" t="s">
        <v>832</v>
      </c>
      <c r="C1458" s="325" t="s">
        <v>249</v>
      </c>
      <c r="D1458" s="325" t="s">
        <v>348</v>
      </c>
      <c r="E1458" s="325" t="s">
        <v>456</v>
      </c>
      <c r="F1458" s="325" t="s">
        <v>293</v>
      </c>
    </row>
    <row r="1459" spans="1:6" x14ac:dyDescent="0.2">
      <c r="A1459" s="325" t="s">
        <v>677</v>
      </c>
      <c r="B1459" s="325" t="s">
        <v>833</v>
      </c>
      <c r="C1459" s="325" t="s">
        <v>249</v>
      </c>
      <c r="D1459" s="325" t="s">
        <v>244</v>
      </c>
      <c r="E1459" s="325" t="s">
        <v>265</v>
      </c>
      <c r="F1459" s="325" t="s">
        <v>543</v>
      </c>
    </row>
    <row r="1460" spans="1:6" x14ac:dyDescent="0.2">
      <c r="A1460" s="325" t="s">
        <v>677</v>
      </c>
      <c r="B1460" s="325" t="s">
        <v>834</v>
      </c>
      <c r="C1460" s="325" t="s">
        <v>249</v>
      </c>
      <c r="D1460" s="325" t="s">
        <v>488</v>
      </c>
      <c r="E1460" s="325" t="s">
        <v>456</v>
      </c>
      <c r="F1460" s="325" t="s">
        <v>545</v>
      </c>
    </row>
    <row r="1461" spans="1:6" x14ac:dyDescent="0.2">
      <c r="A1461" s="325" t="s">
        <v>677</v>
      </c>
      <c r="B1461" s="325" t="s">
        <v>835</v>
      </c>
      <c r="C1461" s="325" t="s">
        <v>249</v>
      </c>
      <c r="D1461" s="325" t="s">
        <v>397</v>
      </c>
      <c r="E1461" s="325" t="s">
        <v>265</v>
      </c>
      <c r="F1461" s="325" t="s">
        <v>88</v>
      </c>
    </row>
    <row r="1462" spans="1:6" x14ac:dyDescent="0.2">
      <c r="A1462" s="325" t="s">
        <v>677</v>
      </c>
      <c r="B1462" s="325" t="s">
        <v>836</v>
      </c>
      <c r="C1462" s="325" t="s">
        <v>249</v>
      </c>
      <c r="D1462" s="325" t="s">
        <v>440</v>
      </c>
      <c r="E1462" s="325" t="s">
        <v>456</v>
      </c>
      <c r="F1462" s="325" t="s">
        <v>368</v>
      </c>
    </row>
    <row r="1463" spans="1:6" x14ac:dyDescent="0.2">
      <c r="A1463" s="325" t="s">
        <v>677</v>
      </c>
      <c r="B1463" s="325" t="s">
        <v>837</v>
      </c>
      <c r="C1463" s="325" t="s">
        <v>249</v>
      </c>
      <c r="D1463" s="325" t="s">
        <v>445</v>
      </c>
      <c r="E1463" s="325" t="s">
        <v>456</v>
      </c>
      <c r="F1463" s="325" t="s">
        <v>238</v>
      </c>
    </row>
    <row r="1464" spans="1:6" x14ac:dyDescent="0.2">
      <c r="A1464" s="325" t="s">
        <v>677</v>
      </c>
      <c r="B1464" s="325" t="s">
        <v>838</v>
      </c>
      <c r="C1464" s="325" t="s">
        <v>249</v>
      </c>
      <c r="D1464" s="325" t="s">
        <v>119</v>
      </c>
      <c r="E1464" s="325" t="s">
        <v>456</v>
      </c>
      <c r="F1464" s="325" t="s">
        <v>557</v>
      </c>
    </row>
    <row r="1465" spans="1:6" x14ac:dyDescent="0.2">
      <c r="A1465" s="325" t="s">
        <v>677</v>
      </c>
      <c r="B1465" s="325" t="s">
        <v>839</v>
      </c>
      <c r="C1465" s="325" t="s">
        <v>249</v>
      </c>
      <c r="D1465" s="325" t="s">
        <v>580</v>
      </c>
      <c r="E1465" s="325" t="s">
        <v>456</v>
      </c>
      <c r="F1465" s="325" t="s">
        <v>120</v>
      </c>
    </row>
    <row r="1466" spans="1:6" x14ac:dyDescent="0.2">
      <c r="A1466" s="325" t="s">
        <v>677</v>
      </c>
      <c r="B1466" s="325" t="s">
        <v>840</v>
      </c>
      <c r="C1466" s="325" t="s">
        <v>249</v>
      </c>
      <c r="D1466" s="325" t="s">
        <v>64</v>
      </c>
      <c r="E1466" s="325" t="s">
        <v>456</v>
      </c>
      <c r="F1466" s="325" t="s">
        <v>197</v>
      </c>
    </row>
    <row r="1467" spans="1:6" x14ac:dyDescent="0.2">
      <c r="A1467" s="325" t="s">
        <v>677</v>
      </c>
      <c r="B1467" s="325" t="s">
        <v>841</v>
      </c>
      <c r="C1467" s="325" t="s">
        <v>249</v>
      </c>
      <c r="D1467" s="325" t="s">
        <v>471</v>
      </c>
      <c r="E1467" s="325" t="s">
        <v>456</v>
      </c>
      <c r="F1467" s="325" t="s">
        <v>466</v>
      </c>
    </row>
    <row r="1468" spans="1:6" x14ac:dyDescent="0.2">
      <c r="A1468" s="325" t="s">
        <v>677</v>
      </c>
      <c r="B1468" s="325" t="s">
        <v>842</v>
      </c>
      <c r="C1468" s="325" t="s">
        <v>249</v>
      </c>
      <c r="D1468" s="325" t="s">
        <v>539</v>
      </c>
      <c r="E1468" s="325" t="s">
        <v>456</v>
      </c>
      <c r="F1468" s="325" t="s">
        <v>394</v>
      </c>
    </row>
    <row r="1469" spans="1:6" x14ac:dyDescent="0.2">
      <c r="A1469" s="325" t="s">
        <v>677</v>
      </c>
      <c r="B1469" s="325" t="s">
        <v>843</v>
      </c>
      <c r="C1469" s="325" t="s">
        <v>249</v>
      </c>
      <c r="D1469" s="325" t="s">
        <v>318</v>
      </c>
      <c r="E1469" s="325" t="s">
        <v>456</v>
      </c>
      <c r="F1469" s="325" t="s">
        <v>478</v>
      </c>
    </row>
    <row r="1470" spans="1:6" x14ac:dyDescent="0.2">
      <c r="A1470" s="325" t="s">
        <v>677</v>
      </c>
      <c r="B1470" s="325" t="s">
        <v>844</v>
      </c>
      <c r="C1470" s="325" t="s">
        <v>249</v>
      </c>
      <c r="D1470" s="325" t="s">
        <v>257</v>
      </c>
      <c r="E1470" s="325" t="s">
        <v>456</v>
      </c>
      <c r="F1470" s="325" t="s">
        <v>338</v>
      </c>
    </row>
    <row r="1471" spans="1:6" x14ac:dyDescent="0.2">
      <c r="A1471" s="325" t="s">
        <v>677</v>
      </c>
      <c r="B1471" s="325" t="s">
        <v>845</v>
      </c>
      <c r="C1471" s="325" t="s">
        <v>249</v>
      </c>
      <c r="D1471" s="325" t="s">
        <v>751</v>
      </c>
      <c r="E1471" s="325" t="s">
        <v>456</v>
      </c>
      <c r="F1471" s="325" t="s">
        <v>753</v>
      </c>
    </row>
    <row r="1472" spans="1:6" x14ac:dyDescent="0.2">
      <c r="A1472" s="325" t="s">
        <v>677</v>
      </c>
      <c r="B1472" s="325" t="s">
        <v>846</v>
      </c>
      <c r="C1472" s="325" t="s">
        <v>249</v>
      </c>
      <c r="D1472" s="325" t="s">
        <v>55</v>
      </c>
      <c r="E1472" s="325" t="s">
        <v>456</v>
      </c>
      <c r="F1472" s="325" t="s">
        <v>305</v>
      </c>
    </row>
    <row r="1473" spans="1:6" x14ac:dyDescent="0.2">
      <c r="A1473" s="325" t="s">
        <v>677</v>
      </c>
      <c r="B1473" s="325" t="s">
        <v>847</v>
      </c>
      <c r="C1473" s="325" t="s">
        <v>249</v>
      </c>
      <c r="D1473" s="325" t="s">
        <v>522</v>
      </c>
      <c r="E1473" s="325" t="s">
        <v>456</v>
      </c>
      <c r="F1473" s="325" t="s">
        <v>602</v>
      </c>
    </row>
    <row r="1474" spans="1:6" x14ac:dyDescent="0.2">
      <c r="A1474" s="325" t="s">
        <v>677</v>
      </c>
      <c r="B1474" s="325" t="s">
        <v>848</v>
      </c>
      <c r="C1474" s="325" t="s">
        <v>249</v>
      </c>
      <c r="D1474" s="325" t="s">
        <v>370</v>
      </c>
      <c r="E1474" s="325" t="s">
        <v>456</v>
      </c>
      <c r="F1474" s="325" t="s">
        <v>484</v>
      </c>
    </row>
    <row r="1475" spans="1:6" x14ac:dyDescent="0.2">
      <c r="A1475" s="325" t="s">
        <v>677</v>
      </c>
      <c r="B1475" s="325" t="s">
        <v>849</v>
      </c>
      <c r="C1475" s="325" t="s">
        <v>249</v>
      </c>
      <c r="D1475" s="325" t="s">
        <v>752</v>
      </c>
      <c r="E1475" s="325" t="s">
        <v>456</v>
      </c>
      <c r="F1475" s="325" t="s">
        <v>754</v>
      </c>
    </row>
    <row r="1476" spans="1:6" x14ac:dyDescent="0.2">
      <c r="A1476" s="325" t="s">
        <v>677</v>
      </c>
      <c r="B1476" s="325" t="s">
        <v>850</v>
      </c>
      <c r="C1476" s="325" t="s">
        <v>249</v>
      </c>
      <c r="D1476" s="325" t="s">
        <v>585</v>
      </c>
      <c r="E1476" s="325" t="s">
        <v>456</v>
      </c>
      <c r="F1476" s="325" t="s">
        <v>564</v>
      </c>
    </row>
    <row r="1477" spans="1:6" x14ac:dyDescent="0.2">
      <c r="A1477" s="325" t="s">
        <v>677</v>
      </c>
      <c r="B1477" s="325" t="s">
        <v>851</v>
      </c>
      <c r="C1477" s="325" t="s">
        <v>249</v>
      </c>
      <c r="D1477" s="325" t="s">
        <v>603</v>
      </c>
      <c r="E1477" s="325" t="s">
        <v>265</v>
      </c>
      <c r="F1477" s="325" t="s">
        <v>703</v>
      </c>
    </row>
    <row r="1478" spans="1:6" x14ac:dyDescent="0.2">
      <c r="A1478" s="325" t="s">
        <v>677</v>
      </c>
      <c r="B1478" s="325" t="s">
        <v>852</v>
      </c>
      <c r="C1478" s="325" t="s">
        <v>249</v>
      </c>
      <c r="D1478" s="325" t="s">
        <v>604</v>
      </c>
      <c r="E1478" s="325" t="s">
        <v>456</v>
      </c>
      <c r="F1478" s="325" t="s">
        <v>702</v>
      </c>
    </row>
    <row r="1479" spans="1:6" x14ac:dyDescent="0.2">
      <c r="A1479" s="325" t="s">
        <v>677</v>
      </c>
      <c r="B1479" s="325" t="s">
        <v>853</v>
      </c>
      <c r="C1479" s="325" t="s">
        <v>249</v>
      </c>
      <c r="D1479" s="325" t="s">
        <v>565</v>
      </c>
      <c r="E1479" s="325" t="s">
        <v>265</v>
      </c>
      <c r="F1479" s="325" t="s">
        <v>306</v>
      </c>
    </row>
    <row r="1480" spans="1:6" x14ac:dyDescent="0.2">
      <c r="A1480" s="325" t="s">
        <v>677</v>
      </c>
      <c r="B1480" s="325" t="s">
        <v>854</v>
      </c>
      <c r="C1480" s="325" t="s">
        <v>249</v>
      </c>
      <c r="D1480" s="325" t="s">
        <v>354</v>
      </c>
      <c r="E1480" s="325" t="s">
        <v>265</v>
      </c>
      <c r="F1480" s="325" t="s">
        <v>390</v>
      </c>
    </row>
    <row r="1481" spans="1:6" x14ac:dyDescent="0.2">
      <c r="A1481" s="325" t="s">
        <v>677</v>
      </c>
      <c r="B1481" s="325" t="s">
        <v>855</v>
      </c>
      <c r="C1481" s="325" t="s">
        <v>249</v>
      </c>
      <c r="D1481" s="325" t="s">
        <v>93</v>
      </c>
      <c r="E1481" s="325" t="s">
        <v>456</v>
      </c>
      <c r="F1481" s="325" t="s">
        <v>170</v>
      </c>
    </row>
    <row r="1482" spans="1:6" x14ac:dyDescent="0.2">
      <c r="A1482" s="325" t="s">
        <v>677</v>
      </c>
      <c r="B1482" s="325" t="s">
        <v>856</v>
      </c>
      <c r="C1482" s="325" t="s">
        <v>249</v>
      </c>
      <c r="D1482" s="325" t="s">
        <v>198</v>
      </c>
      <c r="E1482" s="325" t="s">
        <v>456</v>
      </c>
      <c r="F1482" s="325" t="s">
        <v>139</v>
      </c>
    </row>
    <row r="1483" spans="1:6" x14ac:dyDescent="0.2">
      <c r="A1483" s="325" t="s">
        <v>677</v>
      </c>
      <c r="B1483" s="325" t="s">
        <v>857</v>
      </c>
      <c r="C1483" s="325" t="s">
        <v>249</v>
      </c>
      <c r="D1483" s="325" t="s">
        <v>249</v>
      </c>
      <c r="E1483" s="325" t="s">
        <v>556</v>
      </c>
      <c r="F1483" s="325" t="s">
        <v>27</v>
      </c>
    </row>
    <row r="1484" spans="1:6" x14ac:dyDescent="0.2">
      <c r="A1484" s="325" t="s">
        <v>677</v>
      </c>
      <c r="B1484" s="325" t="s">
        <v>858</v>
      </c>
      <c r="C1484" s="325" t="s">
        <v>249</v>
      </c>
      <c r="D1484" s="325" t="s">
        <v>152</v>
      </c>
      <c r="E1484" s="325" t="s">
        <v>456</v>
      </c>
      <c r="F1484" s="325" t="s">
        <v>555</v>
      </c>
    </row>
    <row r="1485" spans="1:6" x14ac:dyDescent="0.2">
      <c r="A1485" s="325" t="s">
        <v>677</v>
      </c>
      <c r="B1485" s="325" t="s">
        <v>859</v>
      </c>
      <c r="C1485" s="325" t="s">
        <v>249</v>
      </c>
      <c r="D1485" s="325" t="s">
        <v>547</v>
      </c>
      <c r="E1485" s="325" t="s">
        <v>456</v>
      </c>
      <c r="F1485" s="325" t="s">
        <v>374</v>
      </c>
    </row>
    <row r="1486" spans="1:6" x14ac:dyDescent="0.2">
      <c r="A1486" s="325" t="s">
        <v>677</v>
      </c>
      <c r="B1486" s="325" t="s">
        <v>860</v>
      </c>
      <c r="C1486" s="325" t="s">
        <v>249</v>
      </c>
      <c r="D1486" s="325" t="s">
        <v>490</v>
      </c>
      <c r="E1486" s="325" t="s">
        <v>456</v>
      </c>
      <c r="F1486" s="325" t="s">
        <v>177</v>
      </c>
    </row>
    <row r="1487" spans="1:6" x14ac:dyDescent="0.2">
      <c r="A1487" s="325" t="s">
        <v>677</v>
      </c>
      <c r="B1487" s="325" t="s">
        <v>861</v>
      </c>
      <c r="C1487" s="325" t="s">
        <v>249</v>
      </c>
      <c r="D1487" s="325" t="s">
        <v>209</v>
      </c>
      <c r="E1487" s="325" t="s">
        <v>456</v>
      </c>
      <c r="F1487" s="325" t="s">
        <v>41</v>
      </c>
    </row>
    <row r="1488" spans="1:6" x14ac:dyDescent="0.2">
      <c r="A1488" s="325" t="s">
        <v>677</v>
      </c>
      <c r="B1488" s="325" t="s">
        <v>862</v>
      </c>
      <c r="C1488" s="325" t="s">
        <v>249</v>
      </c>
      <c r="D1488" s="325" t="s">
        <v>163</v>
      </c>
      <c r="E1488" s="325" t="s">
        <v>456</v>
      </c>
      <c r="F1488" s="325" t="s">
        <v>98</v>
      </c>
    </row>
    <row r="1489" spans="1:6" x14ac:dyDescent="0.2">
      <c r="A1489" s="325" t="s">
        <v>677</v>
      </c>
      <c r="B1489" s="325" t="s">
        <v>863</v>
      </c>
      <c r="C1489" s="325" t="s">
        <v>249</v>
      </c>
      <c r="D1489" s="325" t="s">
        <v>200</v>
      </c>
      <c r="E1489" s="325" t="s">
        <v>456</v>
      </c>
      <c r="F1489" s="325" t="s">
        <v>230</v>
      </c>
    </row>
    <row r="1490" spans="1:6" x14ac:dyDescent="0.2">
      <c r="A1490" s="325" t="s">
        <v>677</v>
      </c>
      <c r="B1490" s="325" t="s">
        <v>864</v>
      </c>
      <c r="C1490" s="325" t="s">
        <v>249</v>
      </c>
      <c r="D1490" s="325" t="s">
        <v>54</v>
      </c>
      <c r="E1490" s="325" t="s">
        <v>456</v>
      </c>
      <c r="F1490" s="325" t="s">
        <v>192</v>
      </c>
    </row>
    <row r="1491" spans="1:6" x14ac:dyDescent="0.2">
      <c r="A1491" s="325" t="s">
        <v>677</v>
      </c>
      <c r="B1491" s="325" t="s">
        <v>865</v>
      </c>
      <c r="C1491" s="325" t="s">
        <v>249</v>
      </c>
      <c r="D1491" s="325" t="s">
        <v>133</v>
      </c>
      <c r="E1491" s="325" t="s">
        <v>265</v>
      </c>
      <c r="F1491" s="325" t="s">
        <v>349</v>
      </c>
    </row>
    <row r="1492" spans="1:6" x14ac:dyDescent="0.2">
      <c r="A1492" s="325" t="s">
        <v>677</v>
      </c>
      <c r="B1492" s="325" t="s">
        <v>866</v>
      </c>
      <c r="C1492" s="325" t="s">
        <v>249</v>
      </c>
      <c r="D1492" s="325" t="s">
        <v>232</v>
      </c>
      <c r="E1492" s="325" t="s">
        <v>265</v>
      </c>
      <c r="F1492" s="325" t="s">
        <v>16</v>
      </c>
    </row>
    <row r="1493" spans="1:6" x14ac:dyDescent="0.2">
      <c r="A1493" s="325" t="s">
        <v>677</v>
      </c>
      <c r="B1493" s="325" t="s">
        <v>867</v>
      </c>
      <c r="C1493" s="325" t="s">
        <v>249</v>
      </c>
      <c r="D1493" s="325" t="s">
        <v>56</v>
      </c>
      <c r="E1493" s="325" t="s">
        <v>265</v>
      </c>
      <c r="F1493" s="325" t="s">
        <v>199</v>
      </c>
    </row>
    <row r="1494" spans="1:6" x14ac:dyDescent="0.2">
      <c r="A1494" s="325" t="s">
        <v>677</v>
      </c>
      <c r="B1494" s="325" t="s">
        <v>868</v>
      </c>
      <c r="C1494" s="325" t="s">
        <v>249</v>
      </c>
      <c r="D1494" s="325" t="s">
        <v>434</v>
      </c>
      <c r="E1494" s="325" t="s">
        <v>456</v>
      </c>
      <c r="F1494" s="325" t="s">
        <v>514</v>
      </c>
    </row>
    <row r="1495" spans="1:6" x14ac:dyDescent="0.2">
      <c r="A1495" s="325" t="s">
        <v>677</v>
      </c>
      <c r="B1495" s="325" t="s">
        <v>869</v>
      </c>
      <c r="C1495" s="325" t="s">
        <v>249</v>
      </c>
      <c r="D1495" s="325" t="s">
        <v>108</v>
      </c>
      <c r="E1495" s="325" t="s">
        <v>456</v>
      </c>
      <c r="F1495" s="325" t="s">
        <v>362</v>
      </c>
    </row>
    <row r="1496" spans="1:6" x14ac:dyDescent="0.2">
      <c r="A1496" s="325" t="s">
        <v>677</v>
      </c>
      <c r="B1496" s="325" t="s">
        <v>870</v>
      </c>
      <c r="C1496" s="325" t="s">
        <v>249</v>
      </c>
      <c r="D1496" s="325" t="s">
        <v>657</v>
      </c>
      <c r="E1496" s="325" t="s">
        <v>456</v>
      </c>
      <c r="F1496" s="325" t="s">
        <v>658</v>
      </c>
    </row>
    <row r="1497" spans="1:6" x14ac:dyDescent="0.2">
      <c r="A1497" s="325" t="s">
        <v>677</v>
      </c>
      <c r="B1497" s="325" t="s">
        <v>871</v>
      </c>
      <c r="C1497" s="325" t="s">
        <v>249</v>
      </c>
      <c r="D1497" s="325" t="s">
        <v>659</v>
      </c>
      <c r="E1497" s="325" t="s">
        <v>456</v>
      </c>
      <c r="F1497" s="325" t="s">
        <v>660</v>
      </c>
    </row>
    <row r="1498" spans="1:6" x14ac:dyDescent="0.2">
      <c r="A1498" s="325" t="s">
        <v>677</v>
      </c>
      <c r="B1498" s="325" t="s">
        <v>872</v>
      </c>
      <c r="C1498" s="325" t="s">
        <v>249</v>
      </c>
      <c r="D1498" s="325" t="s">
        <v>661</v>
      </c>
      <c r="E1498" s="325" t="s">
        <v>456</v>
      </c>
      <c r="F1498" s="325" t="s">
        <v>662</v>
      </c>
    </row>
    <row r="1499" spans="1:6" x14ac:dyDescent="0.2">
      <c r="A1499" s="325" t="s">
        <v>677</v>
      </c>
      <c r="B1499" s="325" t="s">
        <v>873</v>
      </c>
      <c r="C1499" s="325" t="s">
        <v>249</v>
      </c>
      <c r="D1499" s="325" t="s">
        <v>648</v>
      </c>
      <c r="E1499" s="325" t="s">
        <v>456</v>
      </c>
      <c r="F1499" s="325" t="s">
        <v>651</v>
      </c>
    </row>
    <row r="1500" spans="1:6" x14ac:dyDescent="0.2">
      <c r="A1500" s="325" t="s">
        <v>677</v>
      </c>
      <c r="B1500" s="325" t="s">
        <v>874</v>
      </c>
      <c r="C1500" s="325" t="s">
        <v>249</v>
      </c>
      <c r="D1500" s="325" t="s">
        <v>649</v>
      </c>
      <c r="E1500" s="325" t="s">
        <v>456</v>
      </c>
      <c r="F1500" s="325" t="s">
        <v>652</v>
      </c>
    </row>
    <row r="1501" spans="1:6" x14ac:dyDescent="0.2">
      <c r="A1501" s="325" t="s">
        <v>677</v>
      </c>
      <c r="B1501" s="325" t="s">
        <v>875</v>
      </c>
      <c r="C1501" s="325" t="s">
        <v>249</v>
      </c>
      <c r="D1501" s="325" t="s">
        <v>650</v>
      </c>
      <c r="E1501" s="325" t="s">
        <v>456</v>
      </c>
      <c r="F1501" s="325" t="s">
        <v>653</v>
      </c>
    </row>
    <row r="1502" spans="1:6" x14ac:dyDescent="0.2">
      <c r="A1502" s="325" t="s">
        <v>677</v>
      </c>
      <c r="B1502" s="325" t="s">
        <v>876</v>
      </c>
      <c r="C1502" s="325" t="s">
        <v>249</v>
      </c>
      <c r="D1502" s="325" t="s">
        <v>327</v>
      </c>
      <c r="E1502" s="325" t="s">
        <v>265</v>
      </c>
      <c r="F1502" s="325" t="s">
        <v>102</v>
      </c>
    </row>
    <row r="1503" spans="1:6" x14ac:dyDescent="0.2">
      <c r="A1503" s="325" t="s">
        <v>677</v>
      </c>
      <c r="B1503" s="325" t="s">
        <v>877</v>
      </c>
      <c r="C1503" s="325" t="s">
        <v>249</v>
      </c>
      <c r="D1503" s="325" t="s">
        <v>356</v>
      </c>
      <c r="E1503" s="325" t="s">
        <v>265</v>
      </c>
      <c r="F1503" s="325" t="s">
        <v>1011</v>
      </c>
    </row>
    <row r="1504" spans="1:6" x14ac:dyDescent="0.2">
      <c r="A1504" s="325" t="s">
        <v>677</v>
      </c>
      <c r="B1504" s="325" t="s">
        <v>878</v>
      </c>
      <c r="C1504" s="325" t="s">
        <v>249</v>
      </c>
      <c r="D1504" s="325" t="s">
        <v>513</v>
      </c>
      <c r="E1504" s="325" t="s">
        <v>556</v>
      </c>
      <c r="F1504" s="325" t="s">
        <v>264</v>
      </c>
    </row>
    <row r="1505" spans="1:6" x14ac:dyDescent="0.2">
      <c r="A1505" s="325" t="s">
        <v>677</v>
      </c>
      <c r="B1505" s="325" t="s">
        <v>879</v>
      </c>
      <c r="C1505" s="325" t="s">
        <v>249</v>
      </c>
      <c r="D1505" s="325" t="s">
        <v>554</v>
      </c>
      <c r="E1505" s="325" t="s">
        <v>556</v>
      </c>
      <c r="F1505" s="325" t="s">
        <v>229</v>
      </c>
    </row>
    <row r="1506" spans="1:6" x14ac:dyDescent="0.2">
      <c r="A1506" s="325" t="s">
        <v>677</v>
      </c>
      <c r="B1506" s="325" t="s">
        <v>880</v>
      </c>
      <c r="C1506" s="325" t="s">
        <v>249</v>
      </c>
      <c r="D1506" s="325" t="s">
        <v>409</v>
      </c>
      <c r="E1506" s="325" t="s">
        <v>556</v>
      </c>
      <c r="F1506" s="325" t="s">
        <v>336</v>
      </c>
    </row>
    <row r="1507" spans="1:6" x14ac:dyDescent="0.2">
      <c r="A1507" s="325" t="s">
        <v>677</v>
      </c>
      <c r="B1507" s="325" t="s">
        <v>881</v>
      </c>
      <c r="C1507" s="325" t="s">
        <v>249</v>
      </c>
      <c r="D1507" s="325" t="s">
        <v>72</v>
      </c>
      <c r="E1507" s="325" t="s">
        <v>456</v>
      </c>
      <c r="F1507" s="325" t="s">
        <v>451</v>
      </c>
    </row>
    <row r="1508" spans="1:6" x14ac:dyDescent="0.2">
      <c r="A1508" s="325" t="s">
        <v>677</v>
      </c>
      <c r="B1508" s="325" t="s">
        <v>882</v>
      </c>
      <c r="C1508" s="325" t="s">
        <v>249</v>
      </c>
      <c r="D1508" s="325" t="s">
        <v>35</v>
      </c>
      <c r="E1508" s="325" t="s">
        <v>456</v>
      </c>
      <c r="F1508" s="325" t="s">
        <v>414</v>
      </c>
    </row>
    <row r="1509" spans="1:6" x14ac:dyDescent="0.2">
      <c r="A1509" s="325" t="s">
        <v>677</v>
      </c>
      <c r="B1509" s="325" t="s">
        <v>883</v>
      </c>
      <c r="C1509" s="325" t="s">
        <v>249</v>
      </c>
      <c r="D1509" s="325" t="s">
        <v>118</v>
      </c>
      <c r="E1509" s="325" t="s">
        <v>456</v>
      </c>
      <c r="F1509" s="325" t="s">
        <v>62</v>
      </c>
    </row>
    <row r="1510" spans="1:6" x14ac:dyDescent="0.2">
      <c r="A1510" s="325" t="s">
        <v>677</v>
      </c>
      <c r="B1510" s="325" t="s">
        <v>884</v>
      </c>
      <c r="C1510" s="325" t="s">
        <v>249</v>
      </c>
      <c r="D1510" s="325" t="s">
        <v>254</v>
      </c>
      <c r="E1510" s="325" t="s">
        <v>456</v>
      </c>
      <c r="F1510" s="325" t="s">
        <v>148</v>
      </c>
    </row>
    <row r="1511" spans="1:6" x14ac:dyDescent="0.2">
      <c r="A1511" s="325" t="s">
        <v>677</v>
      </c>
      <c r="B1511" s="325" t="s">
        <v>885</v>
      </c>
      <c r="C1511" s="325" t="s">
        <v>249</v>
      </c>
      <c r="D1511" s="325" t="s">
        <v>396</v>
      </c>
      <c r="E1511" s="325" t="s">
        <v>456</v>
      </c>
      <c r="F1511" s="325" t="s">
        <v>8</v>
      </c>
    </row>
    <row r="1512" spans="1:6" x14ac:dyDescent="0.2">
      <c r="A1512" s="325" t="s">
        <v>677</v>
      </c>
      <c r="B1512" s="325" t="s">
        <v>886</v>
      </c>
      <c r="C1512" s="325" t="s">
        <v>249</v>
      </c>
      <c r="D1512" s="325" t="s">
        <v>279</v>
      </c>
      <c r="E1512" s="325" t="s">
        <v>456</v>
      </c>
      <c r="F1512" s="325" t="s">
        <v>475</v>
      </c>
    </row>
    <row r="1513" spans="1:6" x14ac:dyDescent="0.2">
      <c r="A1513" s="325" t="s">
        <v>677</v>
      </c>
      <c r="B1513" s="325" t="s">
        <v>887</v>
      </c>
      <c r="C1513" s="325" t="s">
        <v>249</v>
      </c>
      <c r="D1513" s="325" t="s">
        <v>66</v>
      </c>
      <c r="E1513" s="325" t="s">
        <v>456</v>
      </c>
      <c r="F1513" s="325" t="s">
        <v>245</v>
      </c>
    </row>
    <row r="1514" spans="1:6" x14ac:dyDescent="0.2">
      <c r="A1514" s="325" t="s">
        <v>677</v>
      </c>
      <c r="B1514" s="325" t="s">
        <v>888</v>
      </c>
      <c r="C1514" s="325" t="s">
        <v>249</v>
      </c>
      <c r="D1514" s="325" t="s">
        <v>568</v>
      </c>
      <c r="E1514" s="325" t="s">
        <v>456</v>
      </c>
      <c r="F1514" s="325" t="s">
        <v>181</v>
      </c>
    </row>
    <row r="1515" spans="1:6" x14ac:dyDescent="0.2">
      <c r="A1515" s="325" t="s">
        <v>677</v>
      </c>
      <c r="B1515" s="325" t="s">
        <v>889</v>
      </c>
      <c r="C1515" s="325" t="s">
        <v>249</v>
      </c>
      <c r="D1515" s="325" t="s">
        <v>712</v>
      </c>
      <c r="E1515" s="325" t="s">
        <v>456</v>
      </c>
      <c r="F1515" s="325" t="s">
        <v>713</v>
      </c>
    </row>
    <row r="1516" spans="1:6" x14ac:dyDescent="0.2">
      <c r="A1516" s="325" t="s">
        <v>677</v>
      </c>
      <c r="B1516" s="325" t="s">
        <v>890</v>
      </c>
      <c r="C1516" s="325" t="s">
        <v>249</v>
      </c>
      <c r="D1516" s="325" t="s">
        <v>371</v>
      </c>
      <c r="E1516" s="325" t="s">
        <v>456</v>
      </c>
      <c r="F1516" s="325" t="s">
        <v>63</v>
      </c>
    </row>
    <row r="1517" spans="1:6" x14ac:dyDescent="0.2">
      <c r="A1517" s="325" t="s">
        <v>677</v>
      </c>
      <c r="B1517" s="325" t="s">
        <v>891</v>
      </c>
      <c r="C1517" s="325" t="s">
        <v>249</v>
      </c>
      <c r="D1517" s="325" t="s">
        <v>497</v>
      </c>
      <c r="E1517" s="325" t="s">
        <v>456</v>
      </c>
      <c r="F1517" s="325" t="s">
        <v>1012</v>
      </c>
    </row>
    <row r="1518" spans="1:6" x14ac:dyDescent="0.2">
      <c r="A1518" s="325" t="s">
        <v>677</v>
      </c>
      <c r="B1518" s="325" t="s">
        <v>892</v>
      </c>
      <c r="C1518" s="325" t="s">
        <v>249</v>
      </c>
      <c r="D1518" s="325" t="s">
        <v>699</v>
      </c>
      <c r="E1518" s="325" t="s">
        <v>456</v>
      </c>
      <c r="F1518" s="325" t="s">
        <v>994</v>
      </c>
    </row>
    <row r="1519" spans="1:6" x14ac:dyDescent="0.2">
      <c r="A1519" s="325" t="s">
        <v>677</v>
      </c>
      <c r="B1519" s="325" t="s">
        <v>893</v>
      </c>
      <c r="C1519" s="325" t="s">
        <v>249</v>
      </c>
      <c r="D1519" s="325" t="s">
        <v>320</v>
      </c>
      <c r="E1519" s="325" t="s">
        <v>456</v>
      </c>
      <c r="F1519" s="325" t="s">
        <v>74</v>
      </c>
    </row>
    <row r="1520" spans="1:6" x14ac:dyDescent="0.2">
      <c r="A1520" s="325" t="s">
        <v>677</v>
      </c>
      <c r="B1520" s="325" t="s">
        <v>894</v>
      </c>
      <c r="C1520" s="325" t="s">
        <v>249</v>
      </c>
      <c r="D1520" s="325" t="s">
        <v>509</v>
      </c>
      <c r="E1520" s="325" t="s">
        <v>456</v>
      </c>
      <c r="F1520" s="325" t="s">
        <v>236</v>
      </c>
    </row>
    <row r="1521" spans="1:6" x14ac:dyDescent="0.2">
      <c r="A1521" s="325" t="s">
        <v>677</v>
      </c>
      <c r="B1521" s="325" t="s">
        <v>895</v>
      </c>
      <c r="C1521" s="325" t="s">
        <v>249</v>
      </c>
      <c r="D1521" s="325" t="s">
        <v>186</v>
      </c>
      <c r="E1521" s="325" t="s">
        <v>456</v>
      </c>
      <c r="F1521" s="325" t="s">
        <v>74</v>
      </c>
    </row>
    <row r="1522" spans="1:6" x14ac:dyDescent="0.2">
      <c r="A1522" s="325" t="s">
        <v>677</v>
      </c>
      <c r="B1522" s="325" t="s">
        <v>896</v>
      </c>
      <c r="C1522" s="325" t="s">
        <v>249</v>
      </c>
      <c r="D1522" s="325" t="s">
        <v>517</v>
      </c>
      <c r="E1522" s="325" t="s">
        <v>456</v>
      </c>
      <c r="F1522" s="325" t="s">
        <v>236</v>
      </c>
    </row>
    <row r="1523" spans="1:6" x14ac:dyDescent="0.2">
      <c r="A1523" s="325" t="s">
        <v>677</v>
      </c>
      <c r="B1523" s="325" t="s">
        <v>897</v>
      </c>
      <c r="C1523" s="325" t="s">
        <v>249</v>
      </c>
      <c r="D1523" s="325" t="s">
        <v>291</v>
      </c>
      <c r="E1523" s="325" t="s">
        <v>456</v>
      </c>
      <c r="F1523" s="325" t="s">
        <v>342</v>
      </c>
    </row>
    <row r="1524" spans="1:6" x14ac:dyDescent="0.2">
      <c r="A1524" s="325" t="s">
        <v>677</v>
      </c>
      <c r="B1524" s="325" t="s">
        <v>898</v>
      </c>
      <c r="C1524" s="325" t="s">
        <v>249</v>
      </c>
      <c r="D1524" s="325" t="s">
        <v>353</v>
      </c>
      <c r="E1524" s="325" t="s">
        <v>456</v>
      </c>
      <c r="F1524" s="325" t="s">
        <v>559</v>
      </c>
    </row>
    <row r="1525" spans="1:6" x14ac:dyDescent="0.2">
      <c r="A1525" s="325" t="s">
        <v>677</v>
      </c>
      <c r="B1525" s="325" t="s">
        <v>899</v>
      </c>
      <c r="C1525" s="325" t="s">
        <v>249</v>
      </c>
      <c r="D1525" s="325" t="s">
        <v>366</v>
      </c>
      <c r="E1525" s="325" t="s">
        <v>456</v>
      </c>
      <c r="F1525" s="325" t="s">
        <v>256</v>
      </c>
    </row>
    <row r="1526" spans="1:6" x14ac:dyDescent="0.2">
      <c r="A1526" s="325" t="s">
        <v>677</v>
      </c>
      <c r="B1526" s="325" t="s">
        <v>900</v>
      </c>
      <c r="C1526" s="325" t="s">
        <v>249</v>
      </c>
      <c r="D1526" s="325" t="s">
        <v>501</v>
      </c>
      <c r="E1526" s="325" t="s">
        <v>456</v>
      </c>
      <c r="F1526" s="325" t="s">
        <v>61</v>
      </c>
    </row>
    <row r="1527" spans="1:6" x14ac:dyDescent="0.2">
      <c r="A1527" s="325" t="s">
        <v>677</v>
      </c>
      <c r="B1527" s="325" t="s">
        <v>901</v>
      </c>
      <c r="C1527" s="325" t="s">
        <v>249</v>
      </c>
      <c r="D1527" s="325" t="s">
        <v>21</v>
      </c>
      <c r="E1527" s="325" t="s">
        <v>456</v>
      </c>
      <c r="F1527" s="325" t="s">
        <v>47</v>
      </c>
    </row>
    <row r="1528" spans="1:6" x14ac:dyDescent="0.2">
      <c r="A1528" s="325" t="s">
        <v>677</v>
      </c>
      <c r="B1528" s="325" t="s">
        <v>902</v>
      </c>
      <c r="C1528" s="325" t="s">
        <v>249</v>
      </c>
      <c r="D1528" s="325" t="s">
        <v>323</v>
      </c>
      <c r="E1528" s="325" t="s">
        <v>456</v>
      </c>
      <c r="F1528" s="325" t="s">
        <v>20</v>
      </c>
    </row>
    <row r="1529" spans="1:6" x14ac:dyDescent="0.2">
      <c r="A1529" s="325" t="s">
        <v>677</v>
      </c>
      <c r="B1529" s="325" t="s">
        <v>903</v>
      </c>
      <c r="C1529" s="325" t="s">
        <v>249</v>
      </c>
      <c r="D1529" s="325" t="s">
        <v>447</v>
      </c>
      <c r="E1529" s="325" t="s">
        <v>456</v>
      </c>
      <c r="F1529" s="325" t="s">
        <v>741</v>
      </c>
    </row>
    <row r="1530" spans="1:6" x14ac:dyDescent="0.2">
      <c r="A1530" s="325" t="s">
        <v>677</v>
      </c>
      <c r="B1530" s="325" t="s">
        <v>904</v>
      </c>
      <c r="C1530" s="325" t="s">
        <v>249</v>
      </c>
      <c r="D1530" s="325" t="s">
        <v>742</v>
      </c>
      <c r="E1530" s="325" t="s">
        <v>456</v>
      </c>
      <c r="F1530" s="325" t="s">
        <v>743</v>
      </c>
    </row>
    <row r="1531" spans="1:6" x14ac:dyDescent="0.2">
      <c r="A1531" s="325" t="s">
        <v>677</v>
      </c>
      <c r="B1531" s="325" t="s">
        <v>905</v>
      </c>
      <c r="C1531" s="325" t="s">
        <v>249</v>
      </c>
      <c r="D1531" s="325" t="s">
        <v>678</v>
      </c>
      <c r="E1531" s="325" t="s">
        <v>456</v>
      </c>
      <c r="F1531" s="325" t="s">
        <v>995</v>
      </c>
    </row>
    <row r="1532" spans="1:6" x14ac:dyDescent="0.2">
      <c r="A1532" s="325" t="s">
        <v>677</v>
      </c>
      <c r="B1532" s="325" t="s">
        <v>906</v>
      </c>
      <c r="C1532" s="325" t="s">
        <v>249</v>
      </c>
      <c r="D1532" s="325" t="s">
        <v>679</v>
      </c>
      <c r="E1532" s="325" t="s">
        <v>456</v>
      </c>
      <c r="F1532" s="325" t="s">
        <v>682</v>
      </c>
    </row>
    <row r="1533" spans="1:6" x14ac:dyDescent="0.2">
      <c r="A1533" s="325" t="s">
        <v>677</v>
      </c>
      <c r="B1533" s="325" t="s">
        <v>907</v>
      </c>
      <c r="C1533" s="325" t="s">
        <v>249</v>
      </c>
      <c r="D1533" s="325" t="s">
        <v>262</v>
      </c>
      <c r="E1533" s="325" t="s">
        <v>456</v>
      </c>
      <c r="F1533" s="325" t="s">
        <v>165</v>
      </c>
    </row>
    <row r="1534" spans="1:6" x14ac:dyDescent="0.2">
      <c r="A1534" s="325" t="s">
        <v>677</v>
      </c>
      <c r="B1534" s="325" t="s">
        <v>908</v>
      </c>
      <c r="C1534" s="325" t="s">
        <v>249</v>
      </c>
      <c r="D1534" s="325" t="s">
        <v>255</v>
      </c>
      <c r="E1534" s="325" t="s">
        <v>456</v>
      </c>
      <c r="F1534" s="325" t="s">
        <v>535</v>
      </c>
    </row>
    <row r="1535" spans="1:6" x14ac:dyDescent="0.2">
      <c r="A1535" s="325" t="s">
        <v>677</v>
      </c>
      <c r="B1535" s="325" t="s">
        <v>909</v>
      </c>
      <c r="C1535" s="325" t="s">
        <v>249</v>
      </c>
      <c r="D1535" s="325" t="s">
        <v>541</v>
      </c>
      <c r="E1535" s="325" t="s">
        <v>456</v>
      </c>
      <c r="F1535" s="325" t="s">
        <v>311</v>
      </c>
    </row>
    <row r="1536" spans="1:6" x14ac:dyDescent="0.2">
      <c r="A1536" s="325" t="s">
        <v>677</v>
      </c>
      <c r="B1536" s="325" t="s">
        <v>910</v>
      </c>
      <c r="C1536" s="325" t="s">
        <v>249</v>
      </c>
      <c r="D1536" s="325" t="s">
        <v>395</v>
      </c>
      <c r="E1536" s="325" t="s">
        <v>456</v>
      </c>
      <c r="F1536" s="325" t="s">
        <v>588</v>
      </c>
    </row>
    <row r="1537" spans="1:6" x14ac:dyDescent="0.2">
      <c r="A1537" s="325" t="s">
        <v>677</v>
      </c>
      <c r="B1537" s="325" t="s">
        <v>911</v>
      </c>
      <c r="C1537" s="325" t="s">
        <v>249</v>
      </c>
      <c r="D1537" s="325" t="s">
        <v>499</v>
      </c>
      <c r="E1537" s="325" t="s">
        <v>456</v>
      </c>
      <c r="F1537" s="325" t="s">
        <v>314</v>
      </c>
    </row>
    <row r="1538" spans="1:6" x14ac:dyDescent="0.2">
      <c r="A1538" s="325" t="s">
        <v>677</v>
      </c>
      <c r="B1538" s="325" t="s">
        <v>912</v>
      </c>
      <c r="C1538" s="325" t="s">
        <v>249</v>
      </c>
      <c r="D1538" s="325" t="s">
        <v>65</v>
      </c>
      <c r="E1538" s="325" t="s">
        <v>569</v>
      </c>
      <c r="F1538" s="325" t="s">
        <v>33</v>
      </c>
    </row>
    <row r="1539" spans="1:6" x14ac:dyDescent="0.2">
      <c r="A1539" s="325" t="s">
        <v>677</v>
      </c>
      <c r="B1539" s="325" t="s">
        <v>913</v>
      </c>
      <c r="C1539" s="325" t="s">
        <v>249</v>
      </c>
      <c r="D1539" s="325" t="s">
        <v>267</v>
      </c>
      <c r="E1539" s="325" t="s">
        <v>569</v>
      </c>
      <c r="F1539" s="325" t="s">
        <v>22</v>
      </c>
    </row>
    <row r="1540" spans="1:6" x14ac:dyDescent="0.2">
      <c r="A1540" s="325" t="s">
        <v>677</v>
      </c>
      <c r="B1540" s="325" t="s">
        <v>914</v>
      </c>
      <c r="C1540" s="325" t="s">
        <v>249</v>
      </c>
      <c r="D1540" s="325" t="s">
        <v>13</v>
      </c>
      <c r="E1540" s="325" t="s">
        <v>569</v>
      </c>
      <c r="F1540" s="325" t="s">
        <v>222</v>
      </c>
    </row>
    <row r="1541" spans="1:6" x14ac:dyDescent="0.2">
      <c r="A1541" s="325" t="s">
        <v>677</v>
      </c>
      <c r="B1541" s="325" t="s">
        <v>915</v>
      </c>
      <c r="C1541" s="325" t="s">
        <v>249</v>
      </c>
      <c r="D1541" s="325" t="s">
        <v>463</v>
      </c>
      <c r="E1541" s="325" t="s">
        <v>569</v>
      </c>
      <c r="F1541" s="325" t="s">
        <v>536</v>
      </c>
    </row>
    <row r="1542" spans="1:6" x14ac:dyDescent="0.2">
      <c r="A1542" s="325" t="s">
        <v>677</v>
      </c>
      <c r="B1542" s="325" t="s">
        <v>916</v>
      </c>
      <c r="C1542" s="325" t="s">
        <v>249</v>
      </c>
      <c r="D1542" s="325" t="s">
        <v>11</v>
      </c>
      <c r="E1542" s="325" t="s">
        <v>569</v>
      </c>
      <c r="F1542" s="325" t="s">
        <v>573</v>
      </c>
    </row>
    <row r="1543" spans="1:6" x14ac:dyDescent="0.2">
      <c r="A1543" s="325" t="s">
        <v>677</v>
      </c>
      <c r="B1543" s="325" t="s">
        <v>917</v>
      </c>
      <c r="C1543" s="325" t="s">
        <v>249</v>
      </c>
      <c r="D1543" s="325" t="s">
        <v>577</v>
      </c>
      <c r="E1543" s="325" t="s">
        <v>569</v>
      </c>
      <c r="F1543" s="325" t="s">
        <v>343</v>
      </c>
    </row>
    <row r="1544" spans="1:6" x14ac:dyDescent="0.2">
      <c r="A1544" s="325" t="s">
        <v>677</v>
      </c>
      <c r="B1544" s="325" t="s">
        <v>918</v>
      </c>
      <c r="C1544" s="325" t="s">
        <v>249</v>
      </c>
      <c r="D1544" s="325" t="s">
        <v>113</v>
      </c>
      <c r="E1544" s="325" t="s">
        <v>456</v>
      </c>
      <c r="F1544" s="325" t="s">
        <v>219</v>
      </c>
    </row>
    <row r="1545" spans="1:6" x14ac:dyDescent="0.2">
      <c r="A1545" s="325" t="s">
        <v>677</v>
      </c>
      <c r="B1545" s="325" t="s">
        <v>919</v>
      </c>
      <c r="C1545" s="325" t="s">
        <v>249</v>
      </c>
      <c r="D1545" s="325" t="s">
        <v>294</v>
      </c>
      <c r="E1545" s="325" t="s">
        <v>456</v>
      </c>
      <c r="F1545" s="325" t="s">
        <v>498</v>
      </c>
    </row>
    <row r="1546" spans="1:6" x14ac:dyDescent="0.2">
      <c r="A1546" s="325" t="s">
        <v>677</v>
      </c>
      <c r="B1546" s="325" t="s">
        <v>920</v>
      </c>
      <c r="C1546" s="325" t="s">
        <v>249</v>
      </c>
      <c r="D1546" s="325" t="s">
        <v>131</v>
      </c>
      <c r="E1546" s="325" t="s">
        <v>456</v>
      </c>
      <c r="F1546" s="325" t="s">
        <v>407</v>
      </c>
    </row>
    <row r="1547" spans="1:6" x14ac:dyDescent="0.2">
      <c r="A1547" s="325" t="s">
        <v>677</v>
      </c>
      <c r="B1547" s="325" t="s">
        <v>921</v>
      </c>
      <c r="C1547" s="325" t="s">
        <v>249</v>
      </c>
      <c r="D1547" s="325" t="s">
        <v>450</v>
      </c>
      <c r="E1547" s="325" t="s">
        <v>456</v>
      </c>
      <c r="F1547" s="325" t="s">
        <v>416</v>
      </c>
    </row>
    <row r="1548" spans="1:6" x14ac:dyDescent="0.2">
      <c r="A1548" s="325" t="s">
        <v>677</v>
      </c>
      <c r="B1548" s="325" t="s">
        <v>922</v>
      </c>
      <c r="C1548" s="325" t="s">
        <v>249</v>
      </c>
      <c r="D1548" s="325" t="s">
        <v>437</v>
      </c>
      <c r="E1548" s="325" t="s">
        <v>456</v>
      </c>
      <c r="F1548" s="325" t="s">
        <v>455</v>
      </c>
    </row>
    <row r="1549" spans="1:6" x14ac:dyDescent="0.2">
      <c r="A1549" s="325" t="s">
        <v>677</v>
      </c>
      <c r="B1549" s="325" t="s">
        <v>923</v>
      </c>
      <c r="C1549" s="325" t="s">
        <v>249</v>
      </c>
      <c r="D1549" s="325" t="s">
        <v>14</v>
      </c>
      <c r="E1549" s="325" t="s">
        <v>456</v>
      </c>
      <c r="F1549" s="325" t="s">
        <v>430</v>
      </c>
    </row>
    <row r="1550" spans="1:6" x14ac:dyDescent="0.2">
      <c r="A1550" s="325" t="s">
        <v>677</v>
      </c>
      <c r="B1550" s="325" t="s">
        <v>924</v>
      </c>
      <c r="C1550" s="325" t="s">
        <v>249</v>
      </c>
      <c r="D1550" s="325" t="s">
        <v>172</v>
      </c>
      <c r="E1550" s="325" t="s">
        <v>456</v>
      </c>
      <c r="F1550" s="325" t="s">
        <v>89</v>
      </c>
    </row>
    <row r="1551" spans="1:6" x14ac:dyDescent="0.2">
      <c r="A1551" s="325" t="s">
        <v>677</v>
      </c>
      <c r="B1551" s="325" t="s">
        <v>925</v>
      </c>
      <c r="C1551" s="325" t="s">
        <v>249</v>
      </c>
      <c r="D1551" s="325" t="s">
        <v>670</v>
      </c>
      <c r="E1551" s="325" t="s">
        <v>265</v>
      </c>
      <c r="F1551" s="325" t="s">
        <v>689</v>
      </c>
    </row>
    <row r="1552" spans="1:6" x14ac:dyDescent="0.2">
      <c r="A1552" s="325" t="s">
        <v>677</v>
      </c>
      <c r="B1552" s="325" t="s">
        <v>926</v>
      </c>
      <c r="C1552" s="325" t="s">
        <v>249</v>
      </c>
      <c r="D1552" s="325" t="s">
        <v>250</v>
      </c>
      <c r="E1552" s="325" t="s">
        <v>265</v>
      </c>
      <c r="F1552" s="325" t="s">
        <v>589</v>
      </c>
    </row>
    <row r="1553" spans="1:6" x14ac:dyDescent="0.2">
      <c r="A1553" s="325" t="s">
        <v>677</v>
      </c>
      <c r="B1553" s="325" t="s">
        <v>927</v>
      </c>
      <c r="C1553" s="325" t="s">
        <v>249</v>
      </c>
      <c r="D1553" s="325" t="s">
        <v>663</v>
      </c>
      <c r="E1553" s="325" t="s">
        <v>442</v>
      </c>
      <c r="F1553" s="325" t="s">
        <v>468</v>
      </c>
    </row>
    <row r="1554" spans="1:6" x14ac:dyDescent="0.2">
      <c r="A1554" s="325" t="s">
        <v>677</v>
      </c>
      <c r="B1554" s="325" t="s">
        <v>928</v>
      </c>
      <c r="C1554" s="325" t="s">
        <v>249</v>
      </c>
      <c r="D1554" s="325" t="s">
        <v>711</v>
      </c>
      <c r="E1554" s="325" t="s">
        <v>456</v>
      </c>
      <c r="F1554" s="325" t="s">
        <v>1013</v>
      </c>
    </row>
    <row r="1555" spans="1:6" x14ac:dyDescent="0.2">
      <c r="A1555" s="325" t="s">
        <v>677</v>
      </c>
      <c r="B1555" s="325" t="s">
        <v>929</v>
      </c>
      <c r="C1555" s="325" t="s">
        <v>249</v>
      </c>
      <c r="D1555" s="325" t="s">
        <v>704</v>
      </c>
      <c r="E1555" s="325" t="s">
        <v>442</v>
      </c>
      <c r="F1555" s="325" t="s">
        <v>715</v>
      </c>
    </row>
    <row r="1556" spans="1:6" x14ac:dyDescent="0.2">
      <c r="A1556" s="325" t="s">
        <v>677</v>
      </c>
      <c r="B1556" s="325" t="s">
        <v>930</v>
      </c>
      <c r="C1556" s="325" t="s">
        <v>249</v>
      </c>
      <c r="D1556" s="325" t="s">
        <v>0</v>
      </c>
      <c r="E1556" s="325" t="s">
        <v>442</v>
      </c>
      <c r="F1556" s="325" t="s">
        <v>584</v>
      </c>
    </row>
    <row r="1557" spans="1:6" x14ac:dyDescent="0.2">
      <c r="A1557" s="325" t="s">
        <v>677</v>
      </c>
      <c r="B1557" s="325" t="s">
        <v>931</v>
      </c>
      <c r="C1557" s="325" t="s">
        <v>249</v>
      </c>
      <c r="D1557" s="325" t="s">
        <v>344</v>
      </c>
      <c r="E1557" s="325" t="s">
        <v>442</v>
      </c>
      <c r="F1557" s="325" t="s">
        <v>114</v>
      </c>
    </row>
    <row r="1558" spans="1:6" x14ac:dyDescent="0.2">
      <c r="A1558" s="325" t="s">
        <v>677</v>
      </c>
      <c r="B1558" s="325" t="s">
        <v>932</v>
      </c>
      <c r="C1558" s="325" t="s">
        <v>249</v>
      </c>
      <c r="D1558" s="325" t="s">
        <v>173</v>
      </c>
      <c r="E1558" s="325" t="s">
        <v>456</v>
      </c>
      <c r="F1558" s="325" t="s">
        <v>193</v>
      </c>
    </row>
    <row r="1559" spans="1:6" x14ac:dyDescent="0.2">
      <c r="A1559" s="325" t="s">
        <v>677</v>
      </c>
      <c r="B1559" s="325" t="s">
        <v>933</v>
      </c>
      <c r="C1559" s="325" t="s">
        <v>249</v>
      </c>
      <c r="D1559" s="325" t="s">
        <v>680</v>
      </c>
      <c r="E1559" s="325" t="s">
        <v>456</v>
      </c>
      <c r="F1559" s="325" t="s">
        <v>683</v>
      </c>
    </row>
    <row r="1560" spans="1:6" x14ac:dyDescent="0.2">
      <c r="A1560" s="325" t="s">
        <v>677</v>
      </c>
      <c r="B1560" s="325" t="s">
        <v>934</v>
      </c>
      <c r="C1560" s="325" t="s">
        <v>249</v>
      </c>
      <c r="D1560" s="325" t="s">
        <v>681</v>
      </c>
      <c r="E1560" s="325" t="s">
        <v>456</v>
      </c>
      <c r="F1560" s="325" t="s">
        <v>684</v>
      </c>
    </row>
    <row r="1561" spans="1:6" x14ac:dyDescent="0.2">
      <c r="A1561" s="325" t="s">
        <v>677</v>
      </c>
      <c r="B1561" s="325" t="s">
        <v>935</v>
      </c>
      <c r="C1561" s="325" t="s">
        <v>249</v>
      </c>
      <c r="D1561" s="325" t="s">
        <v>479</v>
      </c>
      <c r="E1561" s="325" t="s">
        <v>456</v>
      </c>
      <c r="F1561" s="325" t="s">
        <v>312</v>
      </c>
    </row>
    <row r="1562" spans="1:6" x14ac:dyDescent="0.2">
      <c r="A1562" s="325" t="s">
        <v>677</v>
      </c>
      <c r="B1562" s="325" t="s">
        <v>936</v>
      </c>
      <c r="C1562" s="325" t="s">
        <v>249</v>
      </c>
      <c r="D1562" s="325" t="s">
        <v>286</v>
      </c>
      <c r="E1562" s="325" t="s">
        <v>456</v>
      </c>
      <c r="F1562" s="325" t="s">
        <v>441</v>
      </c>
    </row>
    <row r="1563" spans="1:6" x14ac:dyDescent="0.2">
      <c r="A1563" s="325" t="s">
        <v>677</v>
      </c>
      <c r="B1563" s="325" t="s">
        <v>937</v>
      </c>
      <c r="C1563" s="325" t="s">
        <v>249</v>
      </c>
      <c r="D1563" s="325" t="s">
        <v>127</v>
      </c>
      <c r="E1563" s="325" t="s">
        <v>456</v>
      </c>
      <c r="F1563" s="325" t="s">
        <v>5</v>
      </c>
    </row>
    <row r="1564" spans="1:6" x14ac:dyDescent="0.2">
      <c r="A1564" s="325" t="s">
        <v>677</v>
      </c>
      <c r="B1564" s="325" t="s">
        <v>938</v>
      </c>
      <c r="C1564" s="325" t="s">
        <v>249</v>
      </c>
      <c r="D1564" s="325" t="s">
        <v>552</v>
      </c>
      <c r="E1564" s="325" t="s">
        <v>456</v>
      </c>
      <c r="F1564" s="325" t="s">
        <v>290</v>
      </c>
    </row>
    <row r="1565" spans="1:6" x14ac:dyDescent="0.2">
      <c r="A1565" s="325" t="s">
        <v>677</v>
      </c>
      <c r="B1565" s="325" t="s">
        <v>939</v>
      </c>
      <c r="C1565" s="325" t="s">
        <v>249</v>
      </c>
      <c r="D1565" s="325" t="s">
        <v>194</v>
      </c>
      <c r="E1565" s="325" t="s">
        <v>456</v>
      </c>
      <c r="F1565" s="325" t="s">
        <v>586</v>
      </c>
    </row>
    <row r="1566" spans="1:6" x14ac:dyDescent="0.2">
      <c r="A1566" s="325" t="s">
        <v>677</v>
      </c>
      <c r="B1566" s="325" t="s">
        <v>940</v>
      </c>
      <c r="C1566" s="325" t="s">
        <v>249</v>
      </c>
      <c r="D1566" s="325" t="s">
        <v>19</v>
      </c>
      <c r="E1566" s="325" t="s">
        <v>456</v>
      </c>
      <c r="F1566" s="325" t="s">
        <v>525</v>
      </c>
    </row>
    <row r="1567" spans="1:6" x14ac:dyDescent="0.2">
      <c r="A1567" s="325" t="s">
        <v>677</v>
      </c>
      <c r="B1567" s="325" t="s">
        <v>941</v>
      </c>
      <c r="C1567" s="325" t="s">
        <v>249</v>
      </c>
      <c r="D1567" s="325" t="s">
        <v>408</v>
      </c>
      <c r="E1567" s="325" t="s">
        <v>456</v>
      </c>
      <c r="F1567" s="325" t="s">
        <v>1014</v>
      </c>
    </row>
    <row r="1568" spans="1:6" x14ac:dyDescent="0.2">
      <c r="A1568" s="325" t="s">
        <v>677</v>
      </c>
      <c r="B1568" s="325" t="s">
        <v>942</v>
      </c>
      <c r="C1568" s="325" t="s">
        <v>249</v>
      </c>
      <c r="D1568" s="325" t="s">
        <v>563</v>
      </c>
      <c r="E1568" s="325" t="s">
        <v>456</v>
      </c>
      <c r="F1568" s="325" t="s">
        <v>492</v>
      </c>
    </row>
    <row r="1569" spans="1:6" x14ac:dyDescent="0.2">
      <c r="A1569" s="325" t="s">
        <v>677</v>
      </c>
      <c r="B1569" s="325" t="s">
        <v>943</v>
      </c>
      <c r="C1569" s="325" t="s">
        <v>249</v>
      </c>
      <c r="D1569" s="325" t="s">
        <v>358</v>
      </c>
      <c r="E1569" s="325" t="s">
        <v>456</v>
      </c>
      <c r="F1569" s="325" t="s">
        <v>462</v>
      </c>
    </row>
    <row r="1570" spans="1:6" x14ac:dyDescent="0.2">
      <c r="A1570" s="325" t="s">
        <v>677</v>
      </c>
      <c r="B1570" s="325" t="s">
        <v>944</v>
      </c>
      <c r="C1570" s="325" t="s">
        <v>249</v>
      </c>
      <c r="D1570" s="325" t="s">
        <v>319</v>
      </c>
      <c r="E1570" s="325" t="s">
        <v>456</v>
      </c>
      <c r="F1570" s="325" t="s">
        <v>377</v>
      </c>
    </row>
    <row r="1571" spans="1:6" x14ac:dyDescent="0.2">
      <c r="A1571" s="325" t="s">
        <v>677</v>
      </c>
      <c r="B1571" s="325" t="s">
        <v>945</v>
      </c>
      <c r="C1571" s="325" t="s">
        <v>249</v>
      </c>
      <c r="D1571" s="325" t="s">
        <v>207</v>
      </c>
      <c r="E1571" s="325" t="s">
        <v>456</v>
      </c>
      <c r="F1571" s="325" t="s">
        <v>307</v>
      </c>
    </row>
    <row r="1572" spans="1:6" x14ac:dyDescent="0.2">
      <c r="A1572" s="325" t="s">
        <v>677</v>
      </c>
      <c r="B1572" s="325" t="s">
        <v>946</v>
      </c>
      <c r="C1572" s="325" t="s">
        <v>249</v>
      </c>
      <c r="D1572" s="325" t="s">
        <v>558</v>
      </c>
      <c r="E1572" s="325" t="s">
        <v>456</v>
      </c>
      <c r="F1572" s="325" t="s">
        <v>260</v>
      </c>
    </row>
    <row r="1573" spans="1:6" x14ac:dyDescent="0.2">
      <c r="A1573" s="325" t="s">
        <v>677</v>
      </c>
      <c r="B1573" s="325" t="s">
        <v>947</v>
      </c>
      <c r="C1573" s="325" t="s">
        <v>249</v>
      </c>
      <c r="D1573" s="325" t="s">
        <v>150</v>
      </c>
      <c r="E1573" s="325" t="s">
        <v>456</v>
      </c>
      <c r="F1573" s="325" t="s">
        <v>218</v>
      </c>
    </row>
    <row r="1574" spans="1:6" x14ac:dyDescent="0.2">
      <c r="A1574" s="325" t="s">
        <v>677</v>
      </c>
      <c r="B1574" s="325" t="s">
        <v>948</v>
      </c>
      <c r="C1574" s="325" t="s">
        <v>249</v>
      </c>
      <c r="D1574" s="325" t="s">
        <v>242</v>
      </c>
      <c r="E1574" s="325" t="s">
        <v>456</v>
      </c>
      <c r="F1574" s="325" t="s">
        <v>321</v>
      </c>
    </row>
    <row r="1575" spans="1:6" x14ac:dyDescent="0.2">
      <c r="A1575" s="325" t="s">
        <v>677</v>
      </c>
      <c r="B1575" s="325" t="s">
        <v>949</v>
      </c>
      <c r="C1575" s="325" t="s">
        <v>249</v>
      </c>
      <c r="D1575" s="325" t="s">
        <v>504</v>
      </c>
      <c r="E1575" s="325" t="s">
        <v>456</v>
      </c>
      <c r="F1575" s="325" t="s">
        <v>745</v>
      </c>
    </row>
    <row r="1576" spans="1:6" x14ac:dyDescent="0.2">
      <c r="A1576" s="325" t="s">
        <v>677</v>
      </c>
      <c r="B1576" s="325" t="s">
        <v>950</v>
      </c>
      <c r="C1576" s="325" t="s">
        <v>249</v>
      </c>
      <c r="D1576" s="325" t="s">
        <v>341</v>
      </c>
      <c r="E1576" s="325" t="s">
        <v>456</v>
      </c>
      <c r="F1576" s="325" t="s">
        <v>444</v>
      </c>
    </row>
    <row r="1577" spans="1:6" x14ac:dyDescent="0.2">
      <c r="A1577" s="325" t="s">
        <v>677</v>
      </c>
      <c r="B1577" s="325" t="s">
        <v>951</v>
      </c>
      <c r="C1577" s="325" t="s">
        <v>249</v>
      </c>
      <c r="D1577" s="325" t="s">
        <v>24</v>
      </c>
      <c r="E1577" s="325" t="s">
        <v>456</v>
      </c>
      <c r="F1577" s="325" t="s">
        <v>472</v>
      </c>
    </row>
    <row r="1578" spans="1:6" x14ac:dyDescent="0.2">
      <c r="A1578" s="325" t="s">
        <v>677</v>
      </c>
      <c r="B1578" s="325" t="s">
        <v>952</v>
      </c>
      <c r="C1578" s="325" t="s">
        <v>249</v>
      </c>
      <c r="D1578" s="325" t="s">
        <v>191</v>
      </c>
      <c r="E1578" s="325" t="s">
        <v>456</v>
      </c>
      <c r="F1578" s="325" t="s">
        <v>512</v>
      </c>
    </row>
    <row r="1579" spans="1:6" x14ac:dyDescent="0.2">
      <c r="A1579" s="325" t="s">
        <v>677</v>
      </c>
      <c r="B1579" s="325" t="s">
        <v>953</v>
      </c>
      <c r="C1579" s="325" t="s">
        <v>249</v>
      </c>
      <c r="D1579" s="325" t="s">
        <v>121</v>
      </c>
      <c r="E1579" s="325" t="s">
        <v>456</v>
      </c>
      <c r="F1579" s="325" t="s">
        <v>339</v>
      </c>
    </row>
    <row r="1580" spans="1:6" x14ac:dyDescent="0.2">
      <c r="A1580" s="325" t="s">
        <v>677</v>
      </c>
      <c r="B1580" s="325" t="s">
        <v>954</v>
      </c>
      <c r="C1580" s="325" t="s">
        <v>249</v>
      </c>
      <c r="D1580" s="325" t="s">
        <v>405</v>
      </c>
      <c r="E1580" s="325" t="s">
        <v>456</v>
      </c>
      <c r="F1580" s="325" t="s">
        <v>476</v>
      </c>
    </row>
    <row r="1581" spans="1:6" x14ac:dyDescent="0.2">
      <c r="A1581" s="325" t="s">
        <v>677</v>
      </c>
      <c r="B1581" s="325" t="s">
        <v>955</v>
      </c>
      <c r="C1581" s="325" t="s">
        <v>249</v>
      </c>
      <c r="D1581" s="325" t="s">
        <v>300</v>
      </c>
      <c r="E1581" s="325" t="s">
        <v>456</v>
      </c>
      <c r="F1581" s="325" t="s">
        <v>746</v>
      </c>
    </row>
    <row r="1582" spans="1:6" x14ac:dyDescent="0.2">
      <c r="A1582" s="325" t="s">
        <v>677</v>
      </c>
      <c r="B1582" s="325" t="s">
        <v>956</v>
      </c>
      <c r="C1582" s="325" t="s">
        <v>249</v>
      </c>
      <c r="D1582" s="325" t="s">
        <v>48</v>
      </c>
      <c r="E1582" s="325" t="s">
        <v>456</v>
      </c>
      <c r="F1582" s="325" t="s">
        <v>550</v>
      </c>
    </row>
    <row r="1583" spans="1:6" x14ac:dyDescent="0.2">
      <c r="A1583" s="325" t="s">
        <v>677</v>
      </c>
      <c r="B1583" s="325" t="s">
        <v>957</v>
      </c>
      <c r="C1583" s="325" t="s">
        <v>249</v>
      </c>
      <c r="D1583" s="325" t="s">
        <v>500</v>
      </c>
      <c r="E1583" s="325" t="s">
        <v>456</v>
      </c>
      <c r="F1583" s="325" t="s">
        <v>82</v>
      </c>
    </row>
    <row r="1584" spans="1:6" x14ac:dyDescent="0.2">
      <c r="A1584" s="325" t="s">
        <v>677</v>
      </c>
      <c r="B1584" s="325" t="s">
        <v>958</v>
      </c>
      <c r="C1584" s="325" t="s">
        <v>249</v>
      </c>
      <c r="D1584" s="325" t="s">
        <v>388</v>
      </c>
      <c r="E1584" s="325" t="s">
        <v>456</v>
      </c>
      <c r="F1584" s="325" t="s">
        <v>435</v>
      </c>
    </row>
    <row r="1585" spans="1:6" x14ac:dyDescent="0.2">
      <c r="A1585" s="325" t="s">
        <v>677</v>
      </c>
      <c r="B1585" s="325" t="s">
        <v>959</v>
      </c>
      <c r="C1585" s="325" t="s">
        <v>249</v>
      </c>
      <c r="D1585" s="325" t="s">
        <v>491</v>
      </c>
      <c r="E1585" s="325" t="s">
        <v>456</v>
      </c>
      <c r="F1585" s="325" t="s">
        <v>373</v>
      </c>
    </row>
    <row r="1586" spans="1:6" x14ac:dyDescent="0.2">
      <c r="A1586" s="325" t="s">
        <v>677</v>
      </c>
      <c r="B1586" s="325" t="s">
        <v>960</v>
      </c>
      <c r="C1586" s="325" t="s">
        <v>249</v>
      </c>
      <c r="D1586" s="325" t="s">
        <v>567</v>
      </c>
      <c r="E1586" s="325" t="s">
        <v>456</v>
      </c>
      <c r="F1586" s="325" t="s">
        <v>473</v>
      </c>
    </row>
    <row r="1587" spans="1:6" x14ac:dyDescent="0.2">
      <c r="A1587" s="325" t="s">
        <v>677</v>
      </c>
      <c r="B1587" s="325" t="s">
        <v>961</v>
      </c>
      <c r="C1587" s="325" t="s">
        <v>249</v>
      </c>
      <c r="D1587" s="325" t="s">
        <v>126</v>
      </c>
      <c r="E1587" s="325" t="s">
        <v>456</v>
      </c>
      <c r="F1587" s="325" t="s">
        <v>81</v>
      </c>
    </row>
    <row r="1588" spans="1:6" x14ac:dyDescent="0.2">
      <c r="A1588" s="325" t="s">
        <v>677</v>
      </c>
      <c r="B1588" s="325" t="s">
        <v>962</v>
      </c>
      <c r="C1588" s="325" t="s">
        <v>249</v>
      </c>
      <c r="D1588" s="325" t="s">
        <v>528</v>
      </c>
      <c r="E1588" s="325" t="s">
        <v>456</v>
      </c>
      <c r="F1588" s="325" t="s">
        <v>281</v>
      </c>
    </row>
    <row r="1589" spans="1:6" x14ac:dyDescent="0.2">
      <c r="A1589" s="325" t="s">
        <v>677</v>
      </c>
      <c r="B1589" s="325" t="s">
        <v>963</v>
      </c>
      <c r="C1589" s="325" t="s">
        <v>249</v>
      </c>
      <c r="D1589" s="325" t="s">
        <v>483</v>
      </c>
      <c r="E1589" s="325" t="s">
        <v>456</v>
      </c>
      <c r="F1589" s="325" t="s">
        <v>587</v>
      </c>
    </row>
    <row r="1590" spans="1:6" x14ac:dyDescent="0.2">
      <c r="A1590" s="325" t="s">
        <v>677</v>
      </c>
      <c r="B1590" s="325" t="s">
        <v>964</v>
      </c>
      <c r="C1590" s="325" t="s">
        <v>249</v>
      </c>
      <c r="D1590" s="325" t="s">
        <v>531</v>
      </c>
      <c r="E1590" s="325" t="s">
        <v>556</v>
      </c>
      <c r="F1590" s="325" t="s">
        <v>247</v>
      </c>
    </row>
    <row r="1591" spans="1:6" x14ac:dyDescent="0.2">
      <c r="A1591" s="325" t="s">
        <v>677</v>
      </c>
      <c r="B1591" s="325" t="s">
        <v>965</v>
      </c>
      <c r="C1591" s="325" t="s">
        <v>249</v>
      </c>
      <c r="D1591" s="325" t="s">
        <v>201</v>
      </c>
      <c r="E1591" s="325" t="s">
        <v>265</v>
      </c>
      <c r="F1591" s="325" t="s">
        <v>141</v>
      </c>
    </row>
    <row r="1592" spans="1:6" x14ac:dyDescent="0.2">
      <c r="A1592" s="325" t="s">
        <v>677</v>
      </c>
      <c r="B1592" s="325" t="s">
        <v>966</v>
      </c>
      <c r="C1592" s="325" t="s">
        <v>249</v>
      </c>
      <c r="D1592" s="325" t="s">
        <v>325</v>
      </c>
      <c r="E1592" s="325" t="s">
        <v>265</v>
      </c>
      <c r="F1592" s="325" t="s">
        <v>457</v>
      </c>
    </row>
    <row r="1593" spans="1:6" x14ac:dyDescent="0.2">
      <c r="A1593" s="325" t="s">
        <v>677</v>
      </c>
      <c r="B1593" s="325" t="s">
        <v>967</v>
      </c>
      <c r="C1593" s="325" t="s">
        <v>249</v>
      </c>
      <c r="D1593" s="325" t="s">
        <v>707</v>
      </c>
      <c r="E1593" s="325" t="s">
        <v>265</v>
      </c>
      <c r="F1593" s="325" t="s">
        <v>705</v>
      </c>
    </row>
    <row r="1594" spans="1:6" x14ac:dyDescent="0.2">
      <c r="A1594" s="325" t="s">
        <v>677</v>
      </c>
      <c r="B1594" s="325" t="s">
        <v>968</v>
      </c>
      <c r="C1594" s="325" t="s">
        <v>249</v>
      </c>
      <c r="D1594" s="325" t="s">
        <v>708</v>
      </c>
      <c r="E1594" s="325" t="s">
        <v>265</v>
      </c>
      <c r="F1594" s="325" t="s">
        <v>706</v>
      </c>
    </row>
    <row r="1595" spans="1:6" x14ac:dyDescent="0.2">
      <c r="A1595" s="325" t="s">
        <v>677</v>
      </c>
      <c r="B1595" s="325" t="s">
        <v>969</v>
      </c>
      <c r="C1595" s="325" t="s">
        <v>249</v>
      </c>
      <c r="D1595" s="325" t="s">
        <v>710</v>
      </c>
      <c r="E1595" s="325" t="s">
        <v>456</v>
      </c>
      <c r="F1595" s="325" t="s">
        <v>747</v>
      </c>
    </row>
    <row r="1596" spans="1:6" x14ac:dyDescent="0.2">
      <c r="A1596" s="325" t="s">
        <v>677</v>
      </c>
      <c r="B1596" s="325" t="s">
        <v>970</v>
      </c>
      <c r="C1596" s="325" t="s">
        <v>249</v>
      </c>
      <c r="D1596" s="325" t="s">
        <v>269</v>
      </c>
      <c r="E1596" s="325" t="s">
        <v>456</v>
      </c>
      <c r="F1596" s="325" t="s">
        <v>203</v>
      </c>
    </row>
    <row r="1597" spans="1:6" x14ac:dyDescent="0.2">
      <c r="A1597" s="325" t="s">
        <v>677</v>
      </c>
      <c r="B1597" s="325" t="s">
        <v>971</v>
      </c>
      <c r="C1597" s="325" t="s">
        <v>249</v>
      </c>
      <c r="D1597" s="325" t="s">
        <v>413</v>
      </c>
      <c r="E1597" s="325" t="s">
        <v>456</v>
      </c>
      <c r="F1597" s="325" t="s">
        <v>273</v>
      </c>
    </row>
    <row r="1598" spans="1:6" x14ac:dyDescent="0.2">
      <c r="A1598" s="325" t="s">
        <v>677</v>
      </c>
      <c r="B1598" s="325" t="s">
        <v>972</v>
      </c>
      <c r="C1598" s="325" t="s">
        <v>249</v>
      </c>
      <c r="D1598" s="325" t="s">
        <v>251</v>
      </c>
      <c r="E1598" s="325" t="s">
        <v>456</v>
      </c>
      <c r="F1598" s="325" t="s">
        <v>4</v>
      </c>
    </row>
    <row r="1599" spans="1:6" x14ac:dyDescent="0.2">
      <c r="A1599" s="325" t="s">
        <v>677</v>
      </c>
      <c r="B1599" s="325" t="s">
        <v>973</v>
      </c>
      <c r="C1599" s="325" t="s">
        <v>249</v>
      </c>
      <c r="D1599" s="325" t="s">
        <v>465</v>
      </c>
      <c r="E1599" s="325" t="s">
        <v>456</v>
      </c>
      <c r="F1599" s="325" t="s">
        <v>58</v>
      </c>
    </row>
    <row r="1600" spans="1:6" x14ac:dyDescent="0.2">
      <c r="A1600" s="325" t="s">
        <v>677</v>
      </c>
      <c r="B1600" s="325" t="s">
        <v>974</v>
      </c>
      <c r="C1600" s="325" t="s">
        <v>249</v>
      </c>
      <c r="D1600" s="325" t="s">
        <v>51</v>
      </c>
      <c r="E1600" s="325" t="s">
        <v>456</v>
      </c>
      <c r="F1600" s="325" t="s">
        <v>266</v>
      </c>
    </row>
    <row r="1601" spans="1:6" x14ac:dyDescent="0.2">
      <c r="A1601" s="325" t="s">
        <v>677</v>
      </c>
      <c r="B1601" s="325" t="s">
        <v>975</v>
      </c>
      <c r="C1601" s="325" t="s">
        <v>249</v>
      </c>
      <c r="D1601" s="325" t="s">
        <v>283</v>
      </c>
      <c r="E1601" s="325" t="s">
        <v>456</v>
      </c>
      <c r="F1601" s="325" t="s">
        <v>53</v>
      </c>
    </row>
    <row r="1602" spans="1:6" x14ac:dyDescent="0.2">
      <c r="A1602" s="325" t="s">
        <v>677</v>
      </c>
      <c r="B1602" s="325" t="s">
        <v>976</v>
      </c>
      <c r="C1602" s="325" t="s">
        <v>249</v>
      </c>
      <c r="D1602" s="325" t="s">
        <v>542</v>
      </c>
      <c r="E1602" s="325" t="s">
        <v>456</v>
      </c>
      <c r="F1602" s="325" t="s">
        <v>372</v>
      </c>
    </row>
    <row r="1603" spans="1:6" x14ac:dyDescent="0.2">
      <c r="A1603" s="325" t="s">
        <v>677</v>
      </c>
      <c r="B1603" s="325" t="s">
        <v>977</v>
      </c>
      <c r="C1603" s="325" t="s">
        <v>249</v>
      </c>
      <c r="D1603" s="325" t="s">
        <v>576</v>
      </c>
      <c r="E1603" s="325" t="s">
        <v>456</v>
      </c>
      <c r="F1603" s="325" t="s">
        <v>333</v>
      </c>
    </row>
    <row r="1604" spans="1:6" x14ac:dyDescent="0.2">
      <c r="A1604" s="325" t="s">
        <v>677</v>
      </c>
      <c r="B1604" s="325" t="s">
        <v>978</v>
      </c>
      <c r="C1604" s="325" t="s">
        <v>249</v>
      </c>
      <c r="D1604" s="325" t="s">
        <v>112</v>
      </c>
      <c r="E1604" s="325" t="s">
        <v>456</v>
      </c>
      <c r="F1604" s="325" t="s">
        <v>259</v>
      </c>
    </row>
    <row r="1605" spans="1:6" x14ac:dyDescent="0.2">
      <c r="A1605" s="325" t="s">
        <v>677</v>
      </c>
      <c r="B1605" s="325" t="s">
        <v>979</v>
      </c>
      <c r="C1605" s="325" t="s">
        <v>249</v>
      </c>
      <c r="D1605" s="325" t="s">
        <v>363</v>
      </c>
      <c r="E1605" s="325" t="s">
        <v>456</v>
      </c>
      <c r="F1605" s="325" t="s">
        <v>485</v>
      </c>
    </row>
    <row r="1606" spans="1:6" x14ac:dyDescent="0.2">
      <c r="A1606" s="325" t="s">
        <v>677</v>
      </c>
      <c r="B1606" s="325" t="s">
        <v>980</v>
      </c>
      <c r="C1606" s="325" t="s">
        <v>249</v>
      </c>
      <c r="D1606" s="325" t="s">
        <v>185</v>
      </c>
      <c r="E1606" s="325" t="s">
        <v>456</v>
      </c>
      <c r="F1606" s="325" t="s">
        <v>159</v>
      </c>
    </row>
    <row r="1607" spans="1:6" x14ac:dyDescent="0.2">
      <c r="A1607" s="325" t="s">
        <v>677</v>
      </c>
      <c r="B1607" s="325" t="s">
        <v>981</v>
      </c>
      <c r="C1607" s="325" t="s">
        <v>249</v>
      </c>
      <c r="D1607" s="325" t="s">
        <v>345</v>
      </c>
      <c r="E1607" s="325" t="s">
        <v>456</v>
      </c>
      <c r="F1607" s="325" t="s">
        <v>404</v>
      </c>
    </row>
    <row r="1608" spans="1:6" x14ac:dyDescent="0.2">
      <c r="A1608" s="325" t="s">
        <v>677</v>
      </c>
      <c r="B1608" s="325" t="s">
        <v>982</v>
      </c>
      <c r="C1608" s="325" t="s">
        <v>249</v>
      </c>
      <c r="D1608" s="325" t="s">
        <v>180</v>
      </c>
      <c r="E1608" s="325" t="s">
        <v>456</v>
      </c>
      <c r="F1608" s="325" t="s">
        <v>103</v>
      </c>
    </row>
    <row r="1609" spans="1:6" x14ac:dyDescent="0.2">
      <c r="A1609" s="325" t="s">
        <v>677</v>
      </c>
      <c r="B1609" s="325" t="s">
        <v>983</v>
      </c>
      <c r="C1609" s="325" t="s">
        <v>249</v>
      </c>
      <c r="D1609" s="325" t="s">
        <v>421</v>
      </c>
      <c r="E1609" s="325" t="s">
        <v>456</v>
      </c>
      <c r="F1609" s="325" t="s">
        <v>426</v>
      </c>
    </row>
    <row r="1610" spans="1:6" x14ac:dyDescent="0.2">
      <c r="A1610" s="325" t="s">
        <v>677</v>
      </c>
      <c r="B1610" s="325" t="s">
        <v>984</v>
      </c>
      <c r="C1610" s="325" t="s">
        <v>249</v>
      </c>
      <c r="D1610" s="325" t="s">
        <v>96</v>
      </c>
      <c r="E1610" s="325" t="s">
        <v>456</v>
      </c>
      <c r="F1610" s="325" t="s">
        <v>376</v>
      </c>
    </row>
    <row r="1611" spans="1:6" x14ac:dyDescent="0.2">
      <c r="A1611" s="325" t="s">
        <v>677</v>
      </c>
      <c r="B1611" s="325" t="s">
        <v>985</v>
      </c>
      <c r="C1611" s="325" t="s">
        <v>249</v>
      </c>
      <c r="D1611" s="325" t="s">
        <v>590</v>
      </c>
      <c r="E1611" s="325" t="s">
        <v>456</v>
      </c>
      <c r="F1611" s="325" t="s">
        <v>690</v>
      </c>
    </row>
    <row r="1612" spans="1:6" x14ac:dyDescent="0.2">
      <c r="A1612" s="325" t="s">
        <v>677</v>
      </c>
      <c r="B1612" s="325" t="s">
        <v>986</v>
      </c>
      <c r="C1612" s="325" t="s">
        <v>249</v>
      </c>
      <c r="D1612" s="325" t="s">
        <v>592</v>
      </c>
      <c r="E1612" s="325" t="s">
        <v>456</v>
      </c>
      <c r="F1612" s="325" t="s">
        <v>691</v>
      </c>
    </row>
    <row r="1613" spans="1:6" x14ac:dyDescent="0.2">
      <c r="A1613" s="325" t="s">
        <v>677</v>
      </c>
      <c r="B1613" s="325" t="s">
        <v>987</v>
      </c>
      <c r="C1613" s="325" t="s">
        <v>249</v>
      </c>
      <c r="D1613" s="325" t="s">
        <v>593</v>
      </c>
      <c r="E1613" s="325" t="s">
        <v>456</v>
      </c>
      <c r="F1613" s="325" t="s">
        <v>692</v>
      </c>
    </row>
    <row r="1614" spans="1:6" x14ac:dyDescent="0.2">
      <c r="A1614" s="325" t="s">
        <v>677</v>
      </c>
      <c r="B1614" s="325" t="s">
        <v>988</v>
      </c>
      <c r="C1614" s="325" t="s">
        <v>249</v>
      </c>
      <c r="D1614" s="325" t="s">
        <v>594</v>
      </c>
      <c r="E1614" s="325" t="s">
        <v>456</v>
      </c>
      <c r="F1614" s="325" t="s">
        <v>693</v>
      </c>
    </row>
    <row r="1615" spans="1:6" x14ac:dyDescent="0.2">
      <c r="A1615" s="325" t="s">
        <v>677</v>
      </c>
      <c r="B1615" s="325" t="s">
        <v>989</v>
      </c>
      <c r="C1615" s="325" t="s">
        <v>249</v>
      </c>
      <c r="D1615" s="325" t="s">
        <v>595</v>
      </c>
      <c r="E1615" s="325" t="s">
        <v>456</v>
      </c>
      <c r="F1615" s="325" t="s">
        <v>694</v>
      </c>
    </row>
    <row r="1616" spans="1:6" x14ac:dyDescent="0.2">
      <c r="A1616" s="325" t="s">
        <v>677</v>
      </c>
      <c r="B1616" s="325" t="s">
        <v>990</v>
      </c>
      <c r="C1616" s="325" t="s">
        <v>249</v>
      </c>
      <c r="D1616" s="325" t="s">
        <v>596</v>
      </c>
      <c r="E1616" s="325" t="s">
        <v>456</v>
      </c>
      <c r="F1616" s="325" t="s">
        <v>695</v>
      </c>
    </row>
    <row r="1617" spans="1:6" x14ac:dyDescent="0.2">
      <c r="A1617" s="325" t="s">
        <v>677</v>
      </c>
      <c r="B1617" s="325" t="s">
        <v>793</v>
      </c>
      <c r="C1617" s="325" t="s">
        <v>787</v>
      </c>
      <c r="D1617" s="325" t="s">
        <v>654</v>
      </c>
      <c r="E1617" s="325" t="s">
        <v>265</v>
      </c>
      <c r="F1617" s="325" t="s">
        <v>998</v>
      </c>
    </row>
    <row r="1618" spans="1:6" x14ac:dyDescent="0.2">
      <c r="A1618" s="325" t="s">
        <v>677</v>
      </c>
      <c r="B1618" s="325" t="s">
        <v>794</v>
      </c>
      <c r="C1618" s="325" t="s">
        <v>787</v>
      </c>
      <c r="D1618" s="325" t="s">
        <v>510</v>
      </c>
      <c r="E1618" s="325" t="s">
        <v>265</v>
      </c>
      <c r="F1618" s="325" t="s">
        <v>999</v>
      </c>
    </row>
    <row r="1619" spans="1:6" x14ac:dyDescent="0.2">
      <c r="A1619" s="325" t="s">
        <v>677</v>
      </c>
      <c r="B1619" s="325" t="s">
        <v>795</v>
      </c>
      <c r="C1619" s="325" t="s">
        <v>787</v>
      </c>
      <c r="D1619" s="325" t="s">
        <v>400</v>
      </c>
      <c r="E1619" s="325" t="s">
        <v>265</v>
      </c>
      <c r="F1619" s="325" t="s">
        <v>1001</v>
      </c>
    </row>
    <row r="1620" spans="1:6" x14ac:dyDescent="0.2">
      <c r="A1620" s="325" t="s">
        <v>677</v>
      </c>
      <c r="B1620" s="325" t="s">
        <v>796</v>
      </c>
      <c r="C1620" s="325" t="s">
        <v>787</v>
      </c>
      <c r="D1620" s="325" t="s">
        <v>302</v>
      </c>
      <c r="E1620" s="325" t="s">
        <v>265</v>
      </c>
      <c r="F1620" s="325" t="s">
        <v>1000</v>
      </c>
    </row>
    <row r="1621" spans="1:6" x14ac:dyDescent="0.2">
      <c r="A1621" s="325" t="s">
        <v>677</v>
      </c>
      <c r="B1621" s="325" t="s">
        <v>797</v>
      </c>
      <c r="C1621" s="325" t="s">
        <v>787</v>
      </c>
      <c r="D1621" s="325" t="s">
        <v>28</v>
      </c>
      <c r="E1621" s="325" t="s">
        <v>442</v>
      </c>
      <c r="F1621" s="325" t="s">
        <v>1008</v>
      </c>
    </row>
    <row r="1622" spans="1:6" x14ac:dyDescent="0.2">
      <c r="A1622" s="325" t="s">
        <v>677</v>
      </c>
      <c r="B1622" s="325" t="s">
        <v>798</v>
      </c>
      <c r="C1622" s="325" t="s">
        <v>787</v>
      </c>
      <c r="D1622" s="325" t="s">
        <v>67</v>
      </c>
      <c r="E1622" s="325" t="s">
        <v>556</v>
      </c>
      <c r="F1622" s="325" t="s">
        <v>1009</v>
      </c>
    </row>
    <row r="1623" spans="1:6" x14ac:dyDescent="0.2">
      <c r="A1623" s="325" t="s">
        <v>677</v>
      </c>
      <c r="B1623" s="325" t="s">
        <v>799</v>
      </c>
      <c r="C1623" s="325" t="s">
        <v>787</v>
      </c>
      <c r="D1623" s="325" t="s">
        <v>168</v>
      </c>
      <c r="E1623" s="325" t="s">
        <v>265</v>
      </c>
      <c r="F1623" s="325" t="s">
        <v>145</v>
      </c>
    </row>
    <row r="1624" spans="1:6" x14ac:dyDescent="0.2">
      <c r="A1624" s="325" t="s">
        <v>677</v>
      </c>
      <c r="B1624" s="325" t="s">
        <v>800</v>
      </c>
      <c r="C1624" s="325" t="s">
        <v>787</v>
      </c>
      <c r="D1624" s="325" t="s">
        <v>310</v>
      </c>
      <c r="E1624" s="325" t="s">
        <v>265</v>
      </c>
      <c r="F1624" s="325" t="s">
        <v>350</v>
      </c>
    </row>
    <row r="1625" spans="1:6" x14ac:dyDescent="0.2">
      <c r="A1625" s="325" t="s">
        <v>677</v>
      </c>
      <c r="B1625" s="325" t="s">
        <v>801</v>
      </c>
      <c r="C1625" s="325" t="s">
        <v>787</v>
      </c>
      <c r="D1625" s="325" t="s">
        <v>87</v>
      </c>
      <c r="E1625" s="325" t="s">
        <v>265</v>
      </c>
      <c r="F1625" s="325" t="s">
        <v>79</v>
      </c>
    </row>
    <row r="1626" spans="1:6" x14ac:dyDescent="0.2">
      <c r="A1626" s="325" t="s">
        <v>677</v>
      </c>
      <c r="B1626" s="325" t="s">
        <v>802</v>
      </c>
      <c r="C1626" s="325" t="s">
        <v>787</v>
      </c>
      <c r="D1626" s="325" t="s">
        <v>228</v>
      </c>
      <c r="E1626" s="325" t="s">
        <v>265</v>
      </c>
      <c r="F1626" s="325" t="s">
        <v>331</v>
      </c>
    </row>
    <row r="1627" spans="1:6" x14ac:dyDescent="0.2">
      <c r="A1627" s="325" t="s">
        <v>677</v>
      </c>
      <c r="B1627" s="325" t="s">
        <v>803</v>
      </c>
      <c r="C1627" s="325" t="s">
        <v>787</v>
      </c>
      <c r="D1627" s="325" t="s">
        <v>144</v>
      </c>
      <c r="E1627" s="325" t="s">
        <v>265</v>
      </c>
      <c r="F1627" s="325" t="s">
        <v>340</v>
      </c>
    </row>
    <row r="1628" spans="1:6" x14ac:dyDescent="0.2">
      <c r="A1628" s="325" t="s">
        <v>677</v>
      </c>
      <c r="B1628" s="325" t="s">
        <v>804</v>
      </c>
      <c r="C1628" s="325" t="s">
        <v>787</v>
      </c>
      <c r="D1628" s="325" t="s">
        <v>429</v>
      </c>
      <c r="E1628" s="325" t="s">
        <v>265</v>
      </c>
      <c r="F1628" s="325" t="s">
        <v>263</v>
      </c>
    </row>
    <row r="1629" spans="1:6" x14ac:dyDescent="0.2">
      <c r="A1629" s="325" t="s">
        <v>677</v>
      </c>
      <c r="B1629" s="325" t="s">
        <v>805</v>
      </c>
      <c r="C1629" s="325" t="s">
        <v>787</v>
      </c>
      <c r="D1629" s="325" t="s">
        <v>182</v>
      </c>
      <c r="E1629" s="325" t="s">
        <v>265</v>
      </c>
      <c r="F1629" s="325" t="s">
        <v>223</v>
      </c>
    </row>
    <row r="1630" spans="1:6" x14ac:dyDescent="0.2">
      <c r="A1630" s="325" t="s">
        <v>677</v>
      </c>
      <c r="B1630" s="325" t="s">
        <v>806</v>
      </c>
      <c r="C1630" s="325" t="s">
        <v>787</v>
      </c>
      <c r="D1630" s="325" t="s">
        <v>298</v>
      </c>
      <c r="E1630" s="325" t="s">
        <v>265</v>
      </c>
      <c r="F1630" s="325" t="s">
        <v>423</v>
      </c>
    </row>
    <row r="1631" spans="1:6" x14ac:dyDescent="0.2">
      <c r="A1631" s="325" t="s">
        <v>677</v>
      </c>
      <c r="B1631" s="325" t="s">
        <v>807</v>
      </c>
      <c r="C1631" s="325" t="s">
        <v>787</v>
      </c>
      <c r="D1631" s="325" t="s">
        <v>571</v>
      </c>
      <c r="E1631" s="325" t="s">
        <v>265</v>
      </c>
      <c r="F1631" s="325" t="s">
        <v>258</v>
      </c>
    </row>
    <row r="1632" spans="1:6" x14ac:dyDescent="0.2">
      <c r="A1632" s="325" t="s">
        <v>677</v>
      </c>
      <c r="B1632" s="325" t="s">
        <v>808</v>
      </c>
      <c r="C1632" s="325" t="s">
        <v>787</v>
      </c>
      <c r="D1632" s="325" t="s">
        <v>156</v>
      </c>
      <c r="E1632" s="325" t="s">
        <v>265</v>
      </c>
      <c r="F1632" s="325" t="s">
        <v>226</v>
      </c>
    </row>
    <row r="1633" spans="1:6" x14ac:dyDescent="0.2">
      <c r="A1633" s="325" t="s">
        <v>677</v>
      </c>
      <c r="B1633" s="325" t="s">
        <v>809</v>
      </c>
      <c r="C1633" s="325" t="s">
        <v>787</v>
      </c>
      <c r="D1633" s="325" t="s">
        <v>299</v>
      </c>
      <c r="E1633" s="325" t="s">
        <v>265</v>
      </c>
      <c r="F1633" s="325" t="s">
        <v>3</v>
      </c>
    </row>
    <row r="1634" spans="1:6" x14ac:dyDescent="0.2">
      <c r="A1634" s="325" t="s">
        <v>677</v>
      </c>
      <c r="B1634" s="325" t="s">
        <v>810</v>
      </c>
      <c r="C1634" s="325" t="s">
        <v>787</v>
      </c>
      <c r="D1634" s="325" t="s">
        <v>164</v>
      </c>
      <c r="E1634" s="325" t="s">
        <v>265</v>
      </c>
      <c r="F1634" s="325" t="s">
        <v>524</v>
      </c>
    </row>
    <row r="1635" spans="1:6" x14ac:dyDescent="0.2">
      <c r="A1635" s="325" t="s">
        <v>677</v>
      </c>
      <c r="B1635" s="325" t="s">
        <v>811</v>
      </c>
      <c r="C1635" s="325" t="s">
        <v>787</v>
      </c>
      <c r="D1635" s="325" t="s">
        <v>403</v>
      </c>
      <c r="E1635" s="325" t="s">
        <v>265</v>
      </c>
      <c r="F1635" s="325" t="s">
        <v>195</v>
      </c>
    </row>
    <row r="1636" spans="1:6" x14ac:dyDescent="0.2">
      <c r="A1636" s="325" t="s">
        <v>677</v>
      </c>
      <c r="B1636" s="325" t="s">
        <v>812</v>
      </c>
      <c r="C1636" s="325" t="s">
        <v>787</v>
      </c>
      <c r="D1636" s="325" t="s">
        <v>367</v>
      </c>
      <c r="E1636" s="325" t="s">
        <v>265</v>
      </c>
      <c r="F1636" s="325" t="s">
        <v>461</v>
      </c>
    </row>
    <row r="1637" spans="1:6" x14ac:dyDescent="0.2">
      <c r="A1637" s="325" t="s">
        <v>677</v>
      </c>
      <c r="B1637" s="325" t="s">
        <v>813</v>
      </c>
      <c r="C1637" s="325" t="s">
        <v>787</v>
      </c>
      <c r="D1637" s="325" t="s">
        <v>105</v>
      </c>
      <c r="E1637" s="325" t="s">
        <v>442</v>
      </c>
      <c r="F1637" s="325" t="s">
        <v>393</v>
      </c>
    </row>
    <row r="1638" spans="1:6" x14ac:dyDescent="0.2">
      <c r="A1638" s="325" t="s">
        <v>677</v>
      </c>
      <c r="B1638" s="325" t="s">
        <v>814</v>
      </c>
      <c r="C1638" s="325" t="s">
        <v>787</v>
      </c>
      <c r="D1638" s="325" t="s">
        <v>520</v>
      </c>
      <c r="E1638" s="325" t="s">
        <v>265</v>
      </c>
      <c r="F1638" s="325" t="s">
        <v>277</v>
      </c>
    </row>
    <row r="1639" spans="1:6" x14ac:dyDescent="0.2">
      <c r="A1639" s="325" t="s">
        <v>677</v>
      </c>
      <c r="B1639" s="325" t="s">
        <v>815</v>
      </c>
      <c r="C1639" s="325" t="s">
        <v>787</v>
      </c>
      <c r="D1639" s="325" t="s">
        <v>469</v>
      </c>
      <c r="E1639" s="325" t="s">
        <v>265</v>
      </c>
      <c r="F1639" s="325" t="s">
        <v>452</v>
      </c>
    </row>
    <row r="1640" spans="1:6" x14ac:dyDescent="0.2">
      <c r="A1640" s="325" t="s">
        <v>677</v>
      </c>
      <c r="B1640" s="325" t="s">
        <v>816</v>
      </c>
      <c r="C1640" s="325" t="s">
        <v>787</v>
      </c>
      <c r="D1640" s="325" t="s">
        <v>432</v>
      </c>
      <c r="E1640" s="325" t="s">
        <v>265</v>
      </c>
      <c r="F1640" s="325" t="s">
        <v>489</v>
      </c>
    </row>
    <row r="1641" spans="1:6" x14ac:dyDescent="0.2">
      <c r="A1641" s="325" t="s">
        <v>677</v>
      </c>
      <c r="B1641" s="325" t="s">
        <v>817</v>
      </c>
      <c r="C1641" s="325" t="s">
        <v>787</v>
      </c>
      <c r="D1641" s="325" t="s">
        <v>75</v>
      </c>
      <c r="E1641" s="325" t="s">
        <v>442</v>
      </c>
      <c r="F1641" s="325" t="s">
        <v>288</v>
      </c>
    </row>
    <row r="1642" spans="1:6" x14ac:dyDescent="0.2">
      <c r="A1642" s="325" t="s">
        <v>677</v>
      </c>
      <c r="B1642" s="325" t="s">
        <v>818</v>
      </c>
      <c r="C1642" s="325" t="s">
        <v>787</v>
      </c>
      <c r="D1642" s="325" t="s">
        <v>666</v>
      </c>
      <c r="E1642" s="325" t="s">
        <v>556</v>
      </c>
      <c r="F1642" s="325" t="s">
        <v>665</v>
      </c>
    </row>
    <row r="1643" spans="1:6" x14ac:dyDescent="0.2">
      <c r="A1643" s="325" t="s">
        <v>677</v>
      </c>
      <c r="B1643" s="325" t="s">
        <v>819</v>
      </c>
      <c r="C1643" s="325" t="s">
        <v>787</v>
      </c>
      <c r="D1643" s="325" t="s">
        <v>111</v>
      </c>
      <c r="E1643" s="325" t="s">
        <v>265</v>
      </c>
      <c r="F1643" s="325" t="s">
        <v>261</v>
      </c>
    </row>
    <row r="1644" spans="1:6" x14ac:dyDescent="0.2">
      <c r="A1644" s="325" t="s">
        <v>677</v>
      </c>
      <c r="B1644" s="325" t="s">
        <v>820</v>
      </c>
      <c r="C1644" s="325" t="s">
        <v>787</v>
      </c>
      <c r="D1644" s="325" t="s">
        <v>289</v>
      </c>
      <c r="E1644" s="325" t="s">
        <v>265</v>
      </c>
      <c r="F1644" s="325" t="s">
        <v>674</v>
      </c>
    </row>
    <row r="1645" spans="1:6" x14ac:dyDescent="0.2">
      <c r="A1645" s="325" t="s">
        <v>677</v>
      </c>
      <c r="B1645" s="325" t="s">
        <v>821</v>
      </c>
      <c r="C1645" s="325" t="s">
        <v>787</v>
      </c>
      <c r="D1645" s="325" t="s">
        <v>308</v>
      </c>
      <c r="E1645" s="325" t="s">
        <v>265</v>
      </c>
      <c r="F1645" s="325" t="s">
        <v>675</v>
      </c>
    </row>
    <row r="1646" spans="1:6" x14ac:dyDescent="0.2">
      <c r="A1646" s="325" t="s">
        <v>677</v>
      </c>
      <c r="B1646" s="325" t="s">
        <v>822</v>
      </c>
      <c r="C1646" s="325" t="s">
        <v>787</v>
      </c>
      <c r="D1646" s="325" t="s">
        <v>411</v>
      </c>
      <c r="E1646" s="325" t="s">
        <v>265</v>
      </c>
      <c r="F1646" s="325" t="s">
        <v>115</v>
      </c>
    </row>
    <row r="1647" spans="1:6" x14ac:dyDescent="0.2">
      <c r="A1647" s="325" t="s">
        <v>677</v>
      </c>
      <c r="B1647" s="325" t="s">
        <v>823</v>
      </c>
      <c r="C1647" s="325" t="s">
        <v>787</v>
      </c>
      <c r="D1647" s="325" t="s">
        <v>425</v>
      </c>
      <c r="E1647" s="325" t="s">
        <v>265</v>
      </c>
      <c r="F1647" s="325" t="s">
        <v>364</v>
      </c>
    </row>
    <row r="1648" spans="1:6" x14ac:dyDescent="0.2">
      <c r="A1648" s="325" t="s">
        <v>677</v>
      </c>
      <c r="B1648" s="325" t="s">
        <v>824</v>
      </c>
      <c r="C1648" s="325" t="s">
        <v>787</v>
      </c>
      <c r="D1648" s="325" t="s">
        <v>431</v>
      </c>
      <c r="E1648" s="325" t="s">
        <v>265</v>
      </c>
      <c r="F1648" s="325" t="s">
        <v>464</v>
      </c>
    </row>
    <row r="1649" spans="1:6" x14ac:dyDescent="0.2">
      <c r="A1649" s="325" t="s">
        <v>677</v>
      </c>
      <c r="B1649" s="325" t="s">
        <v>825</v>
      </c>
      <c r="C1649" s="325" t="s">
        <v>787</v>
      </c>
      <c r="D1649" s="325" t="s">
        <v>696</v>
      </c>
      <c r="E1649" s="325" t="s">
        <v>265</v>
      </c>
      <c r="F1649" s="325" t="s">
        <v>1010</v>
      </c>
    </row>
    <row r="1650" spans="1:6" x14ac:dyDescent="0.2">
      <c r="A1650" s="325" t="s">
        <v>677</v>
      </c>
      <c r="B1650" s="325" t="s">
        <v>826</v>
      </c>
      <c r="C1650" s="325" t="s">
        <v>787</v>
      </c>
      <c r="D1650" s="325" t="s">
        <v>15</v>
      </c>
      <c r="E1650" s="325" t="s">
        <v>265</v>
      </c>
      <c r="F1650" s="325" t="s">
        <v>446</v>
      </c>
    </row>
    <row r="1651" spans="1:6" x14ac:dyDescent="0.2">
      <c r="A1651" s="325" t="s">
        <v>677</v>
      </c>
      <c r="B1651" s="325" t="s">
        <v>827</v>
      </c>
      <c r="C1651" s="325" t="s">
        <v>787</v>
      </c>
      <c r="D1651" s="325" t="s">
        <v>551</v>
      </c>
      <c r="E1651" s="325" t="s">
        <v>265</v>
      </c>
      <c r="F1651" s="325" t="s">
        <v>10</v>
      </c>
    </row>
    <row r="1652" spans="1:6" x14ac:dyDescent="0.2">
      <c r="A1652" s="325" t="s">
        <v>677</v>
      </c>
      <c r="B1652" s="325" t="s">
        <v>828</v>
      </c>
      <c r="C1652" s="325" t="s">
        <v>787</v>
      </c>
      <c r="D1652" s="325" t="s">
        <v>9</v>
      </c>
      <c r="E1652" s="325" t="s">
        <v>265</v>
      </c>
      <c r="F1652" s="325" t="s">
        <v>189</v>
      </c>
    </row>
    <row r="1653" spans="1:6" x14ac:dyDescent="0.2">
      <c r="A1653" s="325" t="s">
        <v>677</v>
      </c>
      <c r="B1653" s="325" t="s">
        <v>829</v>
      </c>
      <c r="C1653" s="325" t="s">
        <v>787</v>
      </c>
      <c r="D1653" s="325" t="s">
        <v>566</v>
      </c>
      <c r="E1653" s="325" t="s">
        <v>265</v>
      </c>
      <c r="F1653" s="325" t="s">
        <v>135</v>
      </c>
    </row>
    <row r="1654" spans="1:6" x14ac:dyDescent="0.2">
      <c r="A1654" s="325" t="s">
        <v>677</v>
      </c>
      <c r="B1654" s="325" t="s">
        <v>830</v>
      </c>
      <c r="C1654" s="325" t="s">
        <v>787</v>
      </c>
      <c r="D1654" s="325" t="s">
        <v>412</v>
      </c>
      <c r="E1654" s="325" t="s">
        <v>456</v>
      </c>
      <c r="F1654" s="325" t="s">
        <v>128</v>
      </c>
    </row>
    <row r="1655" spans="1:6" x14ac:dyDescent="0.2">
      <c r="A1655" s="325" t="s">
        <v>677</v>
      </c>
      <c r="B1655" s="325" t="s">
        <v>831</v>
      </c>
      <c r="C1655" s="325" t="s">
        <v>787</v>
      </c>
      <c r="D1655" s="325" t="s">
        <v>369</v>
      </c>
      <c r="E1655" s="325" t="s">
        <v>456</v>
      </c>
      <c r="F1655" s="325" t="s">
        <v>496</v>
      </c>
    </row>
    <row r="1656" spans="1:6" x14ac:dyDescent="0.2">
      <c r="A1656" s="325" t="s">
        <v>677</v>
      </c>
      <c r="B1656" s="325" t="s">
        <v>832</v>
      </c>
      <c r="C1656" s="325" t="s">
        <v>787</v>
      </c>
      <c r="D1656" s="325" t="s">
        <v>348</v>
      </c>
      <c r="E1656" s="325" t="s">
        <v>265</v>
      </c>
      <c r="F1656" s="325" t="s">
        <v>293</v>
      </c>
    </row>
    <row r="1657" spans="1:6" x14ac:dyDescent="0.2">
      <c r="A1657" s="325" t="s">
        <v>677</v>
      </c>
      <c r="B1657" s="325" t="s">
        <v>833</v>
      </c>
      <c r="C1657" s="325" t="s">
        <v>787</v>
      </c>
      <c r="D1657" s="325" t="s">
        <v>244</v>
      </c>
      <c r="E1657" s="325" t="s">
        <v>265</v>
      </c>
      <c r="F1657" s="325" t="s">
        <v>543</v>
      </c>
    </row>
    <row r="1658" spans="1:6" x14ac:dyDescent="0.2">
      <c r="A1658" s="325" t="s">
        <v>677</v>
      </c>
      <c r="B1658" s="325" t="s">
        <v>834</v>
      </c>
      <c r="C1658" s="325" t="s">
        <v>787</v>
      </c>
      <c r="D1658" s="325" t="s">
        <v>488</v>
      </c>
      <c r="E1658" s="325" t="s">
        <v>265</v>
      </c>
      <c r="F1658" s="325" t="s">
        <v>545</v>
      </c>
    </row>
    <row r="1659" spans="1:6" x14ac:dyDescent="0.2">
      <c r="A1659" s="325" t="s">
        <v>677</v>
      </c>
      <c r="B1659" s="325" t="s">
        <v>835</v>
      </c>
      <c r="C1659" s="325" t="s">
        <v>787</v>
      </c>
      <c r="D1659" s="325" t="s">
        <v>397</v>
      </c>
      <c r="E1659" s="325" t="s">
        <v>265</v>
      </c>
      <c r="F1659" s="325" t="s">
        <v>88</v>
      </c>
    </row>
    <row r="1660" spans="1:6" x14ac:dyDescent="0.2">
      <c r="A1660" s="325" t="s">
        <v>677</v>
      </c>
      <c r="B1660" s="325" t="s">
        <v>836</v>
      </c>
      <c r="C1660" s="325" t="s">
        <v>787</v>
      </c>
      <c r="D1660" s="325" t="s">
        <v>440</v>
      </c>
      <c r="E1660" s="325" t="s">
        <v>265</v>
      </c>
      <c r="F1660" s="325" t="s">
        <v>368</v>
      </c>
    </row>
    <row r="1661" spans="1:6" x14ac:dyDescent="0.2">
      <c r="A1661" s="325" t="s">
        <v>677</v>
      </c>
      <c r="B1661" s="325" t="s">
        <v>837</v>
      </c>
      <c r="C1661" s="325" t="s">
        <v>787</v>
      </c>
      <c r="D1661" s="325" t="s">
        <v>445</v>
      </c>
      <c r="E1661" s="325" t="s">
        <v>265</v>
      </c>
      <c r="F1661" s="325" t="s">
        <v>238</v>
      </c>
    </row>
    <row r="1662" spans="1:6" x14ac:dyDescent="0.2">
      <c r="A1662" s="325" t="s">
        <v>677</v>
      </c>
      <c r="B1662" s="325" t="s">
        <v>838</v>
      </c>
      <c r="C1662" s="325" t="s">
        <v>787</v>
      </c>
      <c r="D1662" s="325" t="s">
        <v>119</v>
      </c>
      <c r="E1662" s="325" t="s">
        <v>265</v>
      </c>
      <c r="F1662" s="325" t="s">
        <v>557</v>
      </c>
    </row>
    <row r="1663" spans="1:6" x14ac:dyDescent="0.2">
      <c r="A1663" s="325" t="s">
        <v>677</v>
      </c>
      <c r="B1663" s="325" t="s">
        <v>839</v>
      </c>
      <c r="C1663" s="325" t="s">
        <v>787</v>
      </c>
      <c r="D1663" s="325" t="s">
        <v>580</v>
      </c>
      <c r="E1663" s="325" t="s">
        <v>265</v>
      </c>
      <c r="F1663" s="325" t="s">
        <v>120</v>
      </c>
    </row>
    <row r="1664" spans="1:6" x14ac:dyDescent="0.2">
      <c r="A1664" s="325" t="s">
        <v>677</v>
      </c>
      <c r="B1664" s="325" t="s">
        <v>840</v>
      </c>
      <c r="C1664" s="325" t="s">
        <v>787</v>
      </c>
      <c r="D1664" s="325" t="s">
        <v>64</v>
      </c>
      <c r="E1664" s="325" t="s">
        <v>265</v>
      </c>
      <c r="F1664" s="325" t="s">
        <v>197</v>
      </c>
    </row>
    <row r="1665" spans="1:6" x14ac:dyDescent="0.2">
      <c r="A1665" s="325" t="s">
        <v>677</v>
      </c>
      <c r="B1665" s="325" t="s">
        <v>841</v>
      </c>
      <c r="C1665" s="325" t="s">
        <v>787</v>
      </c>
      <c r="D1665" s="325" t="s">
        <v>471</v>
      </c>
      <c r="E1665" s="325" t="s">
        <v>265</v>
      </c>
      <c r="F1665" s="325" t="s">
        <v>466</v>
      </c>
    </row>
    <row r="1666" spans="1:6" x14ac:dyDescent="0.2">
      <c r="A1666" s="325" t="s">
        <v>677</v>
      </c>
      <c r="B1666" s="325" t="s">
        <v>842</v>
      </c>
      <c r="C1666" s="325" t="s">
        <v>787</v>
      </c>
      <c r="D1666" s="325" t="s">
        <v>539</v>
      </c>
      <c r="E1666" s="325" t="s">
        <v>442</v>
      </c>
      <c r="F1666" s="325" t="s">
        <v>394</v>
      </c>
    </row>
    <row r="1667" spans="1:6" x14ac:dyDescent="0.2">
      <c r="A1667" s="325" t="s">
        <v>677</v>
      </c>
      <c r="B1667" s="325" t="s">
        <v>843</v>
      </c>
      <c r="C1667" s="325" t="s">
        <v>787</v>
      </c>
      <c r="D1667" s="325" t="s">
        <v>318</v>
      </c>
      <c r="E1667" s="325" t="s">
        <v>265</v>
      </c>
      <c r="F1667" s="325" t="s">
        <v>478</v>
      </c>
    </row>
    <row r="1668" spans="1:6" x14ac:dyDescent="0.2">
      <c r="A1668" s="325" t="s">
        <v>677</v>
      </c>
      <c r="B1668" s="325" t="s">
        <v>844</v>
      </c>
      <c r="C1668" s="325" t="s">
        <v>787</v>
      </c>
      <c r="D1668" s="325" t="s">
        <v>257</v>
      </c>
      <c r="E1668" s="325" t="s">
        <v>265</v>
      </c>
      <c r="F1668" s="325" t="s">
        <v>338</v>
      </c>
    </row>
    <row r="1669" spans="1:6" x14ac:dyDescent="0.2">
      <c r="A1669" s="325" t="s">
        <v>677</v>
      </c>
      <c r="B1669" s="325" t="s">
        <v>845</v>
      </c>
      <c r="C1669" s="325" t="s">
        <v>787</v>
      </c>
      <c r="D1669" s="325" t="s">
        <v>751</v>
      </c>
      <c r="E1669" s="325" t="s">
        <v>265</v>
      </c>
      <c r="F1669" s="325" t="s">
        <v>753</v>
      </c>
    </row>
    <row r="1670" spans="1:6" x14ac:dyDescent="0.2">
      <c r="A1670" s="325" t="s">
        <v>677</v>
      </c>
      <c r="B1670" s="325" t="s">
        <v>846</v>
      </c>
      <c r="C1670" s="325" t="s">
        <v>787</v>
      </c>
      <c r="D1670" s="325" t="s">
        <v>55</v>
      </c>
      <c r="E1670" s="325" t="s">
        <v>265</v>
      </c>
      <c r="F1670" s="325" t="s">
        <v>305</v>
      </c>
    </row>
    <row r="1671" spans="1:6" x14ac:dyDescent="0.2">
      <c r="A1671" s="325" t="s">
        <v>677</v>
      </c>
      <c r="B1671" s="325" t="s">
        <v>847</v>
      </c>
      <c r="C1671" s="325" t="s">
        <v>787</v>
      </c>
      <c r="D1671" s="325" t="s">
        <v>522</v>
      </c>
      <c r="E1671" s="325" t="s">
        <v>265</v>
      </c>
      <c r="F1671" s="325" t="s">
        <v>602</v>
      </c>
    </row>
    <row r="1672" spans="1:6" x14ac:dyDescent="0.2">
      <c r="A1672" s="325" t="s">
        <v>677</v>
      </c>
      <c r="B1672" s="325" t="s">
        <v>848</v>
      </c>
      <c r="C1672" s="325" t="s">
        <v>787</v>
      </c>
      <c r="D1672" s="325" t="s">
        <v>370</v>
      </c>
      <c r="E1672" s="325" t="s">
        <v>265</v>
      </c>
      <c r="F1672" s="325" t="s">
        <v>484</v>
      </c>
    </row>
    <row r="1673" spans="1:6" x14ac:dyDescent="0.2">
      <c r="A1673" s="325" t="s">
        <v>677</v>
      </c>
      <c r="B1673" s="325" t="s">
        <v>849</v>
      </c>
      <c r="C1673" s="325" t="s">
        <v>787</v>
      </c>
      <c r="D1673" s="325" t="s">
        <v>752</v>
      </c>
      <c r="E1673" s="325" t="s">
        <v>265</v>
      </c>
      <c r="F1673" s="325" t="s">
        <v>754</v>
      </c>
    </row>
    <row r="1674" spans="1:6" x14ac:dyDescent="0.2">
      <c r="A1674" s="325" t="s">
        <v>677</v>
      </c>
      <c r="B1674" s="325" t="s">
        <v>850</v>
      </c>
      <c r="C1674" s="325" t="s">
        <v>787</v>
      </c>
      <c r="D1674" s="325" t="s">
        <v>585</v>
      </c>
      <c r="E1674" s="325" t="s">
        <v>265</v>
      </c>
      <c r="F1674" s="325" t="s">
        <v>564</v>
      </c>
    </row>
    <row r="1675" spans="1:6" x14ac:dyDescent="0.2">
      <c r="A1675" s="325" t="s">
        <v>677</v>
      </c>
      <c r="B1675" s="325" t="s">
        <v>851</v>
      </c>
      <c r="C1675" s="325" t="s">
        <v>787</v>
      </c>
      <c r="D1675" s="325" t="s">
        <v>603</v>
      </c>
      <c r="E1675" s="325" t="s">
        <v>265</v>
      </c>
      <c r="F1675" s="325" t="s">
        <v>703</v>
      </c>
    </row>
    <row r="1676" spans="1:6" x14ac:dyDescent="0.2">
      <c r="A1676" s="325" t="s">
        <v>677</v>
      </c>
      <c r="B1676" s="325" t="s">
        <v>852</v>
      </c>
      <c r="C1676" s="325" t="s">
        <v>787</v>
      </c>
      <c r="D1676" s="325" t="s">
        <v>604</v>
      </c>
      <c r="E1676" s="325" t="s">
        <v>265</v>
      </c>
      <c r="F1676" s="325" t="s">
        <v>702</v>
      </c>
    </row>
    <row r="1677" spans="1:6" x14ac:dyDescent="0.2">
      <c r="A1677" s="325" t="s">
        <v>677</v>
      </c>
      <c r="B1677" s="325" t="s">
        <v>853</v>
      </c>
      <c r="C1677" s="325" t="s">
        <v>787</v>
      </c>
      <c r="D1677" s="325" t="s">
        <v>565</v>
      </c>
      <c r="E1677" s="325" t="s">
        <v>265</v>
      </c>
      <c r="F1677" s="325" t="s">
        <v>306</v>
      </c>
    </row>
    <row r="1678" spans="1:6" x14ac:dyDescent="0.2">
      <c r="A1678" s="325" t="s">
        <v>677</v>
      </c>
      <c r="B1678" s="325" t="s">
        <v>854</v>
      </c>
      <c r="C1678" s="325" t="s">
        <v>787</v>
      </c>
      <c r="D1678" s="325" t="s">
        <v>354</v>
      </c>
      <c r="E1678" s="325" t="s">
        <v>265</v>
      </c>
      <c r="F1678" s="325" t="s">
        <v>390</v>
      </c>
    </row>
    <row r="1679" spans="1:6" x14ac:dyDescent="0.2">
      <c r="A1679" s="325" t="s">
        <v>677</v>
      </c>
      <c r="B1679" s="325" t="s">
        <v>855</v>
      </c>
      <c r="C1679" s="325" t="s">
        <v>787</v>
      </c>
      <c r="D1679" s="325" t="s">
        <v>93</v>
      </c>
      <c r="E1679" s="325" t="s">
        <v>265</v>
      </c>
      <c r="F1679" s="325" t="s">
        <v>170</v>
      </c>
    </row>
    <row r="1680" spans="1:6" x14ac:dyDescent="0.2">
      <c r="A1680" s="325" t="s">
        <v>677</v>
      </c>
      <c r="B1680" s="325" t="s">
        <v>856</v>
      </c>
      <c r="C1680" s="325" t="s">
        <v>787</v>
      </c>
      <c r="D1680" s="325" t="s">
        <v>198</v>
      </c>
      <c r="E1680" s="325" t="s">
        <v>265</v>
      </c>
      <c r="F1680" s="325" t="s">
        <v>139</v>
      </c>
    </row>
    <row r="1681" spans="1:6" x14ac:dyDescent="0.2">
      <c r="A1681" s="325" t="s">
        <v>677</v>
      </c>
      <c r="B1681" s="325" t="s">
        <v>857</v>
      </c>
      <c r="C1681" s="325" t="s">
        <v>787</v>
      </c>
      <c r="D1681" s="325" t="s">
        <v>249</v>
      </c>
      <c r="E1681" s="325" t="s">
        <v>265</v>
      </c>
      <c r="F1681" s="325" t="s">
        <v>27</v>
      </c>
    </row>
    <row r="1682" spans="1:6" x14ac:dyDescent="0.2">
      <c r="A1682" s="325" t="s">
        <v>677</v>
      </c>
      <c r="B1682" s="325" t="s">
        <v>858</v>
      </c>
      <c r="C1682" s="325" t="s">
        <v>787</v>
      </c>
      <c r="D1682" s="325" t="s">
        <v>152</v>
      </c>
      <c r="E1682" s="325" t="s">
        <v>442</v>
      </c>
      <c r="F1682" s="325" t="s">
        <v>555</v>
      </c>
    </row>
    <row r="1683" spans="1:6" x14ac:dyDescent="0.2">
      <c r="A1683" s="325" t="s">
        <v>677</v>
      </c>
      <c r="B1683" s="325" t="s">
        <v>859</v>
      </c>
      <c r="C1683" s="325" t="s">
        <v>787</v>
      </c>
      <c r="D1683" s="325" t="s">
        <v>547</v>
      </c>
      <c r="E1683" s="325" t="s">
        <v>265</v>
      </c>
      <c r="F1683" s="325" t="s">
        <v>374</v>
      </c>
    </row>
    <row r="1684" spans="1:6" x14ac:dyDescent="0.2">
      <c r="A1684" s="325" t="s">
        <v>677</v>
      </c>
      <c r="B1684" s="325" t="s">
        <v>860</v>
      </c>
      <c r="C1684" s="325" t="s">
        <v>787</v>
      </c>
      <c r="D1684" s="325" t="s">
        <v>490</v>
      </c>
      <c r="E1684" s="325" t="s">
        <v>265</v>
      </c>
      <c r="F1684" s="325" t="s">
        <v>177</v>
      </c>
    </row>
    <row r="1685" spans="1:6" x14ac:dyDescent="0.2">
      <c r="A1685" s="325" t="s">
        <v>677</v>
      </c>
      <c r="B1685" s="325" t="s">
        <v>861</v>
      </c>
      <c r="C1685" s="325" t="s">
        <v>787</v>
      </c>
      <c r="D1685" s="325" t="s">
        <v>209</v>
      </c>
      <c r="E1685" s="325" t="s">
        <v>265</v>
      </c>
      <c r="F1685" s="325" t="s">
        <v>41</v>
      </c>
    </row>
    <row r="1686" spans="1:6" x14ac:dyDescent="0.2">
      <c r="A1686" s="325" t="s">
        <v>677</v>
      </c>
      <c r="B1686" s="325" t="s">
        <v>862</v>
      </c>
      <c r="C1686" s="325" t="s">
        <v>787</v>
      </c>
      <c r="D1686" s="325" t="s">
        <v>163</v>
      </c>
      <c r="E1686" s="325" t="s">
        <v>265</v>
      </c>
      <c r="F1686" s="325" t="s">
        <v>98</v>
      </c>
    </row>
    <row r="1687" spans="1:6" x14ac:dyDescent="0.2">
      <c r="A1687" s="325" t="s">
        <v>677</v>
      </c>
      <c r="B1687" s="325" t="s">
        <v>863</v>
      </c>
      <c r="C1687" s="325" t="s">
        <v>787</v>
      </c>
      <c r="D1687" s="325" t="s">
        <v>200</v>
      </c>
      <c r="E1687" s="325" t="s">
        <v>265</v>
      </c>
      <c r="F1687" s="325" t="s">
        <v>230</v>
      </c>
    </row>
    <row r="1688" spans="1:6" x14ac:dyDescent="0.2">
      <c r="A1688" s="325" t="s">
        <v>677</v>
      </c>
      <c r="B1688" s="325" t="s">
        <v>864</v>
      </c>
      <c r="C1688" s="325" t="s">
        <v>787</v>
      </c>
      <c r="D1688" s="325" t="s">
        <v>54</v>
      </c>
      <c r="E1688" s="325" t="s">
        <v>265</v>
      </c>
      <c r="F1688" s="325" t="s">
        <v>192</v>
      </c>
    </row>
    <row r="1689" spans="1:6" x14ac:dyDescent="0.2">
      <c r="A1689" s="325" t="s">
        <v>677</v>
      </c>
      <c r="B1689" s="325" t="s">
        <v>876</v>
      </c>
      <c r="C1689" s="325" t="s">
        <v>787</v>
      </c>
      <c r="D1689" s="325" t="s">
        <v>327</v>
      </c>
      <c r="E1689" s="325" t="s">
        <v>265</v>
      </c>
      <c r="F1689" s="325" t="s">
        <v>102</v>
      </c>
    </row>
    <row r="1690" spans="1:6" x14ac:dyDescent="0.2">
      <c r="A1690" s="325" t="s">
        <v>677</v>
      </c>
      <c r="B1690" s="325" t="s">
        <v>877</v>
      </c>
      <c r="C1690" s="325" t="s">
        <v>787</v>
      </c>
      <c r="D1690" s="325" t="s">
        <v>356</v>
      </c>
      <c r="E1690" s="325" t="s">
        <v>265</v>
      </c>
      <c r="F1690" s="325" t="s">
        <v>1011</v>
      </c>
    </row>
    <row r="1691" spans="1:6" x14ac:dyDescent="0.2">
      <c r="A1691" s="325" t="s">
        <v>677</v>
      </c>
      <c r="B1691" s="325" t="s">
        <v>878</v>
      </c>
      <c r="C1691" s="325" t="s">
        <v>787</v>
      </c>
      <c r="D1691" s="325" t="s">
        <v>657</v>
      </c>
      <c r="E1691" s="325" t="s">
        <v>265</v>
      </c>
      <c r="F1691" s="325" t="s">
        <v>264</v>
      </c>
    </row>
    <row r="1692" spans="1:6" x14ac:dyDescent="0.2">
      <c r="A1692" s="325" t="s">
        <v>677</v>
      </c>
      <c r="B1692" s="325" t="s">
        <v>879</v>
      </c>
      <c r="C1692" s="325" t="s">
        <v>787</v>
      </c>
      <c r="D1692" s="325" t="s">
        <v>659</v>
      </c>
      <c r="E1692" s="325" t="s">
        <v>265</v>
      </c>
      <c r="F1692" s="325" t="s">
        <v>229</v>
      </c>
    </row>
    <row r="1693" spans="1:6" x14ac:dyDescent="0.2">
      <c r="A1693" s="325" t="s">
        <v>677</v>
      </c>
      <c r="B1693" s="325" t="s">
        <v>880</v>
      </c>
      <c r="C1693" s="325" t="s">
        <v>787</v>
      </c>
      <c r="D1693" s="325" t="s">
        <v>661</v>
      </c>
      <c r="E1693" s="325" t="s">
        <v>265</v>
      </c>
      <c r="F1693" s="325" t="s">
        <v>336</v>
      </c>
    </row>
    <row r="1694" spans="1:6" x14ac:dyDescent="0.2">
      <c r="A1694" s="325" t="s">
        <v>677</v>
      </c>
      <c r="B1694" s="325" t="s">
        <v>881</v>
      </c>
      <c r="C1694" s="325" t="s">
        <v>787</v>
      </c>
      <c r="D1694" s="325" t="s">
        <v>72</v>
      </c>
      <c r="E1694" s="325" t="s">
        <v>265</v>
      </c>
      <c r="F1694" s="325" t="s">
        <v>451</v>
      </c>
    </row>
    <row r="1695" spans="1:6" x14ac:dyDescent="0.2">
      <c r="A1695" s="325" t="s">
        <v>677</v>
      </c>
      <c r="B1695" s="325" t="s">
        <v>882</v>
      </c>
      <c r="C1695" s="325" t="s">
        <v>787</v>
      </c>
      <c r="D1695" s="325" t="s">
        <v>35</v>
      </c>
      <c r="E1695" s="325" t="s">
        <v>265</v>
      </c>
      <c r="F1695" s="325" t="s">
        <v>414</v>
      </c>
    </row>
    <row r="1696" spans="1:6" x14ac:dyDescent="0.2">
      <c r="A1696" s="325" t="s">
        <v>677</v>
      </c>
      <c r="B1696" s="325" t="s">
        <v>883</v>
      </c>
      <c r="C1696" s="325" t="s">
        <v>787</v>
      </c>
      <c r="D1696" s="325" t="s">
        <v>118</v>
      </c>
      <c r="E1696" s="325" t="s">
        <v>442</v>
      </c>
      <c r="F1696" s="325" t="s">
        <v>62</v>
      </c>
    </row>
    <row r="1697" spans="1:6" x14ac:dyDescent="0.2">
      <c r="A1697" s="325" t="s">
        <v>677</v>
      </c>
      <c r="B1697" s="325" t="s">
        <v>884</v>
      </c>
      <c r="C1697" s="325" t="s">
        <v>787</v>
      </c>
      <c r="D1697" s="325" t="s">
        <v>254</v>
      </c>
      <c r="E1697" s="325" t="s">
        <v>442</v>
      </c>
      <c r="F1697" s="325" t="s">
        <v>148</v>
      </c>
    </row>
    <row r="1698" spans="1:6" x14ac:dyDescent="0.2">
      <c r="A1698" s="325" t="s">
        <v>677</v>
      </c>
      <c r="B1698" s="325" t="s">
        <v>885</v>
      </c>
      <c r="C1698" s="325" t="s">
        <v>787</v>
      </c>
      <c r="D1698" s="325" t="s">
        <v>396</v>
      </c>
      <c r="E1698" s="325" t="s">
        <v>442</v>
      </c>
      <c r="F1698" s="325" t="s">
        <v>8</v>
      </c>
    </row>
    <row r="1699" spans="1:6" x14ac:dyDescent="0.2">
      <c r="A1699" s="325" t="s">
        <v>677</v>
      </c>
      <c r="B1699" s="325" t="s">
        <v>886</v>
      </c>
      <c r="C1699" s="325" t="s">
        <v>787</v>
      </c>
      <c r="D1699" s="325" t="s">
        <v>279</v>
      </c>
      <c r="E1699" s="325" t="s">
        <v>442</v>
      </c>
      <c r="F1699" s="325" t="s">
        <v>475</v>
      </c>
    </row>
    <row r="1700" spans="1:6" x14ac:dyDescent="0.2">
      <c r="A1700" s="325" t="s">
        <v>677</v>
      </c>
      <c r="B1700" s="325" t="s">
        <v>887</v>
      </c>
      <c r="C1700" s="325" t="s">
        <v>787</v>
      </c>
      <c r="D1700" s="325" t="s">
        <v>66</v>
      </c>
      <c r="E1700" s="325" t="s">
        <v>442</v>
      </c>
      <c r="F1700" s="325" t="s">
        <v>245</v>
      </c>
    </row>
    <row r="1701" spans="1:6" x14ac:dyDescent="0.2">
      <c r="A1701" s="325" t="s">
        <v>677</v>
      </c>
      <c r="B1701" s="325" t="s">
        <v>888</v>
      </c>
      <c r="C1701" s="325" t="s">
        <v>787</v>
      </c>
      <c r="D1701" s="325" t="s">
        <v>568</v>
      </c>
      <c r="E1701" s="325" t="s">
        <v>442</v>
      </c>
      <c r="F1701" s="325" t="s">
        <v>181</v>
      </c>
    </row>
    <row r="1702" spans="1:6" x14ac:dyDescent="0.2">
      <c r="A1702" s="325" t="s">
        <v>677</v>
      </c>
      <c r="B1702" s="325" t="s">
        <v>889</v>
      </c>
      <c r="C1702" s="325" t="s">
        <v>787</v>
      </c>
      <c r="D1702" s="325" t="s">
        <v>712</v>
      </c>
      <c r="E1702" s="325" t="s">
        <v>442</v>
      </c>
      <c r="F1702" s="325" t="s">
        <v>713</v>
      </c>
    </row>
    <row r="1703" spans="1:6" x14ac:dyDescent="0.2">
      <c r="A1703" s="325" t="s">
        <v>677</v>
      </c>
      <c r="B1703" s="325" t="s">
        <v>890</v>
      </c>
      <c r="C1703" s="325" t="s">
        <v>787</v>
      </c>
      <c r="D1703" s="325" t="s">
        <v>371</v>
      </c>
      <c r="E1703" s="325" t="s">
        <v>442</v>
      </c>
      <c r="F1703" s="325" t="s">
        <v>63</v>
      </c>
    </row>
    <row r="1704" spans="1:6" x14ac:dyDescent="0.2">
      <c r="A1704" s="325" t="s">
        <v>677</v>
      </c>
      <c r="B1704" s="325" t="s">
        <v>891</v>
      </c>
      <c r="C1704" s="325" t="s">
        <v>787</v>
      </c>
      <c r="D1704" s="325" t="s">
        <v>497</v>
      </c>
      <c r="E1704" s="325" t="s">
        <v>442</v>
      </c>
      <c r="F1704" s="325" t="s">
        <v>1012</v>
      </c>
    </row>
    <row r="1705" spans="1:6" x14ac:dyDescent="0.2">
      <c r="A1705" s="325" t="s">
        <v>677</v>
      </c>
      <c r="B1705" s="325" t="s">
        <v>892</v>
      </c>
      <c r="C1705" s="325" t="s">
        <v>787</v>
      </c>
      <c r="D1705" s="325" t="s">
        <v>699</v>
      </c>
      <c r="E1705" s="325" t="s">
        <v>442</v>
      </c>
      <c r="F1705" s="325" t="s">
        <v>994</v>
      </c>
    </row>
    <row r="1706" spans="1:6" x14ac:dyDescent="0.2">
      <c r="A1706" s="325" t="s">
        <v>677</v>
      </c>
      <c r="B1706" s="325" t="s">
        <v>893</v>
      </c>
      <c r="C1706" s="325" t="s">
        <v>787</v>
      </c>
      <c r="D1706" s="325" t="s">
        <v>320</v>
      </c>
      <c r="E1706" s="325" t="s">
        <v>442</v>
      </c>
      <c r="F1706" s="325" t="s">
        <v>74</v>
      </c>
    </row>
    <row r="1707" spans="1:6" x14ac:dyDescent="0.2">
      <c r="A1707" s="325" t="s">
        <v>677</v>
      </c>
      <c r="B1707" s="325" t="s">
        <v>894</v>
      </c>
      <c r="C1707" s="325" t="s">
        <v>787</v>
      </c>
      <c r="D1707" s="325" t="s">
        <v>509</v>
      </c>
      <c r="E1707" s="325" t="s">
        <v>442</v>
      </c>
      <c r="F1707" s="325" t="s">
        <v>236</v>
      </c>
    </row>
    <row r="1708" spans="1:6" x14ac:dyDescent="0.2">
      <c r="A1708" s="325" t="s">
        <v>677</v>
      </c>
      <c r="B1708" s="325" t="s">
        <v>895</v>
      </c>
      <c r="C1708" s="325" t="s">
        <v>787</v>
      </c>
      <c r="D1708" s="325" t="s">
        <v>186</v>
      </c>
      <c r="E1708" s="325" t="s">
        <v>442</v>
      </c>
      <c r="F1708" s="325" t="s">
        <v>74</v>
      </c>
    </row>
    <row r="1709" spans="1:6" x14ac:dyDescent="0.2">
      <c r="A1709" s="325" t="s">
        <v>677</v>
      </c>
      <c r="B1709" s="325" t="s">
        <v>896</v>
      </c>
      <c r="C1709" s="325" t="s">
        <v>787</v>
      </c>
      <c r="D1709" s="325" t="s">
        <v>517</v>
      </c>
      <c r="E1709" s="325" t="s">
        <v>442</v>
      </c>
      <c r="F1709" s="325" t="s">
        <v>236</v>
      </c>
    </row>
    <row r="1710" spans="1:6" x14ac:dyDescent="0.2">
      <c r="A1710" s="325" t="s">
        <v>677</v>
      </c>
      <c r="B1710" s="325" t="s">
        <v>897</v>
      </c>
      <c r="C1710" s="325" t="s">
        <v>787</v>
      </c>
      <c r="D1710" s="325" t="s">
        <v>291</v>
      </c>
      <c r="E1710" s="325" t="s">
        <v>442</v>
      </c>
      <c r="F1710" s="325" t="s">
        <v>342</v>
      </c>
    </row>
    <row r="1711" spans="1:6" x14ac:dyDescent="0.2">
      <c r="A1711" s="325" t="s">
        <v>677</v>
      </c>
      <c r="B1711" s="325" t="s">
        <v>898</v>
      </c>
      <c r="C1711" s="325" t="s">
        <v>787</v>
      </c>
      <c r="D1711" s="325" t="s">
        <v>353</v>
      </c>
      <c r="E1711" s="325" t="s">
        <v>442</v>
      </c>
      <c r="F1711" s="325" t="s">
        <v>559</v>
      </c>
    </row>
    <row r="1712" spans="1:6" x14ac:dyDescent="0.2">
      <c r="A1712" s="325" t="s">
        <v>677</v>
      </c>
      <c r="B1712" s="325" t="s">
        <v>899</v>
      </c>
      <c r="C1712" s="325" t="s">
        <v>787</v>
      </c>
      <c r="D1712" s="325" t="s">
        <v>366</v>
      </c>
      <c r="E1712" s="325" t="s">
        <v>442</v>
      </c>
      <c r="F1712" s="325" t="s">
        <v>256</v>
      </c>
    </row>
    <row r="1713" spans="1:6" x14ac:dyDescent="0.2">
      <c r="A1713" s="325" t="s">
        <v>677</v>
      </c>
      <c r="B1713" s="325" t="s">
        <v>902</v>
      </c>
      <c r="C1713" s="325" t="s">
        <v>787</v>
      </c>
      <c r="D1713" s="325" t="s">
        <v>323</v>
      </c>
      <c r="E1713" s="325" t="s">
        <v>265</v>
      </c>
      <c r="F1713" s="325" t="s">
        <v>20</v>
      </c>
    </row>
    <row r="1714" spans="1:6" x14ac:dyDescent="0.2">
      <c r="A1714" s="325" t="s">
        <v>677</v>
      </c>
      <c r="B1714" s="325" t="s">
        <v>903</v>
      </c>
      <c r="C1714" s="325" t="s">
        <v>787</v>
      </c>
      <c r="D1714" s="325" t="s">
        <v>447</v>
      </c>
      <c r="E1714" s="325" t="s">
        <v>265</v>
      </c>
      <c r="F1714" s="325" t="s">
        <v>741</v>
      </c>
    </row>
    <row r="1715" spans="1:6" x14ac:dyDescent="0.2">
      <c r="A1715" s="325" t="s">
        <v>677</v>
      </c>
      <c r="B1715" s="325" t="s">
        <v>904</v>
      </c>
      <c r="C1715" s="325" t="s">
        <v>787</v>
      </c>
      <c r="D1715" s="325" t="s">
        <v>742</v>
      </c>
      <c r="E1715" s="325" t="s">
        <v>456</v>
      </c>
      <c r="F1715" s="325" t="s">
        <v>743</v>
      </c>
    </row>
    <row r="1716" spans="1:6" x14ac:dyDescent="0.2">
      <c r="A1716" s="325" t="s">
        <v>677</v>
      </c>
      <c r="B1716" s="325" t="s">
        <v>905</v>
      </c>
      <c r="C1716" s="325" t="s">
        <v>787</v>
      </c>
      <c r="D1716" s="325" t="s">
        <v>678</v>
      </c>
      <c r="E1716" s="325" t="s">
        <v>442</v>
      </c>
      <c r="F1716" s="325" t="s">
        <v>995</v>
      </c>
    </row>
    <row r="1717" spans="1:6" x14ac:dyDescent="0.2">
      <c r="A1717" s="325" t="s">
        <v>677</v>
      </c>
      <c r="B1717" s="325" t="s">
        <v>906</v>
      </c>
      <c r="C1717" s="325" t="s">
        <v>787</v>
      </c>
      <c r="D1717" s="325" t="s">
        <v>679</v>
      </c>
      <c r="E1717" s="325" t="s">
        <v>265</v>
      </c>
      <c r="F1717" s="325" t="s">
        <v>682</v>
      </c>
    </row>
    <row r="1718" spans="1:6" x14ac:dyDescent="0.2">
      <c r="A1718" s="325" t="s">
        <v>677</v>
      </c>
      <c r="B1718" s="325" t="s">
        <v>907</v>
      </c>
      <c r="C1718" s="325" t="s">
        <v>787</v>
      </c>
      <c r="D1718" s="325" t="s">
        <v>262</v>
      </c>
      <c r="E1718" s="325" t="s">
        <v>442</v>
      </c>
      <c r="F1718" s="325" t="s">
        <v>165</v>
      </c>
    </row>
    <row r="1719" spans="1:6" x14ac:dyDescent="0.2">
      <c r="A1719" s="325" t="s">
        <v>677</v>
      </c>
      <c r="B1719" s="325" t="s">
        <v>908</v>
      </c>
      <c r="C1719" s="325" t="s">
        <v>787</v>
      </c>
      <c r="D1719" s="325" t="s">
        <v>255</v>
      </c>
      <c r="E1719" s="325" t="s">
        <v>442</v>
      </c>
      <c r="F1719" s="325" t="s">
        <v>535</v>
      </c>
    </row>
    <row r="1720" spans="1:6" x14ac:dyDescent="0.2">
      <c r="A1720" s="325" t="s">
        <v>677</v>
      </c>
      <c r="B1720" s="325" t="s">
        <v>909</v>
      </c>
      <c r="C1720" s="325" t="s">
        <v>787</v>
      </c>
      <c r="D1720" s="325" t="s">
        <v>647</v>
      </c>
      <c r="E1720" s="325" t="s">
        <v>456</v>
      </c>
      <c r="F1720" s="325" t="s">
        <v>311</v>
      </c>
    </row>
    <row r="1721" spans="1:6" x14ac:dyDescent="0.2">
      <c r="A1721" s="325" t="s">
        <v>677</v>
      </c>
      <c r="B1721" s="325" t="s">
        <v>965</v>
      </c>
      <c r="C1721" s="325" t="s">
        <v>787</v>
      </c>
      <c r="D1721" s="325" t="s">
        <v>201</v>
      </c>
      <c r="E1721" s="325" t="s">
        <v>456</v>
      </c>
      <c r="F1721" s="325" t="s">
        <v>141</v>
      </c>
    </row>
    <row r="1722" spans="1:6" x14ac:dyDescent="0.2">
      <c r="A1722" s="325" t="s">
        <v>677</v>
      </c>
      <c r="B1722" s="325" t="s">
        <v>966</v>
      </c>
      <c r="C1722" s="325" t="s">
        <v>787</v>
      </c>
      <c r="D1722" s="325" t="s">
        <v>325</v>
      </c>
      <c r="E1722" s="325" t="s">
        <v>456</v>
      </c>
      <c r="F1722" s="325" t="s">
        <v>457</v>
      </c>
    </row>
    <row r="1723" spans="1:6" x14ac:dyDescent="0.2">
      <c r="A1723" s="325" t="s">
        <v>677</v>
      </c>
      <c r="B1723" s="325" t="s">
        <v>974</v>
      </c>
      <c r="C1723" s="325" t="s">
        <v>787</v>
      </c>
      <c r="D1723" s="325" t="s">
        <v>51</v>
      </c>
      <c r="E1723" s="325" t="s">
        <v>265</v>
      </c>
      <c r="F1723" s="325" t="s">
        <v>266</v>
      </c>
    </row>
    <row r="1724" spans="1:6" x14ac:dyDescent="0.2">
      <c r="A1724" s="325" t="s">
        <v>677</v>
      </c>
      <c r="B1724" s="325" t="s">
        <v>975</v>
      </c>
      <c r="C1724" s="325" t="s">
        <v>787</v>
      </c>
      <c r="D1724" s="325" t="s">
        <v>283</v>
      </c>
      <c r="E1724" s="325" t="s">
        <v>265</v>
      </c>
      <c r="F1724" s="325" t="s">
        <v>53</v>
      </c>
    </row>
    <row r="1725" spans="1:6" x14ac:dyDescent="0.2">
      <c r="A1725" s="325" t="s">
        <v>677</v>
      </c>
      <c r="B1725" s="325" t="s">
        <v>976</v>
      </c>
      <c r="C1725" s="325" t="s">
        <v>787</v>
      </c>
      <c r="D1725" s="325" t="s">
        <v>542</v>
      </c>
      <c r="E1725" s="325" t="s">
        <v>265</v>
      </c>
      <c r="F1725" s="325" t="s">
        <v>372</v>
      </c>
    </row>
    <row r="1726" spans="1:6" x14ac:dyDescent="0.2">
      <c r="A1726" s="325" t="s">
        <v>677</v>
      </c>
      <c r="B1726" s="325" t="s">
        <v>977</v>
      </c>
      <c r="C1726" s="325" t="s">
        <v>787</v>
      </c>
      <c r="D1726" s="325" t="s">
        <v>576</v>
      </c>
      <c r="E1726" s="325" t="s">
        <v>265</v>
      </c>
      <c r="F1726" s="325" t="s">
        <v>333</v>
      </c>
    </row>
    <row r="1727" spans="1:6" x14ac:dyDescent="0.2">
      <c r="A1727" s="325" t="s">
        <v>677</v>
      </c>
      <c r="B1727" s="325" t="s">
        <v>793</v>
      </c>
      <c r="C1727" s="325" t="s">
        <v>412</v>
      </c>
      <c r="D1727" s="325" t="s">
        <v>654</v>
      </c>
      <c r="E1727" s="325" t="s">
        <v>265</v>
      </c>
      <c r="F1727" s="325" t="s">
        <v>998</v>
      </c>
    </row>
    <row r="1728" spans="1:6" x14ac:dyDescent="0.2">
      <c r="A1728" s="325" t="s">
        <v>677</v>
      </c>
      <c r="B1728" s="325" t="s">
        <v>794</v>
      </c>
      <c r="C1728" s="325" t="s">
        <v>412</v>
      </c>
      <c r="D1728" s="325" t="s">
        <v>510</v>
      </c>
      <c r="E1728" s="325" t="s">
        <v>265</v>
      </c>
      <c r="F1728" s="325" t="s">
        <v>999</v>
      </c>
    </row>
    <row r="1729" spans="1:6" x14ac:dyDescent="0.2">
      <c r="A1729" s="325" t="s">
        <v>677</v>
      </c>
      <c r="B1729" s="325" t="s">
        <v>795</v>
      </c>
      <c r="C1729" s="325" t="s">
        <v>412</v>
      </c>
      <c r="D1729" s="325" t="s">
        <v>400</v>
      </c>
      <c r="E1729" s="325" t="s">
        <v>265</v>
      </c>
      <c r="F1729" s="325" t="s">
        <v>1001</v>
      </c>
    </row>
    <row r="1730" spans="1:6" x14ac:dyDescent="0.2">
      <c r="A1730" s="325" t="s">
        <v>677</v>
      </c>
      <c r="B1730" s="325" t="s">
        <v>796</v>
      </c>
      <c r="C1730" s="325" t="s">
        <v>412</v>
      </c>
      <c r="D1730" s="325" t="s">
        <v>302</v>
      </c>
      <c r="E1730" s="325" t="s">
        <v>265</v>
      </c>
      <c r="F1730" s="325" t="s">
        <v>1000</v>
      </c>
    </row>
    <row r="1731" spans="1:6" x14ac:dyDescent="0.2">
      <c r="A1731" s="325" t="s">
        <v>677</v>
      </c>
      <c r="B1731" s="325" t="s">
        <v>797</v>
      </c>
      <c r="C1731" s="325" t="s">
        <v>412</v>
      </c>
      <c r="D1731" s="325" t="s">
        <v>28</v>
      </c>
      <c r="E1731" s="325" t="s">
        <v>442</v>
      </c>
      <c r="F1731" s="325" t="s">
        <v>1008</v>
      </c>
    </row>
    <row r="1732" spans="1:6" x14ac:dyDescent="0.2">
      <c r="A1732" s="325" t="s">
        <v>677</v>
      </c>
      <c r="B1732" s="325" t="s">
        <v>798</v>
      </c>
      <c r="C1732" s="325" t="s">
        <v>412</v>
      </c>
      <c r="D1732" s="325" t="s">
        <v>67</v>
      </c>
      <c r="E1732" s="325" t="s">
        <v>556</v>
      </c>
      <c r="F1732" s="325" t="s">
        <v>1009</v>
      </c>
    </row>
    <row r="1733" spans="1:6" x14ac:dyDescent="0.2">
      <c r="A1733" s="325" t="s">
        <v>677</v>
      </c>
      <c r="B1733" s="325" t="s">
        <v>799</v>
      </c>
      <c r="C1733" s="325" t="s">
        <v>412</v>
      </c>
      <c r="D1733" s="325" t="s">
        <v>168</v>
      </c>
      <c r="E1733" s="325" t="s">
        <v>265</v>
      </c>
      <c r="F1733" s="325" t="s">
        <v>145</v>
      </c>
    </row>
    <row r="1734" spans="1:6" x14ac:dyDescent="0.2">
      <c r="A1734" s="325" t="s">
        <v>677</v>
      </c>
      <c r="B1734" s="325" t="s">
        <v>800</v>
      </c>
      <c r="C1734" s="325" t="s">
        <v>412</v>
      </c>
      <c r="D1734" s="325" t="s">
        <v>310</v>
      </c>
      <c r="E1734" s="325" t="s">
        <v>265</v>
      </c>
      <c r="F1734" s="325" t="s">
        <v>350</v>
      </c>
    </row>
    <row r="1735" spans="1:6" x14ac:dyDescent="0.2">
      <c r="A1735" s="325" t="s">
        <v>677</v>
      </c>
      <c r="B1735" s="325" t="s">
        <v>801</v>
      </c>
      <c r="C1735" s="325" t="s">
        <v>412</v>
      </c>
      <c r="D1735" s="325" t="s">
        <v>87</v>
      </c>
      <c r="E1735" s="325" t="s">
        <v>265</v>
      </c>
      <c r="F1735" s="325" t="s">
        <v>79</v>
      </c>
    </row>
    <row r="1736" spans="1:6" x14ac:dyDescent="0.2">
      <c r="A1736" s="325" t="s">
        <v>677</v>
      </c>
      <c r="B1736" s="325" t="s">
        <v>802</v>
      </c>
      <c r="C1736" s="325" t="s">
        <v>412</v>
      </c>
      <c r="D1736" s="325" t="s">
        <v>228</v>
      </c>
      <c r="E1736" s="325" t="s">
        <v>265</v>
      </c>
      <c r="F1736" s="325" t="s">
        <v>331</v>
      </c>
    </row>
    <row r="1737" spans="1:6" x14ac:dyDescent="0.2">
      <c r="A1737" s="325" t="s">
        <v>677</v>
      </c>
      <c r="B1737" s="325" t="s">
        <v>803</v>
      </c>
      <c r="C1737" s="325" t="s">
        <v>412</v>
      </c>
      <c r="D1737" s="325" t="s">
        <v>144</v>
      </c>
      <c r="E1737" s="325" t="s">
        <v>265</v>
      </c>
      <c r="F1737" s="325" t="s">
        <v>340</v>
      </c>
    </row>
    <row r="1738" spans="1:6" x14ac:dyDescent="0.2">
      <c r="A1738" s="325" t="s">
        <v>677</v>
      </c>
      <c r="B1738" s="325" t="s">
        <v>804</v>
      </c>
      <c r="C1738" s="325" t="s">
        <v>412</v>
      </c>
      <c r="D1738" s="325" t="s">
        <v>429</v>
      </c>
      <c r="E1738" s="325" t="s">
        <v>265</v>
      </c>
      <c r="F1738" s="325" t="s">
        <v>263</v>
      </c>
    </row>
    <row r="1739" spans="1:6" x14ac:dyDescent="0.2">
      <c r="A1739" s="325" t="s">
        <v>677</v>
      </c>
      <c r="B1739" s="325" t="s">
        <v>805</v>
      </c>
      <c r="C1739" s="325" t="s">
        <v>412</v>
      </c>
      <c r="D1739" s="325" t="s">
        <v>182</v>
      </c>
      <c r="E1739" s="325" t="s">
        <v>265</v>
      </c>
      <c r="F1739" s="325" t="s">
        <v>223</v>
      </c>
    </row>
    <row r="1740" spans="1:6" x14ac:dyDescent="0.2">
      <c r="A1740" s="325" t="s">
        <v>677</v>
      </c>
      <c r="B1740" s="325" t="s">
        <v>806</v>
      </c>
      <c r="C1740" s="325" t="s">
        <v>412</v>
      </c>
      <c r="D1740" s="325" t="s">
        <v>298</v>
      </c>
      <c r="E1740" s="325" t="s">
        <v>265</v>
      </c>
      <c r="F1740" s="325" t="s">
        <v>423</v>
      </c>
    </row>
    <row r="1741" spans="1:6" x14ac:dyDescent="0.2">
      <c r="A1741" s="325" t="s">
        <v>677</v>
      </c>
      <c r="B1741" s="325" t="s">
        <v>807</v>
      </c>
      <c r="C1741" s="325" t="s">
        <v>412</v>
      </c>
      <c r="D1741" s="325" t="s">
        <v>571</v>
      </c>
      <c r="E1741" s="325" t="s">
        <v>265</v>
      </c>
      <c r="F1741" s="325" t="s">
        <v>258</v>
      </c>
    </row>
    <row r="1742" spans="1:6" x14ac:dyDescent="0.2">
      <c r="A1742" s="325" t="s">
        <v>677</v>
      </c>
      <c r="B1742" s="325" t="s">
        <v>808</v>
      </c>
      <c r="C1742" s="325" t="s">
        <v>412</v>
      </c>
      <c r="D1742" s="325" t="s">
        <v>156</v>
      </c>
      <c r="E1742" s="325" t="s">
        <v>265</v>
      </c>
      <c r="F1742" s="325" t="s">
        <v>226</v>
      </c>
    </row>
    <row r="1743" spans="1:6" x14ac:dyDescent="0.2">
      <c r="A1743" s="325" t="s">
        <v>677</v>
      </c>
      <c r="B1743" s="325" t="s">
        <v>809</v>
      </c>
      <c r="C1743" s="325" t="s">
        <v>412</v>
      </c>
      <c r="D1743" s="325" t="s">
        <v>299</v>
      </c>
      <c r="E1743" s="325" t="s">
        <v>265</v>
      </c>
      <c r="F1743" s="325" t="s">
        <v>3</v>
      </c>
    </row>
    <row r="1744" spans="1:6" x14ac:dyDescent="0.2">
      <c r="A1744" s="325" t="s">
        <v>677</v>
      </c>
      <c r="B1744" s="325" t="s">
        <v>810</v>
      </c>
      <c r="C1744" s="325" t="s">
        <v>412</v>
      </c>
      <c r="D1744" s="325" t="s">
        <v>164</v>
      </c>
      <c r="E1744" s="325" t="s">
        <v>265</v>
      </c>
      <c r="F1744" s="325" t="s">
        <v>524</v>
      </c>
    </row>
    <row r="1745" spans="1:6" x14ac:dyDescent="0.2">
      <c r="A1745" s="325" t="s">
        <v>677</v>
      </c>
      <c r="B1745" s="325" t="s">
        <v>811</v>
      </c>
      <c r="C1745" s="325" t="s">
        <v>412</v>
      </c>
      <c r="D1745" s="325" t="s">
        <v>403</v>
      </c>
      <c r="E1745" s="325" t="s">
        <v>265</v>
      </c>
      <c r="F1745" s="325" t="s">
        <v>195</v>
      </c>
    </row>
    <row r="1746" spans="1:6" x14ac:dyDescent="0.2">
      <c r="A1746" s="325" t="s">
        <v>677</v>
      </c>
      <c r="B1746" s="325" t="s">
        <v>812</v>
      </c>
      <c r="C1746" s="325" t="s">
        <v>412</v>
      </c>
      <c r="D1746" s="325" t="s">
        <v>367</v>
      </c>
      <c r="E1746" s="325" t="s">
        <v>265</v>
      </c>
      <c r="F1746" s="325" t="s">
        <v>461</v>
      </c>
    </row>
    <row r="1747" spans="1:6" x14ac:dyDescent="0.2">
      <c r="A1747" s="325" t="s">
        <v>677</v>
      </c>
      <c r="B1747" s="325" t="s">
        <v>813</v>
      </c>
      <c r="C1747" s="325" t="s">
        <v>412</v>
      </c>
      <c r="D1747" s="325" t="s">
        <v>105</v>
      </c>
      <c r="E1747" s="325" t="s">
        <v>265</v>
      </c>
      <c r="F1747" s="325" t="s">
        <v>393</v>
      </c>
    </row>
    <row r="1748" spans="1:6" x14ac:dyDescent="0.2">
      <c r="A1748" s="325" t="s">
        <v>677</v>
      </c>
      <c r="B1748" s="325" t="s">
        <v>814</v>
      </c>
      <c r="C1748" s="325" t="s">
        <v>412</v>
      </c>
      <c r="D1748" s="325" t="s">
        <v>520</v>
      </c>
      <c r="E1748" s="325" t="s">
        <v>265</v>
      </c>
      <c r="F1748" s="325" t="s">
        <v>277</v>
      </c>
    </row>
    <row r="1749" spans="1:6" x14ac:dyDescent="0.2">
      <c r="A1749" s="325" t="s">
        <v>677</v>
      </c>
      <c r="B1749" s="325" t="s">
        <v>815</v>
      </c>
      <c r="C1749" s="325" t="s">
        <v>412</v>
      </c>
      <c r="D1749" s="325" t="s">
        <v>469</v>
      </c>
      <c r="E1749" s="325" t="s">
        <v>265</v>
      </c>
      <c r="F1749" s="325" t="s">
        <v>452</v>
      </c>
    </row>
    <row r="1750" spans="1:6" x14ac:dyDescent="0.2">
      <c r="A1750" s="325" t="s">
        <v>677</v>
      </c>
      <c r="B1750" s="325" t="s">
        <v>816</v>
      </c>
      <c r="C1750" s="325" t="s">
        <v>412</v>
      </c>
      <c r="D1750" s="325" t="s">
        <v>432</v>
      </c>
      <c r="E1750" s="325" t="s">
        <v>265</v>
      </c>
      <c r="F1750" s="325" t="s">
        <v>489</v>
      </c>
    </row>
    <row r="1751" spans="1:6" x14ac:dyDescent="0.2">
      <c r="A1751" s="325" t="s">
        <v>677</v>
      </c>
      <c r="B1751" s="325" t="s">
        <v>817</v>
      </c>
      <c r="C1751" s="325" t="s">
        <v>412</v>
      </c>
      <c r="D1751" s="325" t="s">
        <v>75</v>
      </c>
      <c r="E1751" s="325" t="s">
        <v>265</v>
      </c>
      <c r="F1751" s="325" t="s">
        <v>288</v>
      </c>
    </row>
    <row r="1752" spans="1:6" x14ac:dyDescent="0.2">
      <c r="A1752" s="325" t="s">
        <v>677</v>
      </c>
      <c r="B1752" s="325" t="s">
        <v>818</v>
      </c>
      <c r="C1752" s="325" t="s">
        <v>412</v>
      </c>
      <c r="D1752" s="325" t="s">
        <v>666</v>
      </c>
      <c r="E1752" s="325" t="s">
        <v>556</v>
      </c>
      <c r="F1752" s="325" t="s">
        <v>665</v>
      </c>
    </row>
    <row r="1753" spans="1:6" x14ac:dyDescent="0.2">
      <c r="A1753" s="325" t="s">
        <v>677</v>
      </c>
      <c r="B1753" s="325" t="s">
        <v>819</v>
      </c>
      <c r="C1753" s="325" t="s">
        <v>412</v>
      </c>
      <c r="D1753" s="325" t="s">
        <v>111</v>
      </c>
      <c r="E1753" s="325" t="s">
        <v>265</v>
      </c>
      <c r="F1753" s="325" t="s">
        <v>261</v>
      </c>
    </row>
    <row r="1754" spans="1:6" x14ac:dyDescent="0.2">
      <c r="A1754" s="325" t="s">
        <v>677</v>
      </c>
      <c r="B1754" s="325" t="s">
        <v>820</v>
      </c>
      <c r="C1754" s="325" t="s">
        <v>412</v>
      </c>
      <c r="D1754" s="325" t="s">
        <v>289</v>
      </c>
      <c r="E1754" s="325" t="s">
        <v>265</v>
      </c>
      <c r="F1754" s="325" t="s">
        <v>674</v>
      </c>
    </row>
    <row r="1755" spans="1:6" x14ac:dyDescent="0.2">
      <c r="A1755" s="325" t="s">
        <v>677</v>
      </c>
      <c r="B1755" s="325" t="s">
        <v>821</v>
      </c>
      <c r="C1755" s="325" t="s">
        <v>412</v>
      </c>
      <c r="D1755" s="325" t="s">
        <v>308</v>
      </c>
      <c r="E1755" s="325" t="s">
        <v>265</v>
      </c>
      <c r="F1755" s="325" t="s">
        <v>675</v>
      </c>
    </row>
    <row r="1756" spans="1:6" x14ac:dyDescent="0.2">
      <c r="A1756" s="325" t="s">
        <v>677</v>
      </c>
      <c r="B1756" s="325" t="s">
        <v>822</v>
      </c>
      <c r="C1756" s="325" t="s">
        <v>412</v>
      </c>
      <c r="D1756" s="325" t="s">
        <v>411</v>
      </c>
      <c r="E1756" s="325" t="s">
        <v>265</v>
      </c>
      <c r="F1756" s="325" t="s">
        <v>115</v>
      </c>
    </row>
    <row r="1757" spans="1:6" x14ac:dyDescent="0.2">
      <c r="A1757" s="325" t="s">
        <v>677</v>
      </c>
      <c r="B1757" s="325" t="s">
        <v>823</v>
      </c>
      <c r="C1757" s="325" t="s">
        <v>412</v>
      </c>
      <c r="D1757" s="325" t="s">
        <v>425</v>
      </c>
      <c r="E1757" s="325" t="s">
        <v>265</v>
      </c>
      <c r="F1757" s="325" t="s">
        <v>364</v>
      </c>
    </row>
    <row r="1758" spans="1:6" x14ac:dyDescent="0.2">
      <c r="A1758" s="325" t="s">
        <v>677</v>
      </c>
      <c r="B1758" s="325" t="s">
        <v>824</v>
      </c>
      <c r="C1758" s="325" t="s">
        <v>412</v>
      </c>
      <c r="D1758" s="325" t="s">
        <v>431</v>
      </c>
      <c r="E1758" s="325" t="s">
        <v>265</v>
      </c>
      <c r="F1758" s="325" t="s">
        <v>464</v>
      </c>
    </row>
    <row r="1759" spans="1:6" x14ac:dyDescent="0.2">
      <c r="A1759" s="325" t="s">
        <v>677</v>
      </c>
      <c r="B1759" s="325" t="s">
        <v>825</v>
      </c>
      <c r="C1759" s="325" t="s">
        <v>412</v>
      </c>
      <c r="D1759" s="325" t="s">
        <v>696</v>
      </c>
      <c r="E1759" s="325" t="s">
        <v>265</v>
      </c>
      <c r="F1759" s="325" t="s">
        <v>1010</v>
      </c>
    </row>
    <row r="1760" spans="1:6" x14ac:dyDescent="0.2">
      <c r="A1760" s="325" t="s">
        <v>677</v>
      </c>
      <c r="B1760" s="325" t="s">
        <v>826</v>
      </c>
      <c r="C1760" s="325" t="s">
        <v>412</v>
      </c>
      <c r="D1760" s="325" t="s">
        <v>15</v>
      </c>
      <c r="E1760" s="325" t="s">
        <v>265</v>
      </c>
      <c r="F1760" s="325" t="s">
        <v>446</v>
      </c>
    </row>
    <row r="1761" spans="1:6" x14ac:dyDescent="0.2">
      <c r="A1761" s="325" t="s">
        <v>677</v>
      </c>
      <c r="B1761" s="325" t="s">
        <v>827</v>
      </c>
      <c r="C1761" s="325" t="s">
        <v>412</v>
      </c>
      <c r="D1761" s="325" t="s">
        <v>551</v>
      </c>
      <c r="E1761" s="325" t="s">
        <v>265</v>
      </c>
      <c r="F1761" s="325" t="s">
        <v>10</v>
      </c>
    </row>
    <row r="1762" spans="1:6" x14ac:dyDescent="0.2">
      <c r="A1762" s="325" t="s">
        <v>677</v>
      </c>
      <c r="B1762" s="325" t="s">
        <v>828</v>
      </c>
      <c r="C1762" s="325" t="s">
        <v>412</v>
      </c>
      <c r="D1762" s="325" t="s">
        <v>9</v>
      </c>
      <c r="E1762" s="325" t="s">
        <v>265</v>
      </c>
      <c r="F1762" s="325" t="s">
        <v>189</v>
      </c>
    </row>
    <row r="1763" spans="1:6" x14ac:dyDescent="0.2">
      <c r="A1763" s="325" t="s">
        <v>677</v>
      </c>
      <c r="B1763" s="325" t="s">
        <v>829</v>
      </c>
      <c r="C1763" s="325" t="s">
        <v>412</v>
      </c>
      <c r="D1763" s="325" t="s">
        <v>566</v>
      </c>
      <c r="E1763" s="325" t="s">
        <v>265</v>
      </c>
      <c r="F1763" s="325" t="s">
        <v>135</v>
      </c>
    </row>
    <row r="1764" spans="1:6" x14ac:dyDescent="0.2">
      <c r="A1764" s="325" t="s">
        <v>677</v>
      </c>
      <c r="B1764" s="325" t="s">
        <v>830</v>
      </c>
      <c r="C1764" s="325" t="s">
        <v>412</v>
      </c>
      <c r="D1764" s="325" t="s">
        <v>270</v>
      </c>
      <c r="E1764" s="325" t="s">
        <v>442</v>
      </c>
      <c r="F1764" s="325" t="s">
        <v>128</v>
      </c>
    </row>
    <row r="1765" spans="1:6" x14ac:dyDescent="0.2">
      <c r="A1765" s="325" t="s">
        <v>677</v>
      </c>
      <c r="B1765" s="325" t="s">
        <v>831</v>
      </c>
      <c r="C1765" s="325" t="s">
        <v>412</v>
      </c>
      <c r="D1765" s="325" t="s">
        <v>383</v>
      </c>
      <c r="E1765" s="325" t="s">
        <v>442</v>
      </c>
      <c r="F1765" s="325" t="s">
        <v>496</v>
      </c>
    </row>
    <row r="1766" spans="1:6" x14ac:dyDescent="0.2">
      <c r="A1766" s="325" t="s">
        <v>677</v>
      </c>
      <c r="B1766" s="325" t="s">
        <v>832</v>
      </c>
      <c r="C1766" s="325" t="s">
        <v>412</v>
      </c>
      <c r="D1766" s="325" t="s">
        <v>348</v>
      </c>
      <c r="E1766" s="325" t="s">
        <v>265</v>
      </c>
      <c r="F1766" s="325" t="s">
        <v>293</v>
      </c>
    </row>
    <row r="1767" spans="1:6" x14ac:dyDescent="0.2">
      <c r="A1767" s="325" t="s">
        <v>677</v>
      </c>
      <c r="B1767" s="325" t="s">
        <v>833</v>
      </c>
      <c r="C1767" s="325" t="s">
        <v>412</v>
      </c>
      <c r="D1767" s="325" t="s">
        <v>244</v>
      </c>
      <c r="E1767" s="325" t="s">
        <v>265</v>
      </c>
      <c r="F1767" s="325" t="s">
        <v>543</v>
      </c>
    </row>
    <row r="1768" spans="1:6" x14ac:dyDescent="0.2">
      <c r="A1768" s="325" t="s">
        <v>677</v>
      </c>
      <c r="B1768" s="325" t="s">
        <v>834</v>
      </c>
      <c r="C1768" s="325" t="s">
        <v>412</v>
      </c>
      <c r="D1768" s="325" t="s">
        <v>488</v>
      </c>
      <c r="E1768" s="325" t="s">
        <v>265</v>
      </c>
      <c r="F1768" s="325" t="s">
        <v>545</v>
      </c>
    </row>
    <row r="1769" spans="1:6" x14ac:dyDescent="0.2">
      <c r="A1769" s="325" t="s">
        <v>677</v>
      </c>
      <c r="B1769" s="325" t="s">
        <v>835</v>
      </c>
      <c r="C1769" s="325" t="s">
        <v>412</v>
      </c>
      <c r="D1769" s="325" t="s">
        <v>397</v>
      </c>
      <c r="E1769" s="325" t="s">
        <v>265</v>
      </c>
      <c r="F1769" s="325" t="s">
        <v>88</v>
      </c>
    </row>
    <row r="1770" spans="1:6" x14ac:dyDescent="0.2">
      <c r="A1770" s="325" t="s">
        <v>677</v>
      </c>
      <c r="B1770" s="325" t="s">
        <v>836</v>
      </c>
      <c r="C1770" s="325" t="s">
        <v>412</v>
      </c>
      <c r="D1770" s="325" t="s">
        <v>440</v>
      </c>
      <c r="E1770" s="325" t="s">
        <v>265</v>
      </c>
      <c r="F1770" s="325" t="s">
        <v>368</v>
      </c>
    </row>
    <row r="1771" spans="1:6" x14ac:dyDescent="0.2">
      <c r="A1771" s="325" t="s">
        <v>677</v>
      </c>
      <c r="B1771" s="325" t="s">
        <v>837</v>
      </c>
      <c r="C1771" s="325" t="s">
        <v>412</v>
      </c>
      <c r="D1771" s="325" t="s">
        <v>445</v>
      </c>
      <c r="E1771" s="325" t="s">
        <v>265</v>
      </c>
      <c r="F1771" s="325" t="s">
        <v>238</v>
      </c>
    </row>
    <row r="1772" spans="1:6" x14ac:dyDescent="0.2">
      <c r="A1772" s="325" t="s">
        <v>677</v>
      </c>
      <c r="B1772" s="325" t="s">
        <v>838</v>
      </c>
      <c r="C1772" s="325" t="s">
        <v>412</v>
      </c>
      <c r="D1772" s="325" t="s">
        <v>119</v>
      </c>
      <c r="E1772" s="325" t="s">
        <v>265</v>
      </c>
      <c r="F1772" s="325" t="s">
        <v>557</v>
      </c>
    </row>
    <row r="1773" spans="1:6" x14ac:dyDescent="0.2">
      <c r="A1773" s="325" t="s">
        <v>677</v>
      </c>
      <c r="B1773" s="325" t="s">
        <v>839</v>
      </c>
      <c r="C1773" s="325" t="s">
        <v>412</v>
      </c>
      <c r="D1773" s="325" t="s">
        <v>580</v>
      </c>
      <c r="E1773" s="325" t="s">
        <v>265</v>
      </c>
      <c r="F1773" s="325" t="s">
        <v>120</v>
      </c>
    </row>
    <row r="1774" spans="1:6" x14ac:dyDescent="0.2">
      <c r="A1774" s="325" t="s">
        <v>677</v>
      </c>
      <c r="B1774" s="325" t="s">
        <v>840</v>
      </c>
      <c r="C1774" s="325" t="s">
        <v>412</v>
      </c>
      <c r="D1774" s="325" t="s">
        <v>64</v>
      </c>
      <c r="E1774" s="325" t="s">
        <v>265</v>
      </c>
      <c r="F1774" s="325" t="s">
        <v>197</v>
      </c>
    </row>
    <row r="1775" spans="1:6" x14ac:dyDescent="0.2">
      <c r="A1775" s="325" t="s">
        <v>677</v>
      </c>
      <c r="B1775" s="325" t="s">
        <v>841</v>
      </c>
      <c r="C1775" s="325" t="s">
        <v>412</v>
      </c>
      <c r="D1775" s="325" t="s">
        <v>471</v>
      </c>
      <c r="E1775" s="325" t="s">
        <v>265</v>
      </c>
      <c r="F1775" s="325" t="s">
        <v>466</v>
      </c>
    </row>
    <row r="1776" spans="1:6" x14ac:dyDescent="0.2">
      <c r="A1776" s="325" t="s">
        <v>677</v>
      </c>
      <c r="B1776" s="325" t="s">
        <v>842</v>
      </c>
      <c r="C1776" s="325" t="s">
        <v>412</v>
      </c>
      <c r="D1776" s="325" t="s">
        <v>539</v>
      </c>
      <c r="E1776" s="325" t="s">
        <v>265</v>
      </c>
      <c r="F1776" s="325" t="s">
        <v>394</v>
      </c>
    </row>
    <row r="1777" spans="1:6" x14ac:dyDescent="0.2">
      <c r="A1777" s="325" t="s">
        <v>677</v>
      </c>
      <c r="B1777" s="325" t="s">
        <v>843</v>
      </c>
      <c r="C1777" s="325" t="s">
        <v>412</v>
      </c>
      <c r="D1777" s="325" t="s">
        <v>318</v>
      </c>
      <c r="E1777" s="325" t="s">
        <v>265</v>
      </c>
      <c r="F1777" s="325" t="s">
        <v>478</v>
      </c>
    </row>
    <row r="1778" spans="1:6" x14ac:dyDescent="0.2">
      <c r="A1778" s="325" t="s">
        <v>677</v>
      </c>
      <c r="B1778" s="325" t="s">
        <v>844</v>
      </c>
      <c r="C1778" s="325" t="s">
        <v>412</v>
      </c>
      <c r="D1778" s="325" t="s">
        <v>257</v>
      </c>
      <c r="E1778" s="325" t="s">
        <v>265</v>
      </c>
      <c r="F1778" s="325" t="s">
        <v>338</v>
      </c>
    </row>
    <row r="1779" spans="1:6" x14ac:dyDescent="0.2">
      <c r="A1779" s="325" t="s">
        <v>677</v>
      </c>
      <c r="B1779" s="325" t="s">
        <v>845</v>
      </c>
      <c r="C1779" s="325" t="s">
        <v>412</v>
      </c>
      <c r="D1779" s="325" t="s">
        <v>751</v>
      </c>
      <c r="E1779" s="325" t="s">
        <v>265</v>
      </c>
      <c r="F1779" s="325" t="s">
        <v>753</v>
      </c>
    </row>
    <row r="1780" spans="1:6" x14ac:dyDescent="0.2">
      <c r="A1780" s="325" t="s">
        <v>677</v>
      </c>
      <c r="B1780" s="325" t="s">
        <v>846</v>
      </c>
      <c r="C1780" s="325" t="s">
        <v>412</v>
      </c>
      <c r="D1780" s="325" t="s">
        <v>55</v>
      </c>
      <c r="E1780" s="325" t="s">
        <v>265</v>
      </c>
      <c r="F1780" s="325" t="s">
        <v>305</v>
      </c>
    </row>
    <row r="1781" spans="1:6" x14ac:dyDescent="0.2">
      <c r="A1781" s="325" t="s">
        <v>677</v>
      </c>
      <c r="B1781" s="325" t="s">
        <v>847</v>
      </c>
      <c r="C1781" s="325" t="s">
        <v>412</v>
      </c>
      <c r="D1781" s="325" t="s">
        <v>522</v>
      </c>
      <c r="E1781" s="325" t="s">
        <v>265</v>
      </c>
      <c r="F1781" s="325" t="s">
        <v>602</v>
      </c>
    </row>
    <row r="1782" spans="1:6" x14ac:dyDescent="0.2">
      <c r="A1782" s="325" t="s">
        <v>677</v>
      </c>
      <c r="B1782" s="325" t="s">
        <v>848</v>
      </c>
      <c r="C1782" s="325" t="s">
        <v>412</v>
      </c>
      <c r="D1782" s="325" t="s">
        <v>370</v>
      </c>
      <c r="E1782" s="325" t="s">
        <v>265</v>
      </c>
      <c r="F1782" s="325" t="s">
        <v>484</v>
      </c>
    </row>
    <row r="1783" spans="1:6" x14ac:dyDescent="0.2">
      <c r="A1783" s="325" t="s">
        <v>677</v>
      </c>
      <c r="B1783" s="325" t="s">
        <v>849</v>
      </c>
      <c r="C1783" s="325" t="s">
        <v>412</v>
      </c>
      <c r="D1783" s="325" t="s">
        <v>752</v>
      </c>
      <c r="E1783" s="325" t="s">
        <v>265</v>
      </c>
      <c r="F1783" s="325" t="s">
        <v>754</v>
      </c>
    </row>
    <row r="1784" spans="1:6" x14ac:dyDescent="0.2">
      <c r="A1784" s="325" t="s">
        <v>677</v>
      </c>
      <c r="B1784" s="325" t="s">
        <v>850</v>
      </c>
      <c r="C1784" s="325" t="s">
        <v>412</v>
      </c>
      <c r="D1784" s="325" t="s">
        <v>585</v>
      </c>
      <c r="E1784" s="325" t="s">
        <v>265</v>
      </c>
      <c r="F1784" s="325" t="s">
        <v>564</v>
      </c>
    </row>
    <row r="1785" spans="1:6" x14ac:dyDescent="0.2">
      <c r="A1785" s="325" t="s">
        <v>677</v>
      </c>
      <c r="B1785" s="325" t="s">
        <v>851</v>
      </c>
      <c r="C1785" s="325" t="s">
        <v>412</v>
      </c>
      <c r="D1785" s="325" t="s">
        <v>603</v>
      </c>
      <c r="E1785" s="325" t="s">
        <v>265</v>
      </c>
      <c r="F1785" s="325" t="s">
        <v>703</v>
      </c>
    </row>
    <row r="1786" spans="1:6" x14ac:dyDescent="0.2">
      <c r="A1786" s="325" t="s">
        <v>677</v>
      </c>
      <c r="B1786" s="325" t="s">
        <v>852</v>
      </c>
      <c r="C1786" s="325" t="s">
        <v>412</v>
      </c>
      <c r="D1786" s="325" t="s">
        <v>604</v>
      </c>
      <c r="E1786" s="325" t="s">
        <v>265</v>
      </c>
      <c r="F1786" s="325" t="s">
        <v>702</v>
      </c>
    </row>
    <row r="1787" spans="1:6" x14ac:dyDescent="0.2">
      <c r="A1787" s="325" t="s">
        <v>677</v>
      </c>
      <c r="B1787" s="325" t="s">
        <v>853</v>
      </c>
      <c r="C1787" s="325" t="s">
        <v>412</v>
      </c>
      <c r="D1787" s="325" t="s">
        <v>565</v>
      </c>
      <c r="E1787" s="325" t="s">
        <v>265</v>
      </c>
      <c r="F1787" s="325" t="s">
        <v>306</v>
      </c>
    </row>
    <row r="1788" spans="1:6" x14ac:dyDescent="0.2">
      <c r="A1788" s="325" t="s">
        <v>677</v>
      </c>
      <c r="B1788" s="325" t="s">
        <v>854</v>
      </c>
      <c r="C1788" s="325" t="s">
        <v>412</v>
      </c>
      <c r="D1788" s="325" t="s">
        <v>354</v>
      </c>
      <c r="E1788" s="325" t="s">
        <v>265</v>
      </c>
      <c r="F1788" s="325" t="s">
        <v>390</v>
      </c>
    </row>
    <row r="1789" spans="1:6" x14ac:dyDescent="0.2">
      <c r="A1789" s="325" t="s">
        <v>677</v>
      </c>
      <c r="B1789" s="325" t="s">
        <v>855</v>
      </c>
      <c r="C1789" s="325" t="s">
        <v>412</v>
      </c>
      <c r="D1789" s="325" t="s">
        <v>93</v>
      </c>
      <c r="E1789" s="325" t="s">
        <v>265</v>
      </c>
      <c r="F1789" s="325" t="s">
        <v>170</v>
      </c>
    </row>
    <row r="1790" spans="1:6" x14ac:dyDescent="0.2">
      <c r="A1790" s="325" t="s">
        <v>677</v>
      </c>
      <c r="B1790" s="325" t="s">
        <v>856</v>
      </c>
      <c r="C1790" s="325" t="s">
        <v>412</v>
      </c>
      <c r="D1790" s="325" t="s">
        <v>198</v>
      </c>
      <c r="E1790" s="325" t="s">
        <v>265</v>
      </c>
      <c r="F1790" s="325" t="s">
        <v>139</v>
      </c>
    </row>
    <row r="1791" spans="1:6" x14ac:dyDescent="0.2">
      <c r="A1791" s="325" t="s">
        <v>677</v>
      </c>
      <c r="B1791" s="325" t="s">
        <v>857</v>
      </c>
      <c r="C1791" s="325" t="s">
        <v>412</v>
      </c>
      <c r="D1791" s="325" t="s">
        <v>412</v>
      </c>
      <c r="E1791" s="325" t="s">
        <v>265</v>
      </c>
      <c r="F1791" s="325" t="s">
        <v>27</v>
      </c>
    </row>
    <row r="1792" spans="1:6" x14ac:dyDescent="0.2">
      <c r="A1792" s="325" t="s">
        <v>677</v>
      </c>
      <c r="B1792" s="325" t="s">
        <v>858</v>
      </c>
      <c r="C1792" s="325" t="s">
        <v>412</v>
      </c>
      <c r="D1792" s="325" t="s">
        <v>152</v>
      </c>
      <c r="E1792" s="325" t="s">
        <v>265</v>
      </c>
      <c r="F1792" s="325" t="s">
        <v>555</v>
      </c>
    </row>
    <row r="1793" spans="1:6" x14ac:dyDescent="0.2">
      <c r="A1793" s="325" t="s">
        <v>677</v>
      </c>
      <c r="B1793" s="325" t="s">
        <v>859</v>
      </c>
      <c r="C1793" s="325" t="s">
        <v>412</v>
      </c>
      <c r="D1793" s="325" t="s">
        <v>547</v>
      </c>
      <c r="E1793" s="325" t="s">
        <v>265</v>
      </c>
      <c r="F1793" s="325" t="s">
        <v>374</v>
      </c>
    </row>
    <row r="1794" spans="1:6" x14ac:dyDescent="0.2">
      <c r="A1794" s="325" t="s">
        <v>677</v>
      </c>
      <c r="B1794" s="325" t="s">
        <v>860</v>
      </c>
      <c r="C1794" s="325" t="s">
        <v>412</v>
      </c>
      <c r="D1794" s="325" t="s">
        <v>490</v>
      </c>
      <c r="E1794" s="325" t="s">
        <v>265</v>
      </c>
      <c r="F1794" s="325" t="s">
        <v>177</v>
      </c>
    </row>
    <row r="1795" spans="1:6" x14ac:dyDescent="0.2">
      <c r="A1795" s="325" t="s">
        <v>677</v>
      </c>
      <c r="B1795" s="325" t="s">
        <v>861</v>
      </c>
      <c r="C1795" s="325" t="s">
        <v>412</v>
      </c>
      <c r="D1795" s="325" t="s">
        <v>209</v>
      </c>
      <c r="E1795" s="325" t="s">
        <v>265</v>
      </c>
      <c r="F1795" s="325" t="s">
        <v>41</v>
      </c>
    </row>
    <row r="1796" spans="1:6" x14ac:dyDescent="0.2">
      <c r="A1796" s="325" t="s">
        <v>677</v>
      </c>
      <c r="B1796" s="325" t="s">
        <v>862</v>
      </c>
      <c r="C1796" s="325" t="s">
        <v>412</v>
      </c>
      <c r="D1796" s="325" t="s">
        <v>163</v>
      </c>
      <c r="E1796" s="325" t="s">
        <v>265</v>
      </c>
      <c r="F1796" s="325" t="s">
        <v>98</v>
      </c>
    </row>
    <row r="1797" spans="1:6" x14ac:dyDescent="0.2">
      <c r="A1797" s="325" t="s">
        <v>677</v>
      </c>
      <c r="B1797" s="325" t="s">
        <v>863</v>
      </c>
      <c r="C1797" s="325" t="s">
        <v>412</v>
      </c>
      <c r="D1797" s="325" t="s">
        <v>200</v>
      </c>
      <c r="E1797" s="325" t="s">
        <v>265</v>
      </c>
      <c r="F1797" s="325" t="s">
        <v>230</v>
      </c>
    </row>
    <row r="1798" spans="1:6" x14ac:dyDescent="0.2">
      <c r="A1798" s="325" t="s">
        <v>677</v>
      </c>
      <c r="B1798" s="325" t="s">
        <v>864</v>
      </c>
      <c r="C1798" s="325" t="s">
        <v>412</v>
      </c>
      <c r="D1798" s="325" t="s">
        <v>54</v>
      </c>
      <c r="E1798" s="325" t="s">
        <v>265</v>
      </c>
      <c r="F1798" s="325" t="s">
        <v>192</v>
      </c>
    </row>
    <row r="1799" spans="1:6" x14ac:dyDescent="0.2">
      <c r="A1799" s="325" t="s">
        <v>677</v>
      </c>
      <c r="B1799" s="325" t="s">
        <v>865</v>
      </c>
      <c r="C1799" s="325" t="s">
        <v>412</v>
      </c>
      <c r="D1799" s="325" t="s">
        <v>133</v>
      </c>
      <c r="E1799" s="325" t="s">
        <v>265</v>
      </c>
      <c r="F1799" s="325" t="s">
        <v>349</v>
      </c>
    </row>
    <row r="1800" spans="1:6" x14ac:dyDescent="0.2">
      <c r="A1800" s="325" t="s">
        <v>677</v>
      </c>
      <c r="B1800" s="325" t="s">
        <v>866</v>
      </c>
      <c r="C1800" s="325" t="s">
        <v>412</v>
      </c>
      <c r="D1800" s="325" t="s">
        <v>232</v>
      </c>
      <c r="E1800" s="325" t="s">
        <v>265</v>
      </c>
      <c r="F1800" s="325" t="s">
        <v>16</v>
      </c>
    </row>
    <row r="1801" spans="1:6" x14ac:dyDescent="0.2">
      <c r="A1801" s="325" t="s">
        <v>677</v>
      </c>
      <c r="B1801" s="325" t="s">
        <v>867</v>
      </c>
      <c r="C1801" s="325" t="s">
        <v>412</v>
      </c>
      <c r="D1801" s="325" t="s">
        <v>56</v>
      </c>
      <c r="E1801" s="325" t="s">
        <v>265</v>
      </c>
      <c r="F1801" s="325" t="s">
        <v>199</v>
      </c>
    </row>
    <row r="1802" spans="1:6" x14ac:dyDescent="0.2">
      <c r="A1802" s="325" t="s">
        <v>677</v>
      </c>
      <c r="B1802" s="325" t="s">
        <v>868</v>
      </c>
      <c r="C1802" s="325" t="s">
        <v>412</v>
      </c>
      <c r="D1802" s="325" t="s">
        <v>434</v>
      </c>
      <c r="E1802" s="325" t="s">
        <v>265</v>
      </c>
      <c r="F1802" s="325" t="s">
        <v>514</v>
      </c>
    </row>
    <row r="1803" spans="1:6" x14ac:dyDescent="0.2">
      <c r="A1803" s="325" t="s">
        <v>677</v>
      </c>
      <c r="B1803" s="325" t="s">
        <v>869</v>
      </c>
      <c r="C1803" s="325" t="s">
        <v>412</v>
      </c>
      <c r="D1803" s="325" t="s">
        <v>108</v>
      </c>
      <c r="E1803" s="325" t="s">
        <v>265</v>
      </c>
      <c r="F1803" s="325" t="s">
        <v>362</v>
      </c>
    </row>
    <row r="1804" spans="1:6" x14ac:dyDescent="0.2">
      <c r="A1804" s="325" t="s">
        <v>677</v>
      </c>
      <c r="B1804" s="325" t="s">
        <v>870</v>
      </c>
      <c r="C1804" s="325" t="s">
        <v>412</v>
      </c>
      <c r="D1804" s="325" t="s">
        <v>657</v>
      </c>
      <c r="E1804" s="325" t="s">
        <v>265</v>
      </c>
      <c r="F1804" s="325" t="s">
        <v>658</v>
      </c>
    </row>
    <row r="1805" spans="1:6" x14ac:dyDescent="0.2">
      <c r="A1805" s="325" t="s">
        <v>677</v>
      </c>
      <c r="B1805" s="325" t="s">
        <v>871</v>
      </c>
      <c r="C1805" s="325" t="s">
        <v>412</v>
      </c>
      <c r="D1805" s="325" t="s">
        <v>659</v>
      </c>
      <c r="E1805" s="325" t="s">
        <v>265</v>
      </c>
      <c r="F1805" s="325" t="s">
        <v>660</v>
      </c>
    </row>
    <row r="1806" spans="1:6" x14ac:dyDescent="0.2">
      <c r="A1806" s="325" t="s">
        <v>677</v>
      </c>
      <c r="B1806" s="325" t="s">
        <v>872</v>
      </c>
      <c r="C1806" s="325" t="s">
        <v>412</v>
      </c>
      <c r="D1806" s="325" t="s">
        <v>661</v>
      </c>
      <c r="E1806" s="325" t="s">
        <v>265</v>
      </c>
      <c r="F1806" s="325" t="s">
        <v>662</v>
      </c>
    </row>
    <row r="1807" spans="1:6" x14ac:dyDescent="0.2">
      <c r="A1807" s="325" t="s">
        <v>677</v>
      </c>
      <c r="B1807" s="325" t="s">
        <v>873</v>
      </c>
      <c r="C1807" s="325" t="s">
        <v>412</v>
      </c>
      <c r="D1807" s="325" t="s">
        <v>648</v>
      </c>
      <c r="E1807" s="325" t="s">
        <v>265</v>
      </c>
      <c r="F1807" s="325" t="s">
        <v>651</v>
      </c>
    </row>
    <row r="1808" spans="1:6" x14ac:dyDescent="0.2">
      <c r="A1808" s="325" t="s">
        <v>677</v>
      </c>
      <c r="B1808" s="325" t="s">
        <v>874</v>
      </c>
      <c r="C1808" s="325" t="s">
        <v>412</v>
      </c>
      <c r="D1808" s="325" t="s">
        <v>649</v>
      </c>
      <c r="E1808" s="325" t="s">
        <v>265</v>
      </c>
      <c r="F1808" s="325" t="s">
        <v>652</v>
      </c>
    </row>
    <row r="1809" spans="1:6" x14ac:dyDescent="0.2">
      <c r="A1809" s="325" t="s">
        <v>677</v>
      </c>
      <c r="B1809" s="325" t="s">
        <v>875</v>
      </c>
      <c r="C1809" s="325" t="s">
        <v>412</v>
      </c>
      <c r="D1809" s="325" t="s">
        <v>650</v>
      </c>
      <c r="E1809" s="325" t="s">
        <v>265</v>
      </c>
      <c r="F1809" s="325" t="s">
        <v>653</v>
      </c>
    </row>
    <row r="1810" spans="1:6" x14ac:dyDescent="0.2">
      <c r="A1810" s="325" t="s">
        <v>677</v>
      </c>
      <c r="B1810" s="325" t="s">
        <v>876</v>
      </c>
      <c r="C1810" s="325" t="s">
        <v>412</v>
      </c>
      <c r="D1810" s="325" t="s">
        <v>327</v>
      </c>
      <c r="E1810" s="325" t="s">
        <v>265</v>
      </c>
      <c r="F1810" s="325" t="s">
        <v>102</v>
      </c>
    </row>
    <row r="1811" spans="1:6" x14ac:dyDescent="0.2">
      <c r="A1811" s="325" t="s">
        <v>677</v>
      </c>
      <c r="B1811" s="325" t="s">
        <v>877</v>
      </c>
      <c r="C1811" s="325" t="s">
        <v>412</v>
      </c>
      <c r="D1811" s="325" t="s">
        <v>356</v>
      </c>
      <c r="E1811" s="325" t="s">
        <v>265</v>
      </c>
      <c r="F1811" s="325" t="s">
        <v>1011</v>
      </c>
    </row>
    <row r="1812" spans="1:6" x14ac:dyDescent="0.2">
      <c r="A1812" s="325" t="s">
        <v>677</v>
      </c>
      <c r="B1812" s="325" t="s">
        <v>878</v>
      </c>
      <c r="C1812" s="325" t="s">
        <v>412</v>
      </c>
      <c r="D1812" s="325" t="s">
        <v>513</v>
      </c>
      <c r="E1812" s="325" t="s">
        <v>442</v>
      </c>
      <c r="F1812" s="325" t="s">
        <v>264</v>
      </c>
    </row>
    <row r="1813" spans="1:6" x14ac:dyDescent="0.2">
      <c r="A1813" s="325" t="s">
        <v>677</v>
      </c>
      <c r="B1813" s="325" t="s">
        <v>879</v>
      </c>
      <c r="C1813" s="325" t="s">
        <v>412</v>
      </c>
      <c r="D1813" s="325" t="s">
        <v>554</v>
      </c>
      <c r="E1813" s="325" t="s">
        <v>442</v>
      </c>
      <c r="F1813" s="325" t="s">
        <v>229</v>
      </c>
    </row>
    <row r="1814" spans="1:6" x14ac:dyDescent="0.2">
      <c r="A1814" s="325" t="s">
        <v>677</v>
      </c>
      <c r="B1814" s="325" t="s">
        <v>880</v>
      </c>
      <c r="C1814" s="325" t="s">
        <v>412</v>
      </c>
      <c r="D1814" s="325" t="s">
        <v>409</v>
      </c>
      <c r="E1814" s="325" t="s">
        <v>442</v>
      </c>
      <c r="F1814" s="325" t="s">
        <v>336</v>
      </c>
    </row>
    <row r="1815" spans="1:6" x14ac:dyDescent="0.2">
      <c r="A1815" s="325" t="s">
        <v>677</v>
      </c>
      <c r="B1815" s="325" t="s">
        <v>881</v>
      </c>
      <c r="C1815" s="325" t="s">
        <v>412</v>
      </c>
      <c r="D1815" s="325" t="s">
        <v>72</v>
      </c>
      <c r="E1815" s="325" t="s">
        <v>265</v>
      </c>
      <c r="F1815" s="325" t="s">
        <v>451</v>
      </c>
    </row>
    <row r="1816" spans="1:6" x14ac:dyDescent="0.2">
      <c r="A1816" s="325" t="s">
        <v>677</v>
      </c>
      <c r="B1816" s="325" t="s">
        <v>882</v>
      </c>
      <c r="C1816" s="325" t="s">
        <v>412</v>
      </c>
      <c r="D1816" s="325" t="s">
        <v>35</v>
      </c>
      <c r="E1816" s="325" t="s">
        <v>265</v>
      </c>
      <c r="F1816" s="325" t="s">
        <v>414</v>
      </c>
    </row>
    <row r="1817" spans="1:6" x14ac:dyDescent="0.2">
      <c r="A1817" s="325" t="s">
        <v>677</v>
      </c>
      <c r="B1817" s="325" t="s">
        <v>883</v>
      </c>
      <c r="C1817" s="325" t="s">
        <v>412</v>
      </c>
      <c r="D1817" s="325" t="s">
        <v>122</v>
      </c>
      <c r="E1817" s="325" t="s">
        <v>442</v>
      </c>
      <c r="F1817" s="325" t="s">
        <v>62</v>
      </c>
    </row>
    <row r="1818" spans="1:6" x14ac:dyDescent="0.2">
      <c r="A1818" s="325" t="s">
        <v>677</v>
      </c>
      <c r="B1818" s="325" t="s">
        <v>884</v>
      </c>
      <c r="C1818" s="325" t="s">
        <v>412</v>
      </c>
      <c r="D1818" s="325" t="s">
        <v>137</v>
      </c>
      <c r="E1818" s="325" t="s">
        <v>442</v>
      </c>
      <c r="F1818" s="325" t="s">
        <v>148</v>
      </c>
    </row>
    <row r="1819" spans="1:6" x14ac:dyDescent="0.2">
      <c r="A1819" s="325" t="s">
        <v>677</v>
      </c>
      <c r="B1819" s="325" t="s">
        <v>885</v>
      </c>
      <c r="C1819" s="325" t="s">
        <v>412</v>
      </c>
      <c r="D1819" s="325" t="s">
        <v>369</v>
      </c>
      <c r="E1819" s="325" t="s">
        <v>265</v>
      </c>
      <c r="F1819" s="325" t="s">
        <v>8</v>
      </c>
    </row>
    <row r="1820" spans="1:6" x14ac:dyDescent="0.2">
      <c r="A1820" s="325" t="s">
        <v>677</v>
      </c>
      <c r="B1820" s="325" t="s">
        <v>886</v>
      </c>
      <c r="C1820" s="325" t="s">
        <v>412</v>
      </c>
      <c r="D1820" s="325" t="s">
        <v>328</v>
      </c>
      <c r="E1820" s="325" t="s">
        <v>456</v>
      </c>
      <c r="F1820" s="325" t="s">
        <v>475</v>
      </c>
    </row>
    <row r="1821" spans="1:6" x14ac:dyDescent="0.2">
      <c r="A1821" s="325" t="s">
        <v>677</v>
      </c>
      <c r="B1821" s="325" t="s">
        <v>887</v>
      </c>
      <c r="C1821" s="325" t="s">
        <v>412</v>
      </c>
      <c r="D1821" s="325" t="s">
        <v>227</v>
      </c>
      <c r="E1821" s="325" t="s">
        <v>456</v>
      </c>
      <c r="F1821" s="325" t="s">
        <v>245</v>
      </c>
    </row>
    <row r="1822" spans="1:6" x14ac:dyDescent="0.2">
      <c r="A1822" s="325" t="s">
        <v>677</v>
      </c>
      <c r="B1822" s="325" t="s">
        <v>888</v>
      </c>
      <c r="C1822" s="325" t="s">
        <v>412</v>
      </c>
      <c r="D1822" s="325" t="s">
        <v>157</v>
      </c>
      <c r="E1822" s="325" t="s">
        <v>442</v>
      </c>
      <c r="F1822" s="325" t="s">
        <v>181</v>
      </c>
    </row>
    <row r="1823" spans="1:6" x14ac:dyDescent="0.2">
      <c r="A1823" s="325" t="s">
        <v>677</v>
      </c>
      <c r="B1823" s="325" t="s">
        <v>889</v>
      </c>
      <c r="C1823" s="325" t="s">
        <v>412</v>
      </c>
      <c r="D1823" s="325" t="s">
        <v>712</v>
      </c>
      <c r="E1823" s="325" t="s">
        <v>456</v>
      </c>
      <c r="F1823" s="325" t="s">
        <v>713</v>
      </c>
    </row>
    <row r="1824" spans="1:6" x14ac:dyDescent="0.2">
      <c r="A1824" s="325" t="s">
        <v>677</v>
      </c>
      <c r="B1824" s="325" t="s">
        <v>890</v>
      </c>
      <c r="C1824" s="325" t="s">
        <v>412</v>
      </c>
      <c r="D1824" s="325" t="s">
        <v>282</v>
      </c>
      <c r="E1824" s="325" t="s">
        <v>442</v>
      </c>
      <c r="F1824" s="325" t="s">
        <v>63</v>
      </c>
    </row>
    <row r="1825" spans="1:6" x14ac:dyDescent="0.2">
      <c r="A1825" s="325" t="s">
        <v>677</v>
      </c>
      <c r="B1825" s="325" t="s">
        <v>891</v>
      </c>
      <c r="C1825" s="325" t="s">
        <v>412</v>
      </c>
      <c r="D1825" s="325" t="s">
        <v>274</v>
      </c>
      <c r="E1825" s="325" t="s">
        <v>456</v>
      </c>
      <c r="F1825" s="325" t="s">
        <v>1012</v>
      </c>
    </row>
    <row r="1826" spans="1:6" x14ac:dyDescent="0.2">
      <c r="A1826" s="325" t="s">
        <v>677</v>
      </c>
      <c r="B1826" s="325" t="s">
        <v>892</v>
      </c>
      <c r="C1826" s="325" t="s">
        <v>412</v>
      </c>
      <c r="D1826" s="325" t="s">
        <v>699</v>
      </c>
      <c r="E1826" s="325" t="s">
        <v>265</v>
      </c>
      <c r="F1826" s="325" t="s">
        <v>994</v>
      </c>
    </row>
    <row r="1827" spans="1:6" x14ac:dyDescent="0.2">
      <c r="A1827" s="325" t="s">
        <v>677</v>
      </c>
      <c r="B1827" s="325" t="s">
        <v>893</v>
      </c>
      <c r="C1827" s="325" t="s">
        <v>412</v>
      </c>
      <c r="D1827" s="325" t="s">
        <v>68</v>
      </c>
      <c r="E1827" s="325" t="s">
        <v>456</v>
      </c>
      <c r="F1827" s="325" t="s">
        <v>74</v>
      </c>
    </row>
    <row r="1828" spans="1:6" x14ac:dyDescent="0.2">
      <c r="A1828" s="325" t="s">
        <v>677</v>
      </c>
      <c r="B1828" s="325" t="s">
        <v>894</v>
      </c>
      <c r="C1828" s="325" t="s">
        <v>412</v>
      </c>
      <c r="D1828" s="325" t="s">
        <v>271</v>
      </c>
      <c r="E1828" s="325" t="s">
        <v>456</v>
      </c>
      <c r="F1828" s="325" t="s">
        <v>236</v>
      </c>
    </row>
    <row r="1829" spans="1:6" x14ac:dyDescent="0.2">
      <c r="A1829" s="325" t="s">
        <v>677</v>
      </c>
      <c r="B1829" s="325" t="s">
        <v>895</v>
      </c>
      <c r="C1829" s="325" t="s">
        <v>412</v>
      </c>
      <c r="D1829" s="325" t="s">
        <v>296</v>
      </c>
      <c r="E1829" s="325" t="s">
        <v>442</v>
      </c>
      <c r="F1829" s="325" t="s">
        <v>74</v>
      </c>
    </row>
    <row r="1830" spans="1:6" x14ac:dyDescent="0.2">
      <c r="A1830" s="325" t="s">
        <v>677</v>
      </c>
      <c r="B1830" s="325" t="s">
        <v>896</v>
      </c>
      <c r="C1830" s="325" t="s">
        <v>412</v>
      </c>
      <c r="D1830" s="325" t="s">
        <v>316</v>
      </c>
      <c r="E1830" s="325" t="s">
        <v>442</v>
      </c>
      <c r="F1830" s="325" t="s">
        <v>236</v>
      </c>
    </row>
    <row r="1831" spans="1:6" x14ac:dyDescent="0.2">
      <c r="A1831" s="325" t="s">
        <v>677</v>
      </c>
      <c r="B1831" s="325" t="s">
        <v>897</v>
      </c>
      <c r="C1831" s="325" t="s">
        <v>412</v>
      </c>
      <c r="D1831" s="325" t="s">
        <v>36</v>
      </c>
      <c r="E1831" s="325" t="s">
        <v>456</v>
      </c>
      <c r="F1831" s="325" t="s">
        <v>342</v>
      </c>
    </row>
    <row r="1832" spans="1:6" x14ac:dyDescent="0.2">
      <c r="A1832" s="325" t="s">
        <v>677</v>
      </c>
      <c r="B1832" s="325" t="s">
        <v>898</v>
      </c>
      <c r="C1832" s="325" t="s">
        <v>412</v>
      </c>
      <c r="D1832" s="325" t="s">
        <v>507</v>
      </c>
      <c r="E1832" s="325" t="s">
        <v>456</v>
      </c>
      <c r="F1832" s="325" t="s">
        <v>559</v>
      </c>
    </row>
    <row r="1833" spans="1:6" x14ac:dyDescent="0.2">
      <c r="A1833" s="325" t="s">
        <v>677</v>
      </c>
      <c r="B1833" s="325" t="s">
        <v>899</v>
      </c>
      <c r="C1833" s="325" t="s">
        <v>412</v>
      </c>
      <c r="D1833" s="325" t="s">
        <v>570</v>
      </c>
      <c r="E1833" s="325" t="s">
        <v>456</v>
      </c>
      <c r="F1833" s="325" t="s">
        <v>256</v>
      </c>
    </row>
    <row r="1834" spans="1:6" x14ac:dyDescent="0.2">
      <c r="A1834" s="325" t="s">
        <v>677</v>
      </c>
      <c r="B1834" s="325" t="s">
        <v>901</v>
      </c>
      <c r="C1834" s="325" t="s">
        <v>412</v>
      </c>
      <c r="D1834" s="325" t="s">
        <v>21</v>
      </c>
      <c r="E1834" s="325" t="s">
        <v>265</v>
      </c>
      <c r="F1834" s="325" t="s">
        <v>47</v>
      </c>
    </row>
    <row r="1835" spans="1:6" x14ac:dyDescent="0.2">
      <c r="A1835" s="325" t="s">
        <v>677</v>
      </c>
      <c r="B1835" s="325" t="s">
        <v>902</v>
      </c>
      <c r="C1835" s="325" t="s">
        <v>412</v>
      </c>
      <c r="D1835" s="325" t="s">
        <v>323</v>
      </c>
      <c r="E1835" s="325" t="s">
        <v>265</v>
      </c>
      <c r="F1835" s="325" t="s">
        <v>20</v>
      </c>
    </row>
    <row r="1836" spans="1:6" x14ac:dyDescent="0.2">
      <c r="A1836" s="325" t="s">
        <v>677</v>
      </c>
      <c r="B1836" s="325" t="s">
        <v>903</v>
      </c>
      <c r="C1836" s="325" t="s">
        <v>412</v>
      </c>
      <c r="D1836" s="325" t="s">
        <v>447</v>
      </c>
      <c r="E1836" s="325" t="s">
        <v>265</v>
      </c>
      <c r="F1836" s="325" t="s">
        <v>741</v>
      </c>
    </row>
    <row r="1837" spans="1:6" x14ac:dyDescent="0.2">
      <c r="A1837" s="325" t="s">
        <v>677</v>
      </c>
      <c r="B1837" s="325" t="s">
        <v>904</v>
      </c>
      <c r="C1837" s="325" t="s">
        <v>412</v>
      </c>
      <c r="D1837" s="325" t="s">
        <v>742</v>
      </c>
      <c r="E1837" s="325" t="s">
        <v>456</v>
      </c>
      <c r="F1837" s="325" t="s">
        <v>743</v>
      </c>
    </row>
    <row r="1838" spans="1:6" x14ac:dyDescent="0.2">
      <c r="A1838" s="325" t="s">
        <v>677</v>
      </c>
      <c r="B1838" s="325" t="s">
        <v>905</v>
      </c>
      <c r="C1838" s="325" t="s">
        <v>412</v>
      </c>
      <c r="D1838" s="325" t="s">
        <v>493</v>
      </c>
      <c r="E1838" s="325" t="s">
        <v>456</v>
      </c>
      <c r="F1838" s="325" t="s">
        <v>995</v>
      </c>
    </row>
    <row r="1839" spans="1:6" x14ac:dyDescent="0.2">
      <c r="A1839" s="325" t="s">
        <v>677</v>
      </c>
      <c r="B1839" s="325" t="s">
        <v>906</v>
      </c>
      <c r="C1839" s="325" t="s">
        <v>412</v>
      </c>
      <c r="D1839" s="325" t="s">
        <v>679</v>
      </c>
      <c r="E1839" s="325" t="s">
        <v>265</v>
      </c>
      <c r="F1839" s="325" t="s">
        <v>682</v>
      </c>
    </row>
    <row r="1840" spans="1:6" x14ac:dyDescent="0.2">
      <c r="A1840" s="325" t="s">
        <v>677</v>
      </c>
      <c r="B1840" s="325" t="s">
        <v>907</v>
      </c>
      <c r="C1840" s="325" t="s">
        <v>412</v>
      </c>
      <c r="D1840" s="325" t="s">
        <v>46</v>
      </c>
      <c r="E1840" s="325" t="s">
        <v>456</v>
      </c>
      <c r="F1840" s="325" t="s">
        <v>165</v>
      </c>
    </row>
    <row r="1841" spans="1:6" x14ac:dyDescent="0.2">
      <c r="A1841" s="325" t="s">
        <v>677</v>
      </c>
      <c r="B1841" s="325" t="s">
        <v>908</v>
      </c>
      <c r="C1841" s="325" t="s">
        <v>412</v>
      </c>
      <c r="D1841" s="325" t="s">
        <v>382</v>
      </c>
      <c r="E1841" s="325" t="s">
        <v>456</v>
      </c>
      <c r="F1841" s="325" t="s">
        <v>535</v>
      </c>
    </row>
    <row r="1842" spans="1:6" x14ac:dyDescent="0.2">
      <c r="A1842" s="325" t="s">
        <v>677</v>
      </c>
      <c r="B1842" s="325" t="s">
        <v>909</v>
      </c>
      <c r="C1842" s="325" t="s">
        <v>412</v>
      </c>
      <c r="D1842" s="325" t="s">
        <v>169</v>
      </c>
      <c r="E1842" s="325" t="s">
        <v>456</v>
      </c>
      <c r="F1842" s="325" t="s">
        <v>311</v>
      </c>
    </row>
    <row r="1843" spans="1:6" x14ac:dyDescent="0.2">
      <c r="A1843" s="325" t="s">
        <v>677</v>
      </c>
      <c r="B1843" s="325" t="s">
        <v>910</v>
      </c>
      <c r="C1843" s="325" t="s">
        <v>412</v>
      </c>
      <c r="D1843" s="325" t="s">
        <v>395</v>
      </c>
      <c r="E1843" s="325" t="s">
        <v>456</v>
      </c>
      <c r="F1843" s="325" t="s">
        <v>588</v>
      </c>
    </row>
    <row r="1844" spans="1:6" x14ac:dyDescent="0.2">
      <c r="A1844" s="325" t="s">
        <v>677</v>
      </c>
      <c r="B1844" s="325" t="s">
        <v>911</v>
      </c>
      <c r="C1844" s="325" t="s">
        <v>412</v>
      </c>
      <c r="D1844" s="325" t="s">
        <v>499</v>
      </c>
      <c r="E1844" s="325" t="s">
        <v>456</v>
      </c>
      <c r="F1844" s="325" t="s">
        <v>314</v>
      </c>
    </row>
    <row r="1845" spans="1:6" x14ac:dyDescent="0.2">
      <c r="A1845" s="325" t="s">
        <v>677</v>
      </c>
      <c r="B1845" s="325" t="s">
        <v>934</v>
      </c>
      <c r="C1845" s="325" t="s">
        <v>412</v>
      </c>
      <c r="D1845" s="325" t="s">
        <v>681</v>
      </c>
      <c r="E1845" s="325" t="s">
        <v>265</v>
      </c>
      <c r="F1845" s="325" t="s">
        <v>684</v>
      </c>
    </row>
    <row r="1846" spans="1:6" x14ac:dyDescent="0.2">
      <c r="A1846" s="325" t="s">
        <v>677</v>
      </c>
      <c r="B1846" s="325" t="s">
        <v>971</v>
      </c>
      <c r="C1846" s="325" t="s">
        <v>412</v>
      </c>
      <c r="D1846" s="325" t="s">
        <v>413</v>
      </c>
      <c r="E1846" s="325" t="s">
        <v>265</v>
      </c>
      <c r="F1846" s="325" t="s">
        <v>273</v>
      </c>
    </row>
    <row r="1847" spans="1:6" x14ac:dyDescent="0.2">
      <c r="A1847" s="325" t="s">
        <v>677</v>
      </c>
      <c r="B1847" s="325" t="s">
        <v>974</v>
      </c>
      <c r="C1847" s="325" t="s">
        <v>412</v>
      </c>
      <c r="D1847" s="325" t="s">
        <v>51</v>
      </c>
      <c r="E1847" s="325" t="s">
        <v>265</v>
      </c>
      <c r="F1847" s="325" t="s">
        <v>266</v>
      </c>
    </row>
    <row r="1848" spans="1:6" x14ac:dyDescent="0.2">
      <c r="A1848" s="325" t="s">
        <v>677</v>
      </c>
      <c r="B1848" s="325" t="s">
        <v>975</v>
      </c>
      <c r="C1848" s="325" t="s">
        <v>412</v>
      </c>
      <c r="D1848" s="325" t="s">
        <v>283</v>
      </c>
      <c r="E1848" s="325" t="s">
        <v>265</v>
      </c>
      <c r="F1848" s="325" t="s">
        <v>53</v>
      </c>
    </row>
    <row r="1849" spans="1:6" x14ac:dyDescent="0.2">
      <c r="A1849" s="325" t="s">
        <v>677</v>
      </c>
      <c r="B1849" s="325" t="s">
        <v>976</v>
      </c>
      <c r="C1849" s="325" t="s">
        <v>412</v>
      </c>
      <c r="D1849" s="325" t="s">
        <v>542</v>
      </c>
      <c r="E1849" s="325" t="s">
        <v>265</v>
      </c>
      <c r="F1849" s="325" t="s">
        <v>372</v>
      </c>
    </row>
    <row r="1850" spans="1:6" x14ac:dyDescent="0.2">
      <c r="A1850" s="325" t="s">
        <v>677</v>
      </c>
      <c r="B1850" s="325" t="s">
        <v>977</v>
      </c>
      <c r="C1850" s="325" t="s">
        <v>412</v>
      </c>
      <c r="D1850" s="325" t="s">
        <v>576</v>
      </c>
      <c r="E1850" s="325" t="s">
        <v>265</v>
      </c>
      <c r="F1850" s="325" t="s">
        <v>333</v>
      </c>
    </row>
    <row r="1851" spans="1:6" x14ac:dyDescent="0.2">
      <c r="A1851" s="325" t="s">
        <v>677</v>
      </c>
      <c r="B1851" s="325" t="s">
        <v>793</v>
      </c>
      <c r="C1851" s="325" t="s">
        <v>751</v>
      </c>
      <c r="D1851" s="325" t="s">
        <v>654</v>
      </c>
      <c r="E1851" s="325" t="s">
        <v>265</v>
      </c>
      <c r="F1851" s="325" t="s">
        <v>998</v>
      </c>
    </row>
    <row r="1852" spans="1:6" x14ac:dyDescent="0.2">
      <c r="A1852" s="325" t="s">
        <v>677</v>
      </c>
      <c r="B1852" s="325" t="s">
        <v>794</v>
      </c>
      <c r="C1852" s="325" t="s">
        <v>751</v>
      </c>
      <c r="D1852" s="325" t="s">
        <v>510</v>
      </c>
      <c r="E1852" s="325" t="s">
        <v>265</v>
      </c>
      <c r="F1852" s="325" t="s">
        <v>999</v>
      </c>
    </row>
    <row r="1853" spans="1:6" x14ac:dyDescent="0.2">
      <c r="A1853" s="325" t="s">
        <v>677</v>
      </c>
      <c r="B1853" s="325" t="s">
        <v>795</v>
      </c>
      <c r="C1853" s="325" t="s">
        <v>751</v>
      </c>
      <c r="D1853" s="325" t="s">
        <v>400</v>
      </c>
      <c r="E1853" s="325" t="s">
        <v>265</v>
      </c>
      <c r="F1853" s="325" t="s">
        <v>1001</v>
      </c>
    </row>
    <row r="1854" spans="1:6" x14ac:dyDescent="0.2">
      <c r="A1854" s="325" t="s">
        <v>677</v>
      </c>
      <c r="B1854" s="325" t="s">
        <v>796</v>
      </c>
      <c r="C1854" s="325" t="s">
        <v>751</v>
      </c>
      <c r="D1854" s="325" t="s">
        <v>302</v>
      </c>
      <c r="E1854" s="325" t="s">
        <v>265</v>
      </c>
      <c r="F1854" s="325" t="s">
        <v>1000</v>
      </c>
    </row>
    <row r="1855" spans="1:6" x14ac:dyDescent="0.2">
      <c r="A1855" s="325" t="s">
        <v>677</v>
      </c>
      <c r="B1855" s="325" t="s">
        <v>797</v>
      </c>
      <c r="C1855" s="325" t="s">
        <v>751</v>
      </c>
      <c r="D1855" s="325" t="s">
        <v>28</v>
      </c>
      <c r="E1855" s="325" t="s">
        <v>442</v>
      </c>
      <c r="F1855" s="325" t="s">
        <v>1008</v>
      </c>
    </row>
    <row r="1856" spans="1:6" x14ac:dyDescent="0.2">
      <c r="A1856" s="325" t="s">
        <v>677</v>
      </c>
      <c r="B1856" s="325" t="s">
        <v>798</v>
      </c>
      <c r="C1856" s="325" t="s">
        <v>751</v>
      </c>
      <c r="D1856" s="325" t="s">
        <v>67</v>
      </c>
      <c r="E1856" s="325" t="s">
        <v>556</v>
      </c>
      <c r="F1856" s="325" t="s">
        <v>1009</v>
      </c>
    </row>
    <row r="1857" spans="1:6" x14ac:dyDescent="0.2">
      <c r="A1857" s="325" t="s">
        <v>677</v>
      </c>
      <c r="B1857" s="325" t="s">
        <v>799</v>
      </c>
      <c r="C1857" s="325" t="s">
        <v>751</v>
      </c>
      <c r="D1857" s="325" t="s">
        <v>168</v>
      </c>
      <c r="E1857" s="325" t="s">
        <v>265</v>
      </c>
      <c r="F1857" s="325" t="s">
        <v>145</v>
      </c>
    </row>
    <row r="1858" spans="1:6" x14ac:dyDescent="0.2">
      <c r="A1858" s="325" t="s">
        <v>677</v>
      </c>
      <c r="B1858" s="325" t="s">
        <v>800</v>
      </c>
      <c r="C1858" s="325" t="s">
        <v>751</v>
      </c>
      <c r="D1858" s="325" t="s">
        <v>310</v>
      </c>
      <c r="E1858" s="325" t="s">
        <v>265</v>
      </c>
      <c r="F1858" s="325" t="s">
        <v>350</v>
      </c>
    </row>
    <row r="1859" spans="1:6" x14ac:dyDescent="0.2">
      <c r="A1859" s="325" t="s">
        <v>677</v>
      </c>
      <c r="B1859" s="325" t="s">
        <v>801</v>
      </c>
      <c r="C1859" s="325" t="s">
        <v>751</v>
      </c>
      <c r="D1859" s="325" t="s">
        <v>87</v>
      </c>
      <c r="E1859" s="325" t="s">
        <v>265</v>
      </c>
      <c r="F1859" s="325" t="s">
        <v>79</v>
      </c>
    </row>
    <row r="1860" spans="1:6" x14ac:dyDescent="0.2">
      <c r="A1860" s="325" t="s">
        <v>677</v>
      </c>
      <c r="B1860" s="325" t="s">
        <v>802</v>
      </c>
      <c r="C1860" s="325" t="s">
        <v>751</v>
      </c>
      <c r="D1860" s="325" t="s">
        <v>228</v>
      </c>
      <c r="E1860" s="325" t="s">
        <v>265</v>
      </c>
      <c r="F1860" s="325" t="s">
        <v>331</v>
      </c>
    </row>
    <row r="1861" spans="1:6" x14ac:dyDescent="0.2">
      <c r="A1861" s="325" t="s">
        <v>677</v>
      </c>
      <c r="B1861" s="325" t="s">
        <v>803</v>
      </c>
      <c r="C1861" s="325" t="s">
        <v>751</v>
      </c>
      <c r="D1861" s="325" t="s">
        <v>144</v>
      </c>
      <c r="E1861" s="325" t="s">
        <v>265</v>
      </c>
      <c r="F1861" s="325" t="s">
        <v>340</v>
      </c>
    </row>
    <row r="1862" spans="1:6" x14ac:dyDescent="0.2">
      <c r="A1862" s="325" t="s">
        <v>677</v>
      </c>
      <c r="B1862" s="325" t="s">
        <v>804</v>
      </c>
      <c r="C1862" s="325" t="s">
        <v>751</v>
      </c>
      <c r="D1862" s="325" t="s">
        <v>429</v>
      </c>
      <c r="E1862" s="325" t="s">
        <v>265</v>
      </c>
      <c r="F1862" s="325" t="s">
        <v>263</v>
      </c>
    </row>
    <row r="1863" spans="1:6" x14ac:dyDescent="0.2">
      <c r="A1863" s="325" t="s">
        <v>677</v>
      </c>
      <c r="B1863" s="325" t="s">
        <v>805</v>
      </c>
      <c r="C1863" s="325" t="s">
        <v>751</v>
      </c>
      <c r="D1863" s="325" t="s">
        <v>182</v>
      </c>
      <c r="E1863" s="325" t="s">
        <v>265</v>
      </c>
      <c r="F1863" s="325" t="s">
        <v>223</v>
      </c>
    </row>
    <row r="1864" spans="1:6" x14ac:dyDescent="0.2">
      <c r="A1864" s="325" t="s">
        <v>677</v>
      </c>
      <c r="B1864" s="325" t="s">
        <v>806</v>
      </c>
      <c r="C1864" s="325" t="s">
        <v>751</v>
      </c>
      <c r="D1864" s="325" t="s">
        <v>298</v>
      </c>
      <c r="E1864" s="325" t="s">
        <v>265</v>
      </c>
      <c r="F1864" s="325" t="s">
        <v>423</v>
      </c>
    </row>
    <row r="1865" spans="1:6" x14ac:dyDescent="0.2">
      <c r="A1865" s="325" t="s">
        <v>677</v>
      </c>
      <c r="B1865" s="325" t="s">
        <v>807</v>
      </c>
      <c r="C1865" s="325" t="s">
        <v>751</v>
      </c>
      <c r="D1865" s="325" t="s">
        <v>571</v>
      </c>
      <c r="E1865" s="325" t="s">
        <v>265</v>
      </c>
      <c r="F1865" s="325" t="s">
        <v>258</v>
      </c>
    </row>
    <row r="1866" spans="1:6" x14ac:dyDescent="0.2">
      <c r="A1866" s="325" t="s">
        <v>677</v>
      </c>
      <c r="B1866" s="325" t="s">
        <v>808</v>
      </c>
      <c r="C1866" s="325" t="s">
        <v>751</v>
      </c>
      <c r="D1866" s="325" t="s">
        <v>156</v>
      </c>
      <c r="E1866" s="325" t="s">
        <v>265</v>
      </c>
      <c r="F1866" s="325" t="s">
        <v>226</v>
      </c>
    </row>
    <row r="1867" spans="1:6" x14ac:dyDescent="0.2">
      <c r="A1867" s="325" t="s">
        <v>677</v>
      </c>
      <c r="B1867" s="325" t="s">
        <v>809</v>
      </c>
      <c r="C1867" s="325" t="s">
        <v>751</v>
      </c>
      <c r="D1867" s="325" t="s">
        <v>299</v>
      </c>
      <c r="E1867" s="325" t="s">
        <v>265</v>
      </c>
      <c r="F1867" s="325" t="s">
        <v>3</v>
      </c>
    </row>
    <row r="1868" spans="1:6" x14ac:dyDescent="0.2">
      <c r="A1868" s="325" t="s">
        <v>677</v>
      </c>
      <c r="B1868" s="325" t="s">
        <v>810</v>
      </c>
      <c r="C1868" s="325" t="s">
        <v>751</v>
      </c>
      <c r="D1868" s="325" t="s">
        <v>164</v>
      </c>
      <c r="E1868" s="325" t="s">
        <v>265</v>
      </c>
      <c r="F1868" s="325" t="s">
        <v>524</v>
      </c>
    </row>
    <row r="1869" spans="1:6" x14ac:dyDescent="0.2">
      <c r="A1869" s="325" t="s">
        <v>677</v>
      </c>
      <c r="B1869" s="325" t="s">
        <v>811</v>
      </c>
      <c r="C1869" s="325" t="s">
        <v>751</v>
      </c>
      <c r="D1869" s="325" t="s">
        <v>403</v>
      </c>
      <c r="E1869" s="325" t="s">
        <v>265</v>
      </c>
      <c r="F1869" s="325" t="s">
        <v>195</v>
      </c>
    </row>
    <row r="1870" spans="1:6" x14ac:dyDescent="0.2">
      <c r="A1870" s="325" t="s">
        <v>677</v>
      </c>
      <c r="B1870" s="325" t="s">
        <v>812</v>
      </c>
      <c r="C1870" s="325" t="s">
        <v>751</v>
      </c>
      <c r="D1870" s="325" t="s">
        <v>367</v>
      </c>
      <c r="E1870" s="325" t="s">
        <v>265</v>
      </c>
      <c r="F1870" s="325" t="s">
        <v>461</v>
      </c>
    </row>
    <row r="1871" spans="1:6" x14ac:dyDescent="0.2">
      <c r="A1871" s="325" t="s">
        <v>677</v>
      </c>
      <c r="B1871" s="325" t="s">
        <v>813</v>
      </c>
      <c r="C1871" s="325" t="s">
        <v>751</v>
      </c>
      <c r="D1871" s="325" t="s">
        <v>105</v>
      </c>
      <c r="E1871" s="325" t="s">
        <v>265</v>
      </c>
      <c r="F1871" s="325" t="s">
        <v>393</v>
      </c>
    </row>
    <row r="1872" spans="1:6" x14ac:dyDescent="0.2">
      <c r="A1872" s="325" t="s">
        <v>677</v>
      </c>
      <c r="B1872" s="325" t="s">
        <v>814</v>
      </c>
      <c r="C1872" s="325" t="s">
        <v>751</v>
      </c>
      <c r="D1872" s="325" t="s">
        <v>520</v>
      </c>
      <c r="E1872" s="325" t="s">
        <v>265</v>
      </c>
      <c r="F1872" s="325" t="s">
        <v>277</v>
      </c>
    </row>
    <row r="1873" spans="1:6" x14ac:dyDescent="0.2">
      <c r="A1873" s="325" t="s">
        <v>677</v>
      </c>
      <c r="B1873" s="325" t="s">
        <v>815</v>
      </c>
      <c r="C1873" s="325" t="s">
        <v>751</v>
      </c>
      <c r="D1873" s="325" t="s">
        <v>469</v>
      </c>
      <c r="E1873" s="325" t="s">
        <v>265</v>
      </c>
      <c r="F1873" s="325" t="s">
        <v>452</v>
      </c>
    </row>
    <row r="1874" spans="1:6" x14ac:dyDescent="0.2">
      <c r="A1874" s="325" t="s">
        <v>677</v>
      </c>
      <c r="B1874" s="325" t="s">
        <v>816</v>
      </c>
      <c r="C1874" s="325" t="s">
        <v>751</v>
      </c>
      <c r="D1874" s="325" t="s">
        <v>432</v>
      </c>
      <c r="E1874" s="325" t="s">
        <v>265</v>
      </c>
      <c r="F1874" s="325" t="s">
        <v>489</v>
      </c>
    </row>
    <row r="1875" spans="1:6" x14ac:dyDescent="0.2">
      <c r="A1875" s="325" t="s">
        <v>677</v>
      </c>
      <c r="B1875" s="325" t="s">
        <v>817</v>
      </c>
      <c r="C1875" s="325" t="s">
        <v>751</v>
      </c>
      <c r="D1875" s="325" t="s">
        <v>75</v>
      </c>
      <c r="E1875" s="325" t="s">
        <v>265</v>
      </c>
      <c r="F1875" s="325" t="s">
        <v>288</v>
      </c>
    </row>
    <row r="1876" spans="1:6" x14ac:dyDescent="0.2">
      <c r="A1876" s="325" t="s">
        <v>677</v>
      </c>
      <c r="B1876" s="325" t="s">
        <v>818</v>
      </c>
      <c r="C1876" s="325" t="s">
        <v>751</v>
      </c>
      <c r="D1876" s="325" t="s">
        <v>666</v>
      </c>
      <c r="E1876" s="325" t="s">
        <v>556</v>
      </c>
      <c r="F1876" s="325" t="s">
        <v>665</v>
      </c>
    </row>
    <row r="1877" spans="1:6" x14ac:dyDescent="0.2">
      <c r="A1877" s="325" t="s">
        <v>677</v>
      </c>
      <c r="B1877" s="325" t="s">
        <v>819</v>
      </c>
      <c r="C1877" s="325" t="s">
        <v>751</v>
      </c>
      <c r="D1877" s="325" t="s">
        <v>111</v>
      </c>
      <c r="E1877" s="325" t="s">
        <v>265</v>
      </c>
      <c r="F1877" s="325" t="s">
        <v>261</v>
      </c>
    </row>
    <row r="1878" spans="1:6" x14ac:dyDescent="0.2">
      <c r="A1878" s="325" t="s">
        <v>677</v>
      </c>
      <c r="B1878" s="325" t="s">
        <v>820</v>
      </c>
      <c r="C1878" s="325" t="s">
        <v>751</v>
      </c>
      <c r="D1878" s="325" t="s">
        <v>289</v>
      </c>
      <c r="E1878" s="325" t="s">
        <v>265</v>
      </c>
      <c r="F1878" s="325" t="s">
        <v>674</v>
      </c>
    </row>
    <row r="1879" spans="1:6" x14ac:dyDescent="0.2">
      <c r="A1879" s="325" t="s">
        <v>677</v>
      </c>
      <c r="B1879" s="325" t="s">
        <v>821</v>
      </c>
      <c r="C1879" s="325" t="s">
        <v>751</v>
      </c>
      <c r="D1879" s="325" t="s">
        <v>308</v>
      </c>
      <c r="E1879" s="325" t="s">
        <v>265</v>
      </c>
      <c r="F1879" s="325" t="s">
        <v>675</v>
      </c>
    </row>
    <row r="1880" spans="1:6" x14ac:dyDescent="0.2">
      <c r="A1880" s="325" t="s">
        <v>677</v>
      </c>
      <c r="B1880" s="325" t="s">
        <v>822</v>
      </c>
      <c r="C1880" s="325" t="s">
        <v>751</v>
      </c>
      <c r="D1880" s="325" t="s">
        <v>411</v>
      </c>
      <c r="E1880" s="325" t="s">
        <v>265</v>
      </c>
      <c r="F1880" s="325" t="s">
        <v>115</v>
      </c>
    </row>
    <row r="1881" spans="1:6" x14ac:dyDescent="0.2">
      <c r="A1881" s="325" t="s">
        <v>677</v>
      </c>
      <c r="B1881" s="325" t="s">
        <v>823</v>
      </c>
      <c r="C1881" s="325" t="s">
        <v>751</v>
      </c>
      <c r="D1881" s="325" t="s">
        <v>425</v>
      </c>
      <c r="E1881" s="325" t="s">
        <v>265</v>
      </c>
      <c r="F1881" s="325" t="s">
        <v>364</v>
      </c>
    </row>
    <row r="1882" spans="1:6" x14ac:dyDescent="0.2">
      <c r="A1882" s="325" t="s">
        <v>677</v>
      </c>
      <c r="B1882" s="325" t="s">
        <v>824</v>
      </c>
      <c r="C1882" s="325" t="s">
        <v>751</v>
      </c>
      <c r="D1882" s="325" t="s">
        <v>431</v>
      </c>
      <c r="E1882" s="325" t="s">
        <v>265</v>
      </c>
      <c r="F1882" s="325" t="s">
        <v>464</v>
      </c>
    </row>
    <row r="1883" spans="1:6" x14ac:dyDescent="0.2">
      <c r="A1883" s="325" t="s">
        <v>677</v>
      </c>
      <c r="B1883" s="325" t="s">
        <v>825</v>
      </c>
      <c r="C1883" s="325" t="s">
        <v>751</v>
      </c>
      <c r="D1883" s="325" t="s">
        <v>696</v>
      </c>
      <c r="E1883" s="325" t="s">
        <v>265</v>
      </c>
      <c r="F1883" s="325" t="s">
        <v>1010</v>
      </c>
    </row>
    <row r="1884" spans="1:6" x14ac:dyDescent="0.2">
      <c r="A1884" s="325" t="s">
        <v>677</v>
      </c>
      <c r="B1884" s="325" t="s">
        <v>826</v>
      </c>
      <c r="C1884" s="325" t="s">
        <v>751</v>
      </c>
      <c r="D1884" s="325" t="s">
        <v>15</v>
      </c>
      <c r="E1884" s="325" t="s">
        <v>265</v>
      </c>
      <c r="F1884" s="325" t="s">
        <v>446</v>
      </c>
    </row>
    <row r="1885" spans="1:6" x14ac:dyDescent="0.2">
      <c r="A1885" s="325" t="s">
        <v>677</v>
      </c>
      <c r="B1885" s="325" t="s">
        <v>827</v>
      </c>
      <c r="C1885" s="325" t="s">
        <v>751</v>
      </c>
      <c r="D1885" s="325" t="s">
        <v>551</v>
      </c>
      <c r="E1885" s="325" t="s">
        <v>265</v>
      </c>
      <c r="F1885" s="325" t="s">
        <v>10</v>
      </c>
    </row>
    <row r="1886" spans="1:6" x14ac:dyDescent="0.2">
      <c r="A1886" s="325" t="s">
        <v>677</v>
      </c>
      <c r="B1886" s="325" t="s">
        <v>828</v>
      </c>
      <c r="C1886" s="325" t="s">
        <v>751</v>
      </c>
      <c r="D1886" s="325" t="s">
        <v>9</v>
      </c>
      <c r="E1886" s="325" t="s">
        <v>265</v>
      </c>
      <c r="F1886" s="325" t="s">
        <v>189</v>
      </c>
    </row>
    <row r="1887" spans="1:6" x14ac:dyDescent="0.2">
      <c r="A1887" s="325" t="s">
        <v>677</v>
      </c>
      <c r="B1887" s="325" t="s">
        <v>829</v>
      </c>
      <c r="C1887" s="325" t="s">
        <v>751</v>
      </c>
      <c r="D1887" s="325" t="s">
        <v>566</v>
      </c>
      <c r="E1887" s="325" t="s">
        <v>265</v>
      </c>
      <c r="F1887" s="325" t="s">
        <v>135</v>
      </c>
    </row>
    <row r="1888" spans="1:6" x14ac:dyDescent="0.2">
      <c r="A1888" s="325" t="s">
        <v>677</v>
      </c>
      <c r="B1888" s="325" t="s">
        <v>830</v>
      </c>
      <c r="C1888" s="325" t="s">
        <v>751</v>
      </c>
      <c r="D1888" s="325" t="s">
        <v>412</v>
      </c>
      <c r="E1888" s="325" t="s">
        <v>456</v>
      </c>
      <c r="F1888" s="325" t="s">
        <v>128</v>
      </c>
    </row>
    <row r="1889" spans="1:6" x14ac:dyDescent="0.2">
      <c r="A1889" s="325" t="s">
        <v>677</v>
      </c>
      <c r="B1889" s="325" t="s">
        <v>831</v>
      </c>
      <c r="C1889" s="325" t="s">
        <v>751</v>
      </c>
      <c r="D1889" s="325" t="s">
        <v>369</v>
      </c>
      <c r="E1889" s="325" t="s">
        <v>456</v>
      </c>
      <c r="F1889" s="325" t="s">
        <v>496</v>
      </c>
    </row>
    <row r="1890" spans="1:6" x14ac:dyDescent="0.2">
      <c r="A1890" s="325" t="s">
        <v>677</v>
      </c>
      <c r="B1890" s="325" t="s">
        <v>832</v>
      </c>
      <c r="C1890" s="325" t="s">
        <v>751</v>
      </c>
      <c r="D1890" s="325" t="s">
        <v>348</v>
      </c>
      <c r="E1890" s="325" t="s">
        <v>265</v>
      </c>
      <c r="F1890" s="325" t="s">
        <v>293</v>
      </c>
    </row>
    <row r="1891" spans="1:6" x14ac:dyDescent="0.2">
      <c r="A1891" s="325" t="s">
        <v>677</v>
      </c>
      <c r="B1891" s="325" t="s">
        <v>833</v>
      </c>
      <c r="C1891" s="325" t="s">
        <v>751</v>
      </c>
      <c r="D1891" s="325" t="s">
        <v>244</v>
      </c>
      <c r="E1891" s="325" t="s">
        <v>265</v>
      </c>
      <c r="F1891" s="325" t="s">
        <v>543</v>
      </c>
    </row>
    <row r="1892" spans="1:6" x14ac:dyDescent="0.2">
      <c r="A1892" s="325" t="s">
        <v>677</v>
      </c>
      <c r="B1892" s="325" t="s">
        <v>834</v>
      </c>
      <c r="C1892" s="325" t="s">
        <v>751</v>
      </c>
      <c r="D1892" s="325" t="s">
        <v>488</v>
      </c>
      <c r="E1892" s="325" t="s">
        <v>265</v>
      </c>
      <c r="F1892" s="325" t="s">
        <v>545</v>
      </c>
    </row>
    <row r="1893" spans="1:6" x14ac:dyDescent="0.2">
      <c r="A1893" s="325" t="s">
        <v>677</v>
      </c>
      <c r="B1893" s="325" t="s">
        <v>835</v>
      </c>
      <c r="C1893" s="325" t="s">
        <v>751</v>
      </c>
      <c r="D1893" s="325" t="s">
        <v>397</v>
      </c>
      <c r="E1893" s="325" t="s">
        <v>265</v>
      </c>
      <c r="F1893" s="325" t="s">
        <v>88</v>
      </c>
    </row>
    <row r="1894" spans="1:6" x14ac:dyDescent="0.2">
      <c r="A1894" s="325" t="s">
        <v>677</v>
      </c>
      <c r="B1894" s="325" t="s">
        <v>836</v>
      </c>
      <c r="C1894" s="325" t="s">
        <v>751</v>
      </c>
      <c r="D1894" s="325" t="s">
        <v>440</v>
      </c>
      <c r="E1894" s="325" t="s">
        <v>265</v>
      </c>
      <c r="F1894" s="325" t="s">
        <v>368</v>
      </c>
    </row>
    <row r="1895" spans="1:6" x14ac:dyDescent="0.2">
      <c r="A1895" s="325" t="s">
        <v>677</v>
      </c>
      <c r="B1895" s="325" t="s">
        <v>837</v>
      </c>
      <c r="C1895" s="325" t="s">
        <v>751</v>
      </c>
      <c r="D1895" s="325" t="s">
        <v>445</v>
      </c>
      <c r="E1895" s="325" t="s">
        <v>265</v>
      </c>
      <c r="F1895" s="325" t="s">
        <v>238</v>
      </c>
    </row>
    <row r="1896" spans="1:6" x14ac:dyDescent="0.2">
      <c r="A1896" s="325" t="s">
        <v>677</v>
      </c>
      <c r="B1896" s="325" t="s">
        <v>838</v>
      </c>
      <c r="C1896" s="325" t="s">
        <v>751</v>
      </c>
      <c r="D1896" s="325" t="s">
        <v>119</v>
      </c>
      <c r="E1896" s="325" t="s">
        <v>265</v>
      </c>
      <c r="F1896" s="325" t="s">
        <v>557</v>
      </c>
    </row>
    <row r="1897" spans="1:6" x14ac:dyDescent="0.2">
      <c r="A1897" s="325" t="s">
        <v>677</v>
      </c>
      <c r="B1897" s="325" t="s">
        <v>839</v>
      </c>
      <c r="C1897" s="325" t="s">
        <v>751</v>
      </c>
      <c r="D1897" s="325" t="s">
        <v>580</v>
      </c>
      <c r="E1897" s="325" t="s">
        <v>265</v>
      </c>
      <c r="F1897" s="325" t="s">
        <v>120</v>
      </c>
    </row>
    <row r="1898" spans="1:6" x14ac:dyDescent="0.2">
      <c r="A1898" s="325" t="s">
        <v>677</v>
      </c>
      <c r="B1898" s="325" t="s">
        <v>840</v>
      </c>
      <c r="C1898" s="325" t="s">
        <v>751</v>
      </c>
      <c r="D1898" s="325" t="s">
        <v>64</v>
      </c>
      <c r="E1898" s="325" t="s">
        <v>265</v>
      </c>
      <c r="F1898" s="325" t="s">
        <v>197</v>
      </c>
    </row>
    <row r="1899" spans="1:6" x14ac:dyDescent="0.2">
      <c r="A1899" s="325" t="s">
        <v>677</v>
      </c>
      <c r="B1899" s="325" t="s">
        <v>841</v>
      </c>
      <c r="C1899" s="325" t="s">
        <v>751</v>
      </c>
      <c r="D1899" s="325" t="s">
        <v>471</v>
      </c>
      <c r="E1899" s="325" t="s">
        <v>265</v>
      </c>
      <c r="F1899" s="325" t="s">
        <v>466</v>
      </c>
    </row>
    <row r="1900" spans="1:6" x14ac:dyDescent="0.2">
      <c r="A1900" s="325" t="s">
        <v>677</v>
      </c>
      <c r="B1900" s="325" t="s">
        <v>842</v>
      </c>
      <c r="C1900" s="325" t="s">
        <v>751</v>
      </c>
      <c r="D1900" s="325" t="s">
        <v>539</v>
      </c>
      <c r="E1900" s="325" t="s">
        <v>265</v>
      </c>
      <c r="F1900" s="325" t="s">
        <v>394</v>
      </c>
    </row>
    <row r="1901" spans="1:6" x14ac:dyDescent="0.2">
      <c r="A1901" s="325" t="s">
        <v>677</v>
      </c>
      <c r="B1901" s="325" t="s">
        <v>843</v>
      </c>
      <c r="C1901" s="325" t="s">
        <v>751</v>
      </c>
      <c r="D1901" s="325" t="s">
        <v>318</v>
      </c>
      <c r="E1901" s="325" t="s">
        <v>265</v>
      </c>
      <c r="F1901" s="325" t="s">
        <v>478</v>
      </c>
    </row>
    <row r="1902" spans="1:6" x14ac:dyDescent="0.2">
      <c r="A1902" s="325" t="s">
        <v>677</v>
      </c>
      <c r="B1902" s="325" t="s">
        <v>844</v>
      </c>
      <c r="C1902" s="325" t="s">
        <v>751</v>
      </c>
      <c r="D1902" s="325" t="s">
        <v>257</v>
      </c>
      <c r="E1902" s="325" t="s">
        <v>265</v>
      </c>
      <c r="F1902" s="325" t="s">
        <v>338</v>
      </c>
    </row>
    <row r="1903" spans="1:6" x14ac:dyDescent="0.2">
      <c r="A1903" s="325" t="s">
        <v>677</v>
      </c>
      <c r="B1903" s="325" t="s">
        <v>845</v>
      </c>
      <c r="C1903" s="325" t="s">
        <v>751</v>
      </c>
      <c r="D1903" s="325" t="s">
        <v>751</v>
      </c>
      <c r="E1903" s="325" t="s">
        <v>265</v>
      </c>
      <c r="F1903" s="325" t="s">
        <v>753</v>
      </c>
    </row>
    <row r="1904" spans="1:6" x14ac:dyDescent="0.2">
      <c r="A1904" s="325" t="s">
        <v>677</v>
      </c>
      <c r="B1904" s="325" t="s">
        <v>846</v>
      </c>
      <c r="C1904" s="325" t="s">
        <v>751</v>
      </c>
      <c r="D1904" s="325" t="s">
        <v>55</v>
      </c>
      <c r="E1904" s="325" t="s">
        <v>265</v>
      </c>
      <c r="F1904" s="325" t="s">
        <v>305</v>
      </c>
    </row>
    <row r="1905" spans="1:6" x14ac:dyDescent="0.2">
      <c r="A1905" s="325" t="s">
        <v>677</v>
      </c>
      <c r="B1905" s="325" t="s">
        <v>847</v>
      </c>
      <c r="C1905" s="325" t="s">
        <v>751</v>
      </c>
      <c r="D1905" s="325" t="s">
        <v>522</v>
      </c>
      <c r="E1905" s="325" t="s">
        <v>265</v>
      </c>
      <c r="F1905" s="325" t="s">
        <v>602</v>
      </c>
    </row>
    <row r="1906" spans="1:6" x14ac:dyDescent="0.2">
      <c r="A1906" s="325" t="s">
        <v>677</v>
      </c>
      <c r="B1906" s="325" t="s">
        <v>848</v>
      </c>
      <c r="C1906" s="325" t="s">
        <v>751</v>
      </c>
      <c r="D1906" s="325" t="s">
        <v>370</v>
      </c>
      <c r="E1906" s="325" t="s">
        <v>265</v>
      </c>
      <c r="F1906" s="325" t="s">
        <v>484</v>
      </c>
    </row>
    <row r="1907" spans="1:6" x14ac:dyDescent="0.2">
      <c r="A1907" s="325" t="s">
        <v>677</v>
      </c>
      <c r="B1907" s="325" t="s">
        <v>849</v>
      </c>
      <c r="C1907" s="325" t="s">
        <v>751</v>
      </c>
      <c r="D1907" s="325" t="s">
        <v>752</v>
      </c>
      <c r="E1907" s="325" t="s">
        <v>265</v>
      </c>
      <c r="F1907" s="325" t="s">
        <v>754</v>
      </c>
    </row>
    <row r="1908" spans="1:6" x14ac:dyDescent="0.2">
      <c r="A1908" s="325" t="s">
        <v>677</v>
      </c>
      <c r="B1908" s="325" t="s">
        <v>850</v>
      </c>
      <c r="C1908" s="325" t="s">
        <v>751</v>
      </c>
      <c r="D1908" s="325" t="s">
        <v>585</v>
      </c>
      <c r="E1908" s="325" t="s">
        <v>265</v>
      </c>
      <c r="F1908" s="325" t="s">
        <v>564</v>
      </c>
    </row>
    <row r="1909" spans="1:6" x14ac:dyDescent="0.2">
      <c r="A1909" s="325" t="s">
        <v>677</v>
      </c>
      <c r="B1909" s="325" t="s">
        <v>851</v>
      </c>
      <c r="C1909" s="325" t="s">
        <v>751</v>
      </c>
      <c r="D1909" s="325" t="s">
        <v>603</v>
      </c>
      <c r="E1909" s="325" t="s">
        <v>265</v>
      </c>
      <c r="F1909" s="325" t="s">
        <v>703</v>
      </c>
    </row>
    <row r="1910" spans="1:6" x14ac:dyDescent="0.2">
      <c r="A1910" s="325" t="s">
        <v>677</v>
      </c>
      <c r="B1910" s="325" t="s">
        <v>852</v>
      </c>
      <c r="C1910" s="325" t="s">
        <v>751</v>
      </c>
      <c r="D1910" s="325" t="s">
        <v>604</v>
      </c>
      <c r="E1910" s="325" t="s">
        <v>265</v>
      </c>
      <c r="F1910" s="325" t="s">
        <v>702</v>
      </c>
    </row>
    <row r="1911" spans="1:6" x14ac:dyDescent="0.2">
      <c r="A1911" s="325" t="s">
        <v>677</v>
      </c>
      <c r="B1911" s="325" t="s">
        <v>853</v>
      </c>
      <c r="C1911" s="325" t="s">
        <v>751</v>
      </c>
      <c r="D1911" s="325" t="s">
        <v>565</v>
      </c>
      <c r="E1911" s="325" t="s">
        <v>265</v>
      </c>
      <c r="F1911" s="325" t="s">
        <v>306</v>
      </c>
    </row>
    <row r="1912" spans="1:6" x14ac:dyDescent="0.2">
      <c r="A1912" s="325" t="s">
        <v>677</v>
      </c>
      <c r="B1912" s="325" t="s">
        <v>854</v>
      </c>
      <c r="C1912" s="325" t="s">
        <v>751</v>
      </c>
      <c r="D1912" s="325" t="s">
        <v>354</v>
      </c>
      <c r="E1912" s="325" t="s">
        <v>265</v>
      </c>
      <c r="F1912" s="325" t="s">
        <v>390</v>
      </c>
    </row>
    <row r="1913" spans="1:6" x14ac:dyDescent="0.2">
      <c r="A1913" s="325" t="s">
        <v>677</v>
      </c>
      <c r="B1913" s="325" t="s">
        <v>855</v>
      </c>
      <c r="C1913" s="325" t="s">
        <v>751</v>
      </c>
      <c r="D1913" s="325" t="s">
        <v>93</v>
      </c>
      <c r="E1913" s="325" t="s">
        <v>265</v>
      </c>
      <c r="F1913" s="325" t="s">
        <v>170</v>
      </c>
    </row>
    <row r="1914" spans="1:6" x14ac:dyDescent="0.2">
      <c r="A1914" s="325" t="s">
        <v>677</v>
      </c>
      <c r="B1914" s="325" t="s">
        <v>856</v>
      </c>
      <c r="C1914" s="325" t="s">
        <v>751</v>
      </c>
      <c r="D1914" s="325" t="s">
        <v>198</v>
      </c>
      <c r="E1914" s="325" t="s">
        <v>265</v>
      </c>
      <c r="F1914" s="325" t="s">
        <v>139</v>
      </c>
    </row>
    <row r="1915" spans="1:6" x14ac:dyDescent="0.2">
      <c r="A1915" s="325" t="s">
        <v>677</v>
      </c>
      <c r="B1915" s="325" t="s">
        <v>857</v>
      </c>
      <c r="C1915" s="325" t="s">
        <v>751</v>
      </c>
      <c r="D1915" s="325" t="s">
        <v>542</v>
      </c>
      <c r="E1915" s="325" t="s">
        <v>265</v>
      </c>
      <c r="F1915" s="325" t="s">
        <v>27</v>
      </c>
    </row>
    <row r="1916" spans="1:6" x14ac:dyDescent="0.2">
      <c r="A1916" s="325" t="s">
        <v>677</v>
      </c>
      <c r="B1916" s="325" t="s">
        <v>858</v>
      </c>
      <c r="C1916" s="325" t="s">
        <v>751</v>
      </c>
      <c r="D1916" s="325" t="s">
        <v>152</v>
      </c>
      <c r="E1916" s="325" t="s">
        <v>265</v>
      </c>
      <c r="F1916" s="325" t="s">
        <v>555</v>
      </c>
    </row>
    <row r="1917" spans="1:6" x14ac:dyDescent="0.2">
      <c r="A1917" s="325" t="s">
        <v>677</v>
      </c>
      <c r="B1917" s="325" t="s">
        <v>859</v>
      </c>
      <c r="C1917" s="325" t="s">
        <v>751</v>
      </c>
      <c r="D1917" s="325" t="s">
        <v>547</v>
      </c>
      <c r="E1917" s="325" t="s">
        <v>265</v>
      </c>
      <c r="F1917" s="325" t="s">
        <v>374</v>
      </c>
    </row>
    <row r="1918" spans="1:6" x14ac:dyDescent="0.2">
      <c r="A1918" s="325" t="s">
        <v>677</v>
      </c>
      <c r="B1918" s="325" t="s">
        <v>860</v>
      </c>
      <c r="C1918" s="325" t="s">
        <v>751</v>
      </c>
      <c r="D1918" s="325" t="s">
        <v>490</v>
      </c>
      <c r="E1918" s="325" t="s">
        <v>265</v>
      </c>
      <c r="F1918" s="325" t="s">
        <v>177</v>
      </c>
    </row>
    <row r="1919" spans="1:6" x14ac:dyDescent="0.2">
      <c r="A1919" s="325" t="s">
        <v>677</v>
      </c>
      <c r="B1919" s="325" t="s">
        <v>861</v>
      </c>
      <c r="C1919" s="325" t="s">
        <v>751</v>
      </c>
      <c r="D1919" s="325" t="s">
        <v>209</v>
      </c>
      <c r="E1919" s="325" t="s">
        <v>265</v>
      </c>
      <c r="F1919" s="325" t="s">
        <v>41</v>
      </c>
    </row>
    <row r="1920" spans="1:6" x14ac:dyDescent="0.2">
      <c r="A1920" s="325" t="s">
        <v>677</v>
      </c>
      <c r="B1920" s="325" t="s">
        <v>862</v>
      </c>
      <c r="C1920" s="325" t="s">
        <v>751</v>
      </c>
      <c r="D1920" s="325" t="s">
        <v>163</v>
      </c>
      <c r="E1920" s="325" t="s">
        <v>265</v>
      </c>
      <c r="F1920" s="325" t="s">
        <v>98</v>
      </c>
    </row>
    <row r="1921" spans="1:6" x14ac:dyDescent="0.2">
      <c r="A1921" s="325" t="s">
        <v>677</v>
      </c>
      <c r="B1921" s="325" t="s">
        <v>863</v>
      </c>
      <c r="C1921" s="325" t="s">
        <v>751</v>
      </c>
      <c r="D1921" s="325" t="s">
        <v>200</v>
      </c>
      <c r="E1921" s="325" t="s">
        <v>265</v>
      </c>
      <c r="F1921" s="325" t="s">
        <v>230</v>
      </c>
    </row>
    <row r="1922" spans="1:6" x14ac:dyDescent="0.2">
      <c r="A1922" s="325" t="s">
        <v>677</v>
      </c>
      <c r="B1922" s="325" t="s">
        <v>864</v>
      </c>
      <c r="C1922" s="325" t="s">
        <v>751</v>
      </c>
      <c r="D1922" s="325" t="s">
        <v>54</v>
      </c>
      <c r="E1922" s="325" t="s">
        <v>265</v>
      </c>
      <c r="F1922" s="325" t="s">
        <v>192</v>
      </c>
    </row>
    <row r="1923" spans="1:6" x14ac:dyDescent="0.2">
      <c r="A1923" s="325" t="s">
        <v>677</v>
      </c>
      <c r="B1923" s="325" t="s">
        <v>865</v>
      </c>
      <c r="C1923" s="325" t="s">
        <v>751</v>
      </c>
      <c r="D1923" s="325" t="s">
        <v>133</v>
      </c>
      <c r="E1923" s="325" t="s">
        <v>265</v>
      </c>
      <c r="F1923" s="325" t="s">
        <v>349</v>
      </c>
    </row>
    <row r="1924" spans="1:6" x14ac:dyDescent="0.2">
      <c r="A1924" s="325" t="s">
        <v>677</v>
      </c>
      <c r="B1924" s="325" t="s">
        <v>866</v>
      </c>
      <c r="C1924" s="325" t="s">
        <v>751</v>
      </c>
      <c r="D1924" s="325" t="s">
        <v>232</v>
      </c>
      <c r="E1924" s="325" t="s">
        <v>265</v>
      </c>
      <c r="F1924" s="325" t="s">
        <v>16</v>
      </c>
    </row>
    <row r="1925" spans="1:6" x14ac:dyDescent="0.2">
      <c r="A1925" s="325" t="s">
        <v>677</v>
      </c>
      <c r="B1925" s="325" t="s">
        <v>867</v>
      </c>
      <c r="C1925" s="325" t="s">
        <v>751</v>
      </c>
      <c r="D1925" s="325" t="s">
        <v>56</v>
      </c>
      <c r="E1925" s="325" t="s">
        <v>265</v>
      </c>
      <c r="F1925" s="325" t="s">
        <v>199</v>
      </c>
    </row>
    <row r="1926" spans="1:6" x14ac:dyDescent="0.2">
      <c r="A1926" s="325" t="s">
        <v>677</v>
      </c>
      <c r="B1926" s="325" t="s">
        <v>868</v>
      </c>
      <c r="C1926" s="325" t="s">
        <v>751</v>
      </c>
      <c r="D1926" s="325" t="s">
        <v>434</v>
      </c>
      <c r="E1926" s="325" t="s">
        <v>265</v>
      </c>
      <c r="F1926" s="325" t="s">
        <v>514</v>
      </c>
    </row>
    <row r="1927" spans="1:6" x14ac:dyDescent="0.2">
      <c r="A1927" s="325" t="s">
        <v>677</v>
      </c>
      <c r="B1927" s="325" t="s">
        <v>869</v>
      </c>
      <c r="C1927" s="325" t="s">
        <v>751</v>
      </c>
      <c r="D1927" s="325" t="s">
        <v>108</v>
      </c>
      <c r="E1927" s="325" t="s">
        <v>265</v>
      </c>
      <c r="F1927" s="325" t="s">
        <v>362</v>
      </c>
    </row>
    <row r="1928" spans="1:6" x14ac:dyDescent="0.2">
      <c r="A1928" s="325" t="s">
        <v>677</v>
      </c>
      <c r="B1928" s="325" t="s">
        <v>870</v>
      </c>
      <c r="C1928" s="325" t="s">
        <v>751</v>
      </c>
      <c r="D1928" s="325" t="s">
        <v>657</v>
      </c>
      <c r="E1928" s="325" t="s">
        <v>265</v>
      </c>
      <c r="F1928" s="325" t="s">
        <v>658</v>
      </c>
    </row>
    <row r="1929" spans="1:6" x14ac:dyDescent="0.2">
      <c r="A1929" s="325" t="s">
        <v>677</v>
      </c>
      <c r="B1929" s="325" t="s">
        <v>871</v>
      </c>
      <c r="C1929" s="325" t="s">
        <v>751</v>
      </c>
      <c r="D1929" s="325" t="s">
        <v>659</v>
      </c>
      <c r="E1929" s="325" t="s">
        <v>265</v>
      </c>
      <c r="F1929" s="325" t="s">
        <v>660</v>
      </c>
    </row>
    <row r="1930" spans="1:6" x14ac:dyDescent="0.2">
      <c r="A1930" s="325" t="s">
        <v>677</v>
      </c>
      <c r="B1930" s="325" t="s">
        <v>872</v>
      </c>
      <c r="C1930" s="325" t="s">
        <v>751</v>
      </c>
      <c r="D1930" s="325" t="s">
        <v>661</v>
      </c>
      <c r="E1930" s="325" t="s">
        <v>265</v>
      </c>
      <c r="F1930" s="325" t="s">
        <v>662</v>
      </c>
    </row>
    <row r="1931" spans="1:6" x14ac:dyDescent="0.2">
      <c r="A1931" s="325" t="s">
        <v>677</v>
      </c>
      <c r="B1931" s="325" t="s">
        <v>873</v>
      </c>
      <c r="C1931" s="325" t="s">
        <v>751</v>
      </c>
      <c r="D1931" s="325" t="s">
        <v>648</v>
      </c>
      <c r="E1931" s="325" t="s">
        <v>265</v>
      </c>
      <c r="F1931" s="325" t="s">
        <v>651</v>
      </c>
    </row>
    <row r="1932" spans="1:6" x14ac:dyDescent="0.2">
      <c r="A1932" s="325" t="s">
        <v>677</v>
      </c>
      <c r="B1932" s="325" t="s">
        <v>874</v>
      </c>
      <c r="C1932" s="325" t="s">
        <v>751</v>
      </c>
      <c r="D1932" s="325" t="s">
        <v>649</v>
      </c>
      <c r="E1932" s="325" t="s">
        <v>265</v>
      </c>
      <c r="F1932" s="325" t="s">
        <v>652</v>
      </c>
    </row>
    <row r="1933" spans="1:6" x14ac:dyDescent="0.2">
      <c r="A1933" s="325" t="s">
        <v>677</v>
      </c>
      <c r="B1933" s="325" t="s">
        <v>875</v>
      </c>
      <c r="C1933" s="325" t="s">
        <v>751</v>
      </c>
      <c r="D1933" s="325" t="s">
        <v>650</v>
      </c>
      <c r="E1933" s="325" t="s">
        <v>265</v>
      </c>
      <c r="F1933" s="325" t="s">
        <v>653</v>
      </c>
    </row>
    <row r="1934" spans="1:6" x14ac:dyDescent="0.2">
      <c r="A1934" s="325" t="s">
        <v>677</v>
      </c>
      <c r="B1934" s="325" t="s">
        <v>876</v>
      </c>
      <c r="C1934" s="325" t="s">
        <v>751</v>
      </c>
      <c r="D1934" s="325" t="s">
        <v>327</v>
      </c>
      <c r="E1934" s="325" t="s">
        <v>265</v>
      </c>
      <c r="F1934" s="325" t="s">
        <v>102</v>
      </c>
    </row>
    <row r="1935" spans="1:6" x14ac:dyDescent="0.2">
      <c r="A1935" s="325" t="s">
        <v>677</v>
      </c>
      <c r="B1935" s="325" t="s">
        <v>877</v>
      </c>
      <c r="C1935" s="325" t="s">
        <v>751</v>
      </c>
      <c r="D1935" s="325" t="s">
        <v>356</v>
      </c>
      <c r="E1935" s="325" t="s">
        <v>265</v>
      </c>
      <c r="F1935" s="325" t="s">
        <v>1011</v>
      </c>
    </row>
    <row r="1936" spans="1:6" x14ac:dyDescent="0.2">
      <c r="A1936" s="325" t="s">
        <v>677</v>
      </c>
      <c r="B1936" s="325" t="s">
        <v>878</v>
      </c>
      <c r="C1936" s="325" t="s">
        <v>751</v>
      </c>
      <c r="D1936" s="325" t="s">
        <v>513</v>
      </c>
      <c r="E1936" s="325" t="s">
        <v>442</v>
      </c>
      <c r="F1936" s="325" t="s">
        <v>264</v>
      </c>
    </row>
    <row r="1937" spans="1:6" x14ac:dyDescent="0.2">
      <c r="A1937" s="325" t="s">
        <v>677</v>
      </c>
      <c r="B1937" s="325" t="s">
        <v>879</v>
      </c>
      <c r="C1937" s="325" t="s">
        <v>751</v>
      </c>
      <c r="D1937" s="325" t="s">
        <v>554</v>
      </c>
      <c r="E1937" s="325" t="s">
        <v>442</v>
      </c>
      <c r="F1937" s="325" t="s">
        <v>229</v>
      </c>
    </row>
    <row r="1938" spans="1:6" x14ac:dyDescent="0.2">
      <c r="A1938" s="325" t="s">
        <v>677</v>
      </c>
      <c r="B1938" s="325" t="s">
        <v>880</v>
      </c>
      <c r="C1938" s="325" t="s">
        <v>751</v>
      </c>
      <c r="D1938" s="325" t="s">
        <v>409</v>
      </c>
      <c r="E1938" s="325" t="s">
        <v>442</v>
      </c>
      <c r="F1938" s="325" t="s">
        <v>336</v>
      </c>
    </row>
    <row r="1939" spans="1:6" x14ac:dyDescent="0.2">
      <c r="A1939" s="325" t="s">
        <v>677</v>
      </c>
      <c r="B1939" s="325" t="s">
        <v>881</v>
      </c>
      <c r="C1939" s="325" t="s">
        <v>751</v>
      </c>
      <c r="D1939" s="325" t="s">
        <v>72</v>
      </c>
      <c r="E1939" s="325" t="s">
        <v>265</v>
      </c>
      <c r="F1939" s="325" t="s">
        <v>451</v>
      </c>
    </row>
    <row r="1940" spans="1:6" x14ac:dyDescent="0.2">
      <c r="A1940" s="325" t="s">
        <v>677</v>
      </c>
      <c r="B1940" s="325" t="s">
        <v>882</v>
      </c>
      <c r="C1940" s="325" t="s">
        <v>751</v>
      </c>
      <c r="D1940" s="325" t="s">
        <v>35</v>
      </c>
      <c r="E1940" s="325" t="s">
        <v>265</v>
      </c>
      <c r="F1940" s="325" t="s">
        <v>414</v>
      </c>
    </row>
    <row r="1941" spans="1:6" x14ac:dyDescent="0.2">
      <c r="A1941" s="325" t="s">
        <v>677</v>
      </c>
      <c r="B1941" s="325" t="s">
        <v>883</v>
      </c>
      <c r="C1941" s="325" t="s">
        <v>751</v>
      </c>
      <c r="D1941" s="325" t="s">
        <v>110</v>
      </c>
      <c r="E1941" s="325" t="s">
        <v>442</v>
      </c>
      <c r="F1941" s="325" t="s">
        <v>62</v>
      </c>
    </row>
    <row r="1942" spans="1:6" x14ac:dyDescent="0.2">
      <c r="A1942" s="325" t="s">
        <v>677</v>
      </c>
      <c r="B1942" s="325" t="s">
        <v>884</v>
      </c>
      <c r="C1942" s="325" t="s">
        <v>751</v>
      </c>
      <c r="D1942" s="325" t="s">
        <v>122</v>
      </c>
      <c r="E1942" s="325" t="s">
        <v>442</v>
      </c>
      <c r="F1942" s="325" t="s">
        <v>148</v>
      </c>
    </row>
    <row r="1943" spans="1:6" x14ac:dyDescent="0.2">
      <c r="A1943" s="325" t="s">
        <v>677</v>
      </c>
      <c r="B1943" s="325" t="s">
        <v>885</v>
      </c>
      <c r="C1943" s="325" t="s">
        <v>751</v>
      </c>
      <c r="D1943" s="325" t="s">
        <v>392</v>
      </c>
      <c r="E1943" s="325" t="s">
        <v>456</v>
      </c>
      <c r="F1943" s="325" t="s">
        <v>8</v>
      </c>
    </row>
    <row r="1944" spans="1:6" x14ac:dyDescent="0.2">
      <c r="A1944" s="325" t="s">
        <v>677</v>
      </c>
      <c r="B1944" s="325" t="s">
        <v>886</v>
      </c>
      <c r="C1944" s="325" t="s">
        <v>751</v>
      </c>
      <c r="D1944" s="325" t="s">
        <v>355</v>
      </c>
      <c r="E1944" s="325" t="s">
        <v>456</v>
      </c>
      <c r="F1944" s="325" t="s">
        <v>475</v>
      </c>
    </row>
    <row r="1945" spans="1:6" x14ac:dyDescent="0.2">
      <c r="A1945" s="325" t="s">
        <v>677</v>
      </c>
      <c r="B1945" s="325" t="s">
        <v>887</v>
      </c>
      <c r="C1945" s="325" t="s">
        <v>751</v>
      </c>
      <c r="D1945" s="325" t="s">
        <v>253</v>
      </c>
      <c r="E1945" s="325" t="s">
        <v>456</v>
      </c>
      <c r="F1945" s="325" t="s">
        <v>245</v>
      </c>
    </row>
    <row r="1946" spans="1:6" x14ac:dyDescent="0.2">
      <c r="A1946" s="325" t="s">
        <v>677</v>
      </c>
      <c r="B1946" s="325" t="s">
        <v>888</v>
      </c>
      <c r="C1946" s="325" t="s">
        <v>751</v>
      </c>
      <c r="D1946" s="325" t="s">
        <v>561</v>
      </c>
      <c r="E1946" s="325" t="s">
        <v>456</v>
      </c>
      <c r="F1946" s="325" t="s">
        <v>181</v>
      </c>
    </row>
    <row r="1947" spans="1:6" x14ac:dyDescent="0.2">
      <c r="A1947" s="325" t="s">
        <v>677</v>
      </c>
      <c r="B1947" s="325" t="s">
        <v>889</v>
      </c>
      <c r="C1947" s="325" t="s">
        <v>751</v>
      </c>
      <c r="D1947" s="325" t="s">
        <v>712</v>
      </c>
      <c r="E1947" s="325" t="s">
        <v>265</v>
      </c>
      <c r="F1947" s="325" t="s">
        <v>713</v>
      </c>
    </row>
    <row r="1948" spans="1:6" x14ac:dyDescent="0.2">
      <c r="A1948" s="325" t="s">
        <v>677</v>
      </c>
      <c r="B1948" s="325" t="s">
        <v>890</v>
      </c>
      <c r="C1948" s="325" t="s">
        <v>751</v>
      </c>
      <c r="D1948" s="325" t="s">
        <v>78</v>
      </c>
      <c r="E1948" s="325" t="s">
        <v>456</v>
      </c>
      <c r="F1948" s="325" t="s">
        <v>63</v>
      </c>
    </row>
    <row r="1949" spans="1:6" x14ac:dyDescent="0.2">
      <c r="A1949" s="325" t="s">
        <v>677</v>
      </c>
      <c r="B1949" s="325" t="s">
        <v>891</v>
      </c>
      <c r="C1949" s="325" t="s">
        <v>751</v>
      </c>
      <c r="D1949" s="325" t="s">
        <v>582</v>
      </c>
      <c r="E1949" s="325" t="s">
        <v>456</v>
      </c>
      <c r="F1949" s="325" t="s">
        <v>1012</v>
      </c>
    </row>
    <row r="1950" spans="1:6" x14ac:dyDescent="0.2">
      <c r="A1950" s="325" t="s">
        <v>677</v>
      </c>
      <c r="B1950" s="325" t="s">
        <v>892</v>
      </c>
      <c r="C1950" s="325" t="s">
        <v>751</v>
      </c>
      <c r="D1950" s="325" t="s">
        <v>699</v>
      </c>
      <c r="E1950" s="325" t="s">
        <v>265</v>
      </c>
      <c r="F1950" s="325" t="s">
        <v>994</v>
      </c>
    </row>
    <row r="1951" spans="1:6" x14ac:dyDescent="0.2">
      <c r="A1951" s="325" t="s">
        <v>677</v>
      </c>
      <c r="B1951" s="325" t="s">
        <v>893</v>
      </c>
      <c r="C1951" s="325" t="s">
        <v>751</v>
      </c>
      <c r="D1951" s="325" t="s">
        <v>166</v>
      </c>
      <c r="E1951" s="325" t="s">
        <v>456</v>
      </c>
      <c r="F1951" s="325" t="s">
        <v>74</v>
      </c>
    </row>
    <row r="1952" spans="1:6" x14ac:dyDescent="0.2">
      <c r="A1952" s="325" t="s">
        <v>677</v>
      </c>
      <c r="B1952" s="325" t="s">
        <v>894</v>
      </c>
      <c r="C1952" s="325" t="s">
        <v>751</v>
      </c>
      <c r="D1952" s="325" t="s">
        <v>94</v>
      </c>
      <c r="E1952" s="325" t="s">
        <v>456</v>
      </c>
      <c r="F1952" s="325" t="s">
        <v>236</v>
      </c>
    </row>
    <row r="1953" spans="1:6" x14ac:dyDescent="0.2">
      <c r="A1953" s="325" t="s">
        <v>677</v>
      </c>
      <c r="B1953" s="325" t="s">
        <v>895</v>
      </c>
      <c r="C1953" s="325" t="s">
        <v>751</v>
      </c>
      <c r="D1953" s="325" t="s">
        <v>506</v>
      </c>
      <c r="E1953" s="325" t="s">
        <v>456</v>
      </c>
      <c r="F1953" s="325" t="s">
        <v>74</v>
      </c>
    </row>
    <row r="1954" spans="1:6" x14ac:dyDescent="0.2">
      <c r="A1954" s="325" t="s">
        <v>677</v>
      </c>
      <c r="B1954" s="325" t="s">
        <v>896</v>
      </c>
      <c r="C1954" s="325" t="s">
        <v>751</v>
      </c>
      <c r="D1954" s="325" t="s">
        <v>205</v>
      </c>
      <c r="E1954" s="325" t="s">
        <v>456</v>
      </c>
      <c r="F1954" s="325" t="s">
        <v>236</v>
      </c>
    </row>
    <row r="1955" spans="1:6" x14ac:dyDescent="0.2">
      <c r="A1955" s="325" t="s">
        <v>677</v>
      </c>
      <c r="B1955" s="325" t="s">
        <v>897</v>
      </c>
      <c r="C1955" s="325" t="s">
        <v>751</v>
      </c>
      <c r="D1955" s="325" t="s">
        <v>284</v>
      </c>
      <c r="E1955" s="325" t="s">
        <v>456</v>
      </c>
      <c r="F1955" s="325" t="s">
        <v>342</v>
      </c>
    </row>
    <row r="1956" spans="1:6" x14ac:dyDescent="0.2">
      <c r="A1956" s="325" t="s">
        <v>677</v>
      </c>
      <c r="B1956" s="325" t="s">
        <v>898</v>
      </c>
      <c r="C1956" s="325" t="s">
        <v>751</v>
      </c>
      <c r="D1956" s="325" t="s">
        <v>332</v>
      </c>
      <c r="E1956" s="325" t="s">
        <v>456</v>
      </c>
      <c r="F1956" s="325" t="s">
        <v>559</v>
      </c>
    </row>
    <row r="1957" spans="1:6" x14ac:dyDescent="0.2">
      <c r="A1957" s="325" t="s">
        <v>677</v>
      </c>
      <c r="B1957" s="325" t="s">
        <v>899</v>
      </c>
      <c r="C1957" s="325" t="s">
        <v>751</v>
      </c>
      <c r="D1957" s="325" t="s">
        <v>361</v>
      </c>
      <c r="E1957" s="325" t="s">
        <v>456</v>
      </c>
      <c r="F1957" s="325" t="s">
        <v>256</v>
      </c>
    </row>
    <row r="1958" spans="1:6" x14ac:dyDescent="0.2">
      <c r="A1958" s="325" t="s">
        <v>677</v>
      </c>
      <c r="B1958" s="325" t="s">
        <v>901</v>
      </c>
      <c r="C1958" s="325" t="s">
        <v>751</v>
      </c>
      <c r="D1958" s="325" t="s">
        <v>21</v>
      </c>
      <c r="E1958" s="325" t="s">
        <v>265</v>
      </c>
      <c r="F1958" s="325" t="s">
        <v>47</v>
      </c>
    </row>
    <row r="1959" spans="1:6" x14ac:dyDescent="0.2">
      <c r="A1959" s="325" t="s">
        <v>677</v>
      </c>
      <c r="B1959" s="325" t="s">
        <v>902</v>
      </c>
      <c r="C1959" s="325" t="s">
        <v>751</v>
      </c>
      <c r="D1959" s="325" t="s">
        <v>323</v>
      </c>
      <c r="E1959" s="325" t="s">
        <v>265</v>
      </c>
      <c r="F1959" s="325" t="s">
        <v>20</v>
      </c>
    </row>
    <row r="1960" spans="1:6" x14ac:dyDescent="0.2">
      <c r="A1960" s="325" t="s">
        <v>677</v>
      </c>
      <c r="B1960" s="325" t="s">
        <v>903</v>
      </c>
      <c r="C1960" s="325" t="s">
        <v>751</v>
      </c>
      <c r="D1960" s="325" t="s">
        <v>447</v>
      </c>
      <c r="E1960" s="325" t="s">
        <v>265</v>
      </c>
      <c r="F1960" s="325" t="s">
        <v>741</v>
      </c>
    </row>
    <row r="1961" spans="1:6" x14ac:dyDescent="0.2">
      <c r="A1961" s="325" t="s">
        <v>677</v>
      </c>
      <c r="B1961" s="325" t="s">
        <v>904</v>
      </c>
      <c r="C1961" s="325" t="s">
        <v>751</v>
      </c>
      <c r="D1961" s="325" t="s">
        <v>742</v>
      </c>
      <c r="E1961" s="325" t="s">
        <v>456</v>
      </c>
      <c r="F1961" s="325" t="s">
        <v>743</v>
      </c>
    </row>
    <row r="1962" spans="1:6" x14ac:dyDescent="0.2">
      <c r="A1962" s="325" t="s">
        <v>677</v>
      </c>
      <c r="B1962" s="325" t="s">
        <v>905</v>
      </c>
      <c r="C1962" s="325" t="s">
        <v>751</v>
      </c>
      <c r="D1962" s="325" t="s">
        <v>516</v>
      </c>
      <c r="E1962" s="325" t="s">
        <v>456</v>
      </c>
      <c r="F1962" s="325" t="s">
        <v>995</v>
      </c>
    </row>
    <row r="1963" spans="1:6" x14ac:dyDescent="0.2">
      <c r="A1963" s="325" t="s">
        <v>677</v>
      </c>
      <c r="B1963" s="325" t="s">
        <v>906</v>
      </c>
      <c r="C1963" s="325" t="s">
        <v>751</v>
      </c>
      <c r="D1963" s="325" t="s">
        <v>679</v>
      </c>
      <c r="E1963" s="325" t="s">
        <v>265</v>
      </c>
      <c r="F1963" s="325" t="s">
        <v>682</v>
      </c>
    </row>
    <row r="1964" spans="1:6" x14ac:dyDescent="0.2">
      <c r="A1964" s="325" t="s">
        <v>677</v>
      </c>
      <c r="B1964" s="325" t="s">
        <v>907</v>
      </c>
      <c r="C1964" s="325" t="s">
        <v>751</v>
      </c>
      <c r="D1964" s="325" t="s">
        <v>30</v>
      </c>
      <c r="E1964" s="325" t="s">
        <v>456</v>
      </c>
      <c r="F1964" s="325" t="s">
        <v>165</v>
      </c>
    </row>
    <row r="1965" spans="1:6" x14ac:dyDescent="0.2">
      <c r="A1965" s="325" t="s">
        <v>677</v>
      </c>
      <c r="B1965" s="325" t="s">
        <v>908</v>
      </c>
      <c r="C1965" s="325" t="s">
        <v>751</v>
      </c>
      <c r="D1965" s="325" t="s">
        <v>280</v>
      </c>
      <c r="E1965" s="325" t="s">
        <v>456</v>
      </c>
      <c r="F1965" s="325" t="s">
        <v>535</v>
      </c>
    </row>
    <row r="1966" spans="1:6" x14ac:dyDescent="0.2">
      <c r="A1966" s="325" t="s">
        <v>677</v>
      </c>
      <c r="B1966" s="325" t="s">
        <v>909</v>
      </c>
      <c r="C1966" s="325" t="s">
        <v>751</v>
      </c>
      <c r="D1966" s="325" t="s">
        <v>386</v>
      </c>
      <c r="E1966" s="325" t="s">
        <v>456</v>
      </c>
      <c r="F1966" s="325" t="s">
        <v>311</v>
      </c>
    </row>
    <row r="1967" spans="1:6" x14ac:dyDescent="0.2">
      <c r="A1967" s="325" t="s">
        <v>677</v>
      </c>
      <c r="B1967" s="325" t="s">
        <v>910</v>
      </c>
      <c r="C1967" s="325" t="s">
        <v>751</v>
      </c>
      <c r="D1967" s="325" t="s">
        <v>395</v>
      </c>
      <c r="E1967" s="325" t="s">
        <v>456</v>
      </c>
      <c r="F1967" s="325" t="s">
        <v>588</v>
      </c>
    </row>
    <row r="1968" spans="1:6" x14ac:dyDescent="0.2">
      <c r="A1968" s="325" t="s">
        <v>677</v>
      </c>
      <c r="B1968" s="325" t="s">
        <v>911</v>
      </c>
      <c r="C1968" s="325" t="s">
        <v>751</v>
      </c>
      <c r="D1968" s="325" t="s">
        <v>499</v>
      </c>
      <c r="E1968" s="325" t="s">
        <v>456</v>
      </c>
      <c r="F1968" s="325" t="s">
        <v>314</v>
      </c>
    </row>
    <row r="1969" spans="1:6" x14ac:dyDescent="0.2">
      <c r="A1969" s="325" t="s">
        <v>677</v>
      </c>
      <c r="B1969" s="325" t="s">
        <v>971</v>
      </c>
      <c r="C1969" s="325" t="s">
        <v>751</v>
      </c>
      <c r="D1969" s="325" t="s">
        <v>413</v>
      </c>
      <c r="E1969" s="325" t="s">
        <v>265</v>
      </c>
      <c r="F1969" s="325" t="s">
        <v>273</v>
      </c>
    </row>
    <row r="1970" spans="1:6" x14ac:dyDescent="0.2">
      <c r="A1970" s="325" t="s">
        <v>677</v>
      </c>
      <c r="B1970" s="325" t="s">
        <v>974</v>
      </c>
      <c r="C1970" s="325" t="s">
        <v>751</v>
      </c>
      <c r="D1970" s="325" t="s">
        <v>51</v>
      </c>
      <c r="E1970" s="325" t="s">
        <v>265</v>
      </c>
      <c r="F1970" s="325" t="s">
        <v>266</v>
      </c>
    </row>
    <row r="1971" spans="1:6" x14ac:dyDescent="0.2">
      <c r="A1971" s="325" t="s">
        <v>677</v>
      </c>
      <c r="B1971" s="325" t="s">
        <v>975</v>
      </c>
      <c r="C1971" s="325" t="s">
        <v>751</v>
      </c>
      <c r="D1971" s="325" t="s">
        <v>283</v>
      </c>
      <c r="E1971" s="325" t="s">
        <v>265</v>
      </c>
      <c r="F1971" s="325" t="s">
        <v>53</v>
      </c>
    </row>
    <row r="1972" spans="1:6" x14ac:dyDescent="0.2">
      <c r="A1972" s="325" t="s">
        <v>677</v>
      </c>
      <c r="B1972" s="325" t="s">
        <v>976</v>
      </c>
      <c r="C1972" s="325" t="s">
        <v>751</v>
      </c>
      <c r="D1972" s="325" t="s">
        <v>270</v>
      </c>
      <c r="E1972" s="325" t="s">
        <v>442</v>
      </c>
      <c r="F1972" s="325" t="s">
        <v>372</v>
      </c>
    </row>
    <row r="1973" spans="1:6" x14ac:dyDescent="0.2">
      <c r="A1973" s="325" t="s">
        <v>677</v>
      </c>
      <c r="B1973" s="325" t="s">
        <v>977</v>
      </c>
      <c r="C1973" s="325" t="s">
        <v>751</v>
      </c>
      <c r="D1973" s="325" t="s">
        <v>576</v>
      </c>
      <c r="E1973" s="325" t="s">
        <v>265</v>
      </c>
      <c r="F1973" s="325" t="s">
        <v>333</v>
      </c>
    </row>
    <row r="1974" spans="1:6" x14ac:dyDescent="0.2">
      <c r="A1974" s="325" t="s">
        <v>677</v>
      </c>
      <c r="B1974" s="325" t="s">
        <v>793</v>
      </c>
      <c r="C1974" s="325" t="s">
        <v>752</v>
      </c>
      <c r="D1974" s="325" t="s">
        <v>654</v>
      </c>
      <c r="E1974" s="325" t="s">
        <v>265</v>
      </c>
      <c r="F1974" s="325" t="s">
        <v>998</v>
      </c>
    </row>
    <row r="1975" spans="1:6" x14ac:dyDescent="0.2">
      <c r="A1975" s="325" t="s">
        <v>677</v>
      </c>
      <c r="B1975" s="325" t="s">
        <v>794</v>
      </c>
      <c r="C1975" s="325" t="s">
        <v>752</v>
      </c>
      <c r="D1975" s="325" t="s">
        <v>510</v>
      </c>
      <c r="E1975" s="325" t="s">
        <v>265</v>
      </c>
      <c r="F1975" s="325" t="s">
        <v>999</v>
      </c>
    </row>
    <row r="1976" spans="1:6" x14ac:dyDescent="0.2">
      <c r="A1976" s="325" t="s">
        <v>677</v>
      </c>
      <c r="B1976" s="325" t="s">
        <v>795</v>
      </c>
      <c r="C1976" s="325" t="s">
        <v>752</v>
      </c>
      <c r="D1976" s="325" t="s">
        <v>400</v>
      </c>
      <c r="E1976" s="325" t="s">
        <v>265</v>
      </c>
      <c r="F1976" s="325" t="s">
        <v>1001</v>
      </c>
    </row>
    <row r="1977" spans="1:6" x14ac:dyDescent="0.2">
      <c r="A1977" s="325" t="s">
        <v>677</v>
      </c>
      <c r="B1977" s="325" t="s">
        <v>796</v>
      </c>
      <c r="C1977" s="325" t="s">
        <v>752</v>
      </c>
      <c r="D1977" s="325" t="s">
        <v>302</v>
      </c>
      <c r="E1977" s="325" t="s">
        <v>265</v>
      </c>
      <c r="F1977" s="325" t="s">
        <v>1000</v>
      </c>
    </row>
    <row r="1978" spans="1:6" x14ac:dyDescent="0.2">
      <c r="A1978" s="325" t="s">
        <v>677</v>
      </c>
      <c r="B1978" s="325" t="s">
        <v>797</v>
      </c>
      <c r="C1978" s="325" t="s">
        <v>752</v>
      </c>
      <c r="D1978" s="325" t="s">
        <v>28</v>
      </c>
      <c r="E1978" s="325" t="s">
        <v>442</v>
      </c>
      <c r="F1978" s="325" t="s">
        <v>1008</v>
      </c>
    </row>
    <row r="1979" spans="1:6" x14ac:dyDescent="0.2">
      <c r="A1979" s="325" t="s">
        <v>677</v>
      </c>
      <c r="B1979" s="325" t="s">
        <v>798</v>
      </c>
      <c r="C1979" s="325" t="s">
        <v>752</v>
      </c>
      <c r="D1979" s="325" t="s">
        <v>67</v>
      </c>
      <c r="E1979" s="325" t="s">
        <v>556</v>
      </c>
      <c r="F1979" s="325" t="s">
        <v>1009</v>
      </c>
    </row>
    <row r="1980" spans="1:6" x14ac:dyDescent="0.2">
      <c r="A1980" s="325" t="s">
        <v>677</v>
      </c>
      <c r="B1980" s="325" t="s">
        <v>799</v>
      </c>
      <c r="C1980" s="325" t="s">
        <v>752</v>
      </c>
      <c r="D1980" s="325" t="s">
        <v>168</v>
      </c>
      <c r="E1980" s="325" t="s">
        <v>265</v>
      </c>
      <c r="F1980" s="325" t="s">
        <v>145</v>
      </c>
    </row>
    <row r="1981" spans="1:6" x14ac:dyDescent="0.2">
      <c r="A1981" s="325" t="s">
        <v>677</v>
      </c>
      <c r="B1981" s="325" t="s">
        <v>800</v>
      </c>
      <c r="C1981" s="325" t="s">
        <v>752</v>
      </c>
      <c r="D1981" s="325" t="s">
        <v>310</v>
      </c>
      <c r="E1981" s="325" t="s">
        <v>265</v>
      </c>
      <c r="F1981" s="325" t="s">
        <v>350</v>
      </c>
    </row>
    <row r="1982" spans="1:6" x14ac:dyDescent="0.2">
      <c r="A1982" s="325" t="s">
        <v>677</v>
      </c>
      <c r="B1982" s="325" t="s">
        <v>801</v>
      </c>
      <c r="C1982" s="325" t="s">
        <v>752</v>
      </c>
      <c r="D1982" s="325" t="s">
        <v>87</v>
      </c>
      <c r="E1982" s="325" t="s">
        <v>265</v>
      </c>
      <c r="F1982" s="325" t="s">
        <v>79</v>
      </c>
    </row>
    <row r="1983" spans="1:6" x14ac:dyDescent="0.2">
      <c r="A1983" s="325" t="s">
        <v>677</v>
      </c>
      <c r="B1983" s="325" t="s">
        <v>802</v>
      </c>
      <c r="C1983" s="325" t="s">
        <v>752</v>
      </c>
      <c r="D1983" s="325" t="s">
        <v>228</v>
      </c>
      <c r="E1983" s="325" t="s">
        <v>265</v>
      </c>
      <c r="F1983" s="325" t="s">
        <v>331</v>
      </c>
    </row>
    <row r="1984" spans="1:6" x14ac:dyDescent="0.2">
      <c r="A1984" s="325" t="s">
        <v>677</v>
      </c>
      <c r="B1984" s="325" t="s">
        <v>803</v>
      </c>
      <c r="C1984" s="325" t="s">
        <v>752</v>
      </c>
      <c r="D1984" s="325" t="s">
        <v>144</v>
      </c>
      <c r="E1984" s="325" t="s">
        <v>265</v>
      </c>
      <c r="F1984" s="325" t="s">
        <v>340</v>
      </c>
    </row>
    <row r="1985" spans="1:6" x14ac:dyDescent="0.2">
      <c r="A1985" s="325" t="s">
        <v>677</v>
      </c>
      <c r="B1985" s="325" t="s">
        <v>804</v>
      </c>
      <c r="C1985" s="325" t="s">
        <v>752</v>
      </c>
      <c r="D1985" s="325" t="s">
        <v>429</v>
      </c>
      <c r="E1985" s="325" t="s">
        <v>265</v>
      </c>
      <c r="F1985" s="325" t="s">
        <v>263</v>
      </c>
    </row>
    <row r="1986" spans="1:6" x14ac:dyDescent="0.2">
      <c r="A1986" s="325" t="s">
        <v>677</v>
      </c>
      <c r="B1986" s="325" t="s">
        <v>805</v>
      </c>
      <c r="C1986" s="325" t="s">
        <v>752</v>
      </c>
      <c r="D1986" s="325" t="s">
        <v>182</v>
      </c>
      <c r="E1986" s="325" t="s">
        <v>265</v>
      </c>
      <c r="F1986" s="325" t="s">
        <v>223</v>
      </c>
    </row>
    <row r="1987" spans="1:6" x14ac:dyDescent="0.2">
      <c r="A1987" s="325" t="s">
        <v>677</v>
      </c>
      <c r="B1987" s="325" t="s">
        <v>806</v>
      </c>
      <c r="C1987" s="325" t="s">
        <v>752</v>
      </c>
      <c r="D1987" s="325" t="s">
        <v>298</v>
      </c>
      <c r="E1987" s="325" t="s">
        <v>265</v>
      </c>
      <c r="F1987" s="325" t="s">
        <v>423</v>
      </c>
    </row>
    <row r="1988" spans="1:6" x14ac:dyDescent="0.2">
      <c r="A1988" s="325" t="s">
        <v>677</v>
      </c>
      <c r="B1988" s="325" t="s">
        <v>807</v>
      </c>
      <c r="C1988" s="325" t="s">
        <v>752</v>
      </c>
      <c r="D1988" s="325" t="s">
        <v>571</v>
      </c>
      <c r="E1988" s="325" t="s">
        <v>265</v>
      </c>
      <c r="F1988" s="325" t="s">
        <v>258</v>
      </c>
    </row>
    <row r="1989" spans="1:6" x14ac:dyDescent="0.2">
      <c r="A1989" s="325" t="s">
        <v>677</v>
      </c>
      <c r="B1989" s="325" t="s">
        <v>808</v>
      </c>
      <c r="C1989" s="325" t="s">
        <v>752</v>
      </c>
      <c r="D1989" s="325" t="s">
        <v>156</v>
      </c>
      <c r="E1989" s="325" t="s">
        <v>265</v>
      </c>
      <c r="F1989" s="325" t="s">
        <v>226</v>
      </c>
    </row>
    <row r="1990" spans="1:6" x14ac:dyDescent="0.2">
      <c r="A1990" s="325" t="s">
        <v>677</v>
      </c>
      <c r="B1990" s="325" t="s">
        <v>809</v>
      </c>
      <c r="C1990" s="325" t="s">
        <v>752</v>
      </c>
      <c r="D1990" s="325" t="s">
        <v>299</v>
      </c>
      <c r="E1990" s="325" t="s">
        <v>265</v>
      </c>
      <c r="F1990" s="325" t="s">
        <v>3</v>
      </c>
    </row>
    <row r="1991" spans="1:6" x14ac:dyDescent="0.2">
      <c r="A1991" s="325" t="s">
        <v>677</v>
      </c>
      <c r="B1991" s="325" t="s">
        <v>810</v>
      </c>
      <c r="C1991" s="325" t="s">
        <v>752</v>
      </c>
      <c r="D1991" s="325" t="s">
        <v>164</v>
      </c>
      <c r="E1991" s="325" t="s">
        <v>265</v>
      </c>
      <c r="F1991" s="325" t="s">
        <v>524</v>
      </c>
    </row>
    <row r="1992" spans="1:6" x14ac:dyDescent="0.2">
      <c r="A1992" s="325" t="s">
        <v>677</v>
      </c>
      <c r="B1992" s="325" t="s">
        <v>811</v>
      </c>
      <c r="C1992" s="325" t="s">
        <v>752</v>
      </c>
      <c r="D1992" s="325" t="s">
        <v>403</v>
      </c>
      <c r="E1992" s="325" t="s">
        <v>265</v>
      </c>
      <c r="F1992" s="325" t="s">
        <v>195</v>
      </c>
    </row>
    <row r="1993" spans="1:6" x14ac:dyDescent="0.2">
      <c r="A1993" s="325" t="s">
        <v>677</v>
      </c>
      <c r="B1993" s="325" t="s">
        <v>812</v>
      </c>
      <c r="C1993" s="325" t="s">
        <v>752</v>
      </c>
      <c r="D1993" s="325" t="s">
        <v>367</v>
      </c>
      <c r="E1993" s="325" t="s">
        <v>265</v>
      </c>
      <c r="F1993" s="325" t="s">
        <v>461</v>
      </c>
    </row>
    <row r="1994" spans="1:6" x14ac:dyDescent="0.2">
      <c r="A1994" s="325" t="s">
        <v>677</v>
      </c>
      <c r="B1994" s="325" t="s">
        <v>813</v>
      </c>
      <c r="C1994" s="325" t="s">
        <v>752</v>
      </c>
      <c r="D1994" s="325" t="s">
        <v>105</v>
      </c>
      <c r="E1994" s="325" t="s">
        <v>265</v>
      </c>
      <c r="F1994" s="325" t="s">
        <v>393</v>
      </c>
    </row>
    <row r="1995" spans="1:6" x14ac:dyDescent="0.2">
      <c r="A1995" s="325" t="s">
        <v>677</v>
      </c>
      <c r="B1995" s="325" t="s">
        <v>814</v>
      </c>
      <c r="C1995" s="325" t="s">
        <v>752</v>
      </c>
      <c r="D1995" s="325" t="s">
        <v>520</v>
      </c>
      <c r="E1995" s="325" t="s">
        <v>265</v>
      </c>
      <c r="F1995" s="325" t="s">
        <v>277</v>
      </c>
    </row>
    <row r="1996" spans="1:6" x14ac:dyDescent="0.2">
      <c r="A1996" s="325" t="s">
        <v>677</v>
      </c>
      <c r="B1996" s="325" t="s">
        <v>815</v>
      </c>
      <c r="C1996" s="325" t="s">
        <v>752</v>
      </c>
      <c r="D1996" s="325" t="s">
        <v>469</v>
      </c>
      <c r="E1996" s="325" t="s">
        <v>265</v>
      </c>
      <c r="F1996" s="325" t="s">
        <v>452</v>
      </c>
    </row>
    <row r="1997" spans="1:6" x14ac:dyDescent="0.2">
      <c r="A1997" s="325" t="s">
        <v>677</v>
      </c>
      <c r="B1997" s="325" t="s">
        <v>816</v>
      </c>
      <c r="C1997" s="325" t="s">
        <v>752</v>
      </c>
      <c r="D1997" s="325" t="s">
        <v>432</v>
      </c>
      <c r="E1997" s="325" t="s">
        <v>265</v>
      </c>
      <c r="F1997" s="325" t="s">
        <v>489</v>
      </c>
    </row>
    <row r="1998" spans="1:6" x14ac:dyDescent="0.2">
      <c r="A1998" s="325" t="s">
        <v>677</v>
      </c>
      <c r="B1998" s="325" t="s">
        <v>817</v>
      </c>
      <c r="C1998" s="325" t="s">
        <v>752</v>
      </c>
      <c r="D1998" s="325" t="s">
        <v>75</v>
      </c>
      <c r="E1998" s="325" t="s">
        <v>265</v>
      </c>
      <c r="F1998" s="325" t="s">
        <v>288</v>
      </c>
    </row>
    <row r="1999" spans="1:6" x14ac:dyDescent="0.2">
      <c r="A1999" s="325" t="s">
        <v>677</v>
      </c>
      <c r="B1999" s="325" t="s">
        <v>818</v>
      </c>
      <c r="C1999" s="325" t="s">
        <v>752</v>
      </c>
      <c r="D1999" s="325" t="s">
        <v>666</v>
      </c>
      <c r="E1999" s="325" t="s">
        <v>556</v>
      </c>
      <c r="F1999" s="325" t="s">
        <v>665</v>
      </c>
    </row>
    <row r="2000" spans="1:6" x14ac:dyDescent="0.2">
      <c r="A2000" s="325" t="s">
        <v>677</v>
      </c>
      <c r="B2000" s="325" t="s">
        <v>819</v>
      </c>
      <c r="C2000" s="325" t="s">
        <v>752</v>
      </c>
      <c r="D2000" s="325" t="s">
        <v>111</v>
      </c>
      <c r="E2000" s="325" t="s">
        <v>265</v>
      </c>
      <c r="F2000" s="325" t="s">
        <v>261</v>
      </c>
    </row>
    <row r="2001" spans="1:6" x14ac:dyDescent="0.2">
      <c r="A2001" s="325" t="s">
        <v>677</v>
      </c>
      <c r="B2001" s="325" t="s">
        <v>820</v>
      </c>
      <c r="C2001" s="325" t="s">
        <v>752</v>
      </c>
      <c r="D2001" s="325" t="s">
        <v>289</v>
      </c>
      <c r="E2001" s="325" t="s">
        <v>265</v>
      </c>
      <c r="F2001" s="325" t="s">
        <v>674</v>
      </c>
    </row>
    <row r="2002" spans="1:6" x14ac:dyDescent="0.2">
      <c r="A2002" s="325" t="s">
        <v>677</v>
      </c>
      <c r="B2002" s="325" t="s">
        <v>821</v>
      </c>
      <c r="C2002" s="325" t="s">
        <v>752</v>
      </c>
      <c r="D2002" s="325" t="s">
        <v>308</v>
      </c>
      <c r="E2002" s="325" t="s">
        <v>265</v>
      </c>
      <c r="F2002" s="325" t="s">
        <v>675</v>
      </c>
    </row>
    <row r="2003" spans="1:6" x14ac:dyDescent="0.2">
      <c r="A2003" s="325" t="s">
        <v>677</v>
      </c>
      <c r="B2003" s="325" t="s">
        <v>822</v>
      </c>
      <c r="C2003" s="325" t="s">
        <v>752</v>
      </c>
      <c r="D2003" s="325" t="s">
        <v>411</v>
      </c>
      <c r="E2003" s="325" t="s">
        <v>265</v>
      </c>
      <c r="F2003" s="325" t="s">
        <v>115</v>
      </c>
    </row>
    <row r="2004" spans="1:6" x14ac:dyDescent="0.2">
      <c r="A2004" s="325" t="s">
        <v>677</v>
      </c>
      <c r="B2004" s="325" t="s">
        <v>823</v>
      </c>
      <c r="C2004" s="325" t="s">
        <v>752</v>
      </c>
      <c r="D2004" s="325" t="s">
        <v>425</v>
      </c>
      <c r="E2004" s="325" t="s">
        <v>265</v>
      </c>
      <c r="F2004" s="325" t="s">
        <v>364</v>
      </c>
    </row>
    <row r="2005" spans="1:6" x14ac:dyDescent="0.2">
      <c r="A2005" s="325" t="s">
        <v>677</v>
      </c>
      <c r="B2005" s="325" t="s">
        <v>824</v>
      </c>
      <c r="C2005" s="325" t="s">
        <v>752</v>
      </c>
      <c r="D2005" s="325" t="s">
        <v>431</v>
      </c>
      <c r="E2005" s="325" t="s">
        <v>265</v>
      </c>
      <c r="F2005" s="325" t="s">
        <v>464</v>
      </c>
    </row>
    <row r="2006" spans="1:6" x14ac:dyDescent="0.2">
      <c r="A2006" s="325" t="s">
        <v>677</v>
      </c>
      <c r="B2006" s="325" t="s">
        <v>825</v>
      </c>
      <c r="C2006" s="325" t="s">
        <v>752</v>
      </c>
      <c r="D2006" s="325" t="s">
        <v>696</v>
      </c>
      <c r="E2006" s="325" t="s">
        <v>265</v>
      </c>
      <c r="F2006" s="325" t="s">
        <v>1010</v>
      </c>
    </row>
    <row r="2007" spans="1:6" x14ac:dyDescent="0.2">
      <c r="A2007" s="325" t="s">
        <v>677</v>
      </c>
      <c r="B2007" s="325" t="s">
        <v>826</v>
      </c>
      <c r="C2007" s="325" t="s">
        <v>752</v>
      </c>
      <c r="D2007" s="325" t="s">
        <v>15</v>
      </c>
      <c r="E2007" s="325" t="s">
        <v>265</v>
      </c>
      <c r="F2007" s="325" t="s">
        <v>446</v>
      </c>
    </row>
    <row r="2008" spans="1:6" x14ac:dyDescent="0.2">
      <c r="A2008" s="325" t="s">
        <v>677</v>
      </c>
      <c r="B2008" s="325" t="s">
        <v>827</v>
      </c>
      <c r="C2008" s="325" t="s">
        <v>752</v>
      </c>
      <c r="D2008" s="325" t="s">
        <v>551</v>
      </c>
      <c r="E2008" s="325" t="s">
        <v>265</v>
      </c>
      <c r="F2008" s="325" t="s">
        <v>10</v>
      </c>
    </row>
    <row r="2009" spans="1:6" x14ac:dyDescent="0.2">
      <c r="A2009" s="325" t="s">
        <v>677</v>
      </c>
      <c r="B2009" s="325" t="s">
        <v>828</v>
      </c>
      <c r="C2009" s="325" t="s">
        <v>752</v>
      </c>
      <c r="D2009" s="325" t="s">
        <v>9</v>
      </c>
      <c r="E2009" s="325" t="s">
        <v>265</v>
      </c>
      <c r="F2009" s="325" t="s">
        <v>189</v>
      </c>
    </row>
    <row r="2010" spans="1:6" x14ac:dyDescent="0.2">
      <c r="A2010" s="325" t="s">
        <v>677</v>
      </c>
      <c r="B2010" s="325" t="s">
        <v>829</v>
      </c>
      <c r="C2010" s="325" t="s">
        <v>752</v>
      </c>
      <c r="D2010" s="325" t="s">
        <v>566</v>
      </c>
      <c r="E2010" s="325" t="s">
        <v>265</v>
      </c>
      <c r="F2010" s="325" t="s">
        <v>135</v>
      </c>
    </row>
    <row r="2011" spans="1:6" x14ac:dyDescent="0.2">
      <c r="A2011" s="325" t="s">
        <v>677</v>
      </c>
      <c r="B2011" s="325" t="s">
        <v>830</v>
      </c>
      <c r="C2011" s="325" t="s">
        <v>752</v>
      </c>
      <c r="D2011" s="325" t="s">
        <v>412</v>
      </c>
      <c r="E2011" s="325" t="s">
        <v>456</v>
      </c>
      <c r="F2011" s="325" t="s">
        <v>128</v>
      </c>
    </row>
    <row r="2012" spans="1:6" x14ac:dyDescent="0.2">
      <c r="A2012" s="325" t="s">
        <v>677</v>
      </c>
      <c r="B2012" s="325" t="s">
        <v>831</v>
      </c>
      <c r="C2012" s="325" t="s">
        <v>752</v>
      </c>
      <c r="D2012" s="325" t="s">
        <v>369</v>
      </c>
      <c r="E2012" s="325" t="s">
        <v>456</v>
      </c>
      <c r="F2012" s="325" t="s">
        <v>496</v>
      </c>
    </row>
    <row r="2013" spans="1:6" x14ac:dyDescent="0.2">
      <c r="A2013" s="325" t="s">
        <v>677</v>
      </c>
      <c r="B2013" s="325" t="s">
        <v>832</v>
      </c>
      <c r="C2013" s="325" t="s">
        <v>752</v>
      </c>
      <c r="D2013" s="325" t="s">
        <v>348</v>
      </c>
      <c r="E2013" s="325" t="s">
        <v>265</v>
      </c>
      <c r="F2013" s="325" t="s">
        <v>293</v>
      </c>
    </row>
    <row r="2014" spans="1:6" x14ac:dyDescent="0.2">
      <c r="A2014" s="325" t="s">
        <v>677</v>
      </c>
      <c r="B2014" s="325" t="s">
        <v>833</v>
      </c>
      <c r="C2014" s="325" t="s">
        <v>752</v>
      </c>
      <c r="D2014" s="325" t="s">
        <v>244</v>
      </c>
      <c r="E2014" s="325" t="s">
        <v>265</v>
      </c>
      <c r="F2014" s="325" t="s">
        <v>543</v>
      </c>
    </row>
    <row r="2015" spans="1:6" x14ac:dyDescent="0.2">
      <c r="A2015" s="325" t="s">
        <v>677</v>
      </c>
      <c r="B2015" s="325" t="s">
        <v>834</v>
      </c>
      <c r="C2015" s="325" t="s">
        <v>752</v>
      </c>
      <c r="D2015" s="325" t="s">
        <v>488</v>
      </c>
      <c r="E2015" s="325" t="s">
        <v>265</v>
      </c>
      <c r="F2015" s="325" t="s">
        <v>545</v>
      </c>
    </row>
    <row r="2016" spans="1:6" x14ac:dyDescent="0.2">
      <c r="A2016" s="325" t="s">
        <v>677</v>
      </c>
      <c r="B2016" s="325" t="s">
        <v>835</v>
      </c>
      <c r="C2016" s="325" t="s">
        <v>752</v>
      </c>
      <c r="D2016" s="325" t="s">
        <v>397</v>
      </c>
      <c r="E2016" s="325" t="s">
        <v>265</v>
      </c>
      <c r="F2016" s="325" t="s">
        <v>88</v>
      </c>
    </row>
    <row r="2017" spans="1:6" x14ac:dyDescent="0.2">
      <c r="A2017" s="325" t="s">
        <v>677</v>
      </c>
      <c r="B2017" s="325" t="s">
        <v>836</v>
      </c>
      <c r="C2017" s="325" t="s">
        <v>752</v>
      </c>
      <c r="D2017" s="325" t="s">
        <v>440</v>
      </c>
      <c r="E2017" s="325" t="s">
        <v>265</v>
      </c>
      <c r="F2017" s="325" t="s">
        <v>368</v>
      </c>
    </row>
    <row r="2018" spans="1:6" x14ac:dyDescent="0.2">
      <c r="A2018" s="325" t="s">
        <v>677</v>
      </c>
      <c r="B2018" s="325" t="s">
        <v>837</v>
      </c>
      <c r="C2018" s="325" t="s">
        <v>752</v>
      </c>
      <c r="D2018" s="325" t="s">
        <v>445</v>
      </c>
      <c r="E2018" s="325" t="s">
        <v>265</v>
      </c>
      <c r="F2018" s="325" t="s">
        <v>238</v>
      </c>
    </row>
    <row r="2019" spans="1:6" x14ac:dyDescent="0.2">
      <c r="A2019" s="325" t="s">
        <v>677</v>
      </c>
      <c r="B2019" s="325" t="s">
        <v>838</v>
      </c>
      <c r="C2019" s="325" t="s">
        <v>752</v>
      </c>
      <c r="D2019" s="325" t="s">
        <v>119</v>
      </c>
      <c r="E2019" s="325" t="s">
        <v>265</v>
      </c>
      <c r="F2019" s="325" t="s">
        <v>557</v>
      </c>
    </row>
    <row r="2020" spans="1:6" x14ac:dyDescent="0.2">
      <c r="A2020" s="325" t="s">
        <v>677</v>
      </c>
      <c r="B2020" s="325" t="s">
        <v>839</v>
      </c>
      <c r="C2020" s="325" t="s">
        <v>752</v>
      </c>
      <c r="D2020" s="325" t="s">
        <v>580</v>
      </c>
      <c r="E2020" s="325" t="s">
        <v>265</v>
      </c>
      <c r="F2020" s="325" t="s">
        <v>120</v>
      </c>
    </row>
    <row r="2021" spans="1:6" x14ac:dyDescent="0.2">
      <c r="A2021" s="325" t="s">
        <v>677</v>
      </c>
      <c r="B2021" s="325" t="s">
        <v>840</v>
      </c>
      <c r="C2021" s="325" t="s">
        <v>752</v>
      </c>
      <c r="D2021" s="325" t="s">
        <v>64</v>
      </c>
      <c r="E2021" s="325" t="s">
        <v>265</v>
      </c>
      <c r="F2021" s="325" t="s">
        <v>197</v>
      </c>
    </row>
    <row r="2022" spans="1:6" x14ac:dyDescent="0.2">
      <c r="A2022" s="325" t="s">
        <v>677</v>
      </c>
      <c r="B2022" s="325" t="s">
        <v>841</v>
      </c>
      <c r="C2022" s="325" t="s">
        <v>752</v>
      </c>
      <c r="D2022" s="325" t="s">
        <v>471</v>
      </c>
      <c r="E2022" s="325" t="s">
        <v>265</v>
      </c>
      <c r="F2022" s="325" t="s">
        <v>466</v>
      </c>
    </row>
    <row r="2023" spans="1:6" x14ac:dyDescent="0.2">
      <c r="A2023" s="325" t="s">
        <v>677</v>
      </c>
      <c r="B2023" s="325" t="s">
        <v>842</v>
      </c>
      <c r="C2023" s="325" t="s">
        <v>752</v>
      </c>
      <c r="D2023" s="325" t="s">
        <v>539</v>
      </c>
      <c r="E2023" s="325" t="s">
        <v>265</v>
      </c>
      <c r="F2023" s="325" t="s">
        <v>394</v>
      </c>
    </row>
    <row r="2024" spans="1:6" x14ac:dyDescent="0.2">
      <c r="A2024" s="325" t="s">
        <v>677</v>
      </c>
      <c r="B2024" s="325" t="s">
        <v>843</v>
      </c>
      <c r="C2024" s="325" t="s">
        <v>752</v>
      </c>
      <c r="D2024" s="325" t="s">
        <v>318</v>
      </c>
      <c r="E2024" s="325" t="s">
        <v>265</v>
      </c>
      <c r="F2024" s="325" t="s">
        <v>478</v>
      </c>
    </row>
    <row r="2025" spans="1:6" x14ac:dyDescent="0.2">
      <c r="A2025" s="325" t="s">
        <v>677</v>
      </c>
      <c r="B2025" s="325" t="s">
        <v>844</v>
      </c>
      <c r="C2025" s="325" t="s">
        <v>752</v>
      </c>
      <c r="D2025" s="325" t="s">
        <v>257</v>
      </c>
      <c r="E2025" s="325" t="s">
        <v>265</v>
      </c>
      <c r="F2025" s="325" t="s">
        <v>338</v>
      </c>
    </row>
    <row r="2026" spans="1:6" x14ac:dyDescent="0.2">
      <c r="A2026" s="325" t="s">
        <v>677</v>
      </c>
      <c r="B2026" s="325" t="s">
        <v>845</v>
      </c>
      <c r="C2026" s="325" t="s">
        <v>752</v>
      </c>
      <c r="D2026" s="325" t="s">
        <v>751</v>
      </c>
      <c r="E2026" s="325" t="s">
        <v>265</v>
      </c>
      <c r="F2026" s="325" t="s">
        <v>753</v>
      </c>
    </row>
    <row r="2027" spans="1:6" x14ac:dyDescent="0.2">
      <c r="A2027" s="325" t="s">
        <v>677</v>
      </c>
      <c r="B2027" s="325" t="s">
        <v>846</v>
      </c>
      <c r="C2027" s="325" t="s">
        <v>752</v>
      </c>
      <c r="D2027" s="325" t="s">
        <v>55</v>
      </c>
      <c r="E2027" s="325" t="s">
        <v>265</v>
      </c>
      <c r="F2027" s="325" t="s">
        <v>305</v>
      </c>
    </row>
    <row r="2028" spans="1:6" x14ac:dyDescent="0.2">
      <c r="A2028" s="325" t="s">
        <v>677</v>
      </c>
      <c r="B2028" s="325" t="s">
        <v>847</v>
      </c>
      <c r="C2028" s="325" t="s">
        <v>752</v>
      </c>
      <c r="D2028" s="325" t="s">
        <v>522</v>
      </c>
      <c r="E2028" s="325" t="s">
        <v>265</v>
      </c>
      <c r="F2028" s="325" t="s">
        <v>602</v>
      </c>
    </row>
    <row r="2029" spans="1:6" x14ac:dyDescent="0.2">
      <c r="A2029" s="325" t="s">
        <v>677</v>
      </c>
      <c r="B2029" s="325" t="s">
        <v>848</v>
      </c>
      <c r="C2029" s="325" t="s">
        <v>752</v>
      </c>
      <c r="D2029" s="325" t="s">
        <v>370</v>
      </c>
      <c r="E2029" s="325" t="s">
        <v>265</v>
      </c>
      <c r="F2029" s="325" t="s">
        <v>484</v>
      </c>
    </row>
    <row r="2030" spans="1:6" x14ac:dyDescent="0.2">
      <c r="A2030" s="325" t="s">
        <v>677</v>
      </c>
      <c r="B2030" s="325" t="s">
        <v>849</v>
      </c>
      <c r="C2030" s="325" t="s">
        <v>752</v>
      </c>
      <c r="D2030" s="325" t="s">
        <v>752</v>
      </c>
      <c r="E2030" s="325" t="s">
        <v>265</v>
      </c>
      <c r="F2030" s="325" t="s">
        <v>754</v>
      </c>
    </row>
    <row r="2031" spans="1:6" x14ac:dyDescent="0.2">
      <c r="A2031" s="325" t="s">
        <v>677</v>
      </c>
      <c r="B2031" s="325" t="s">
        <v>850</v>
      </c>
      <c r="C2031" s="325" t="s">
        <v>752</v>
      </c>
      <c r="D2031" s="325" t="s">
        <v>585</v>
      </c>
      <c r="E2031" s="325" t="s">
        <v>265</v>
      </c>
      <c r="F2031" s="325" t="s">
        <v>564</v>
      </c>
    </row>
    <row r="2032" spans="1:6" x14ac:dyDescent="0.2">
      <c r="A2032" s="325" t="s">
        <v>677</v>
      </c>
      <c r="B2032" s="325" t="s">
        <v>851</v>
      </c>
      <c r="C2032" s="325" t="s">
        <v>752</v>
      </c>
      <c r="D2032" s="325" t="s">
        <v>603</v>
      </c>
      <c r="E2032" s="325" t="s">
        <v>265</v>
      </c>
      <c r="F2032" s="325" t="s">
        <v>703</v>
      </c>
    </row>
    <row r="2033" spans="1:6" x14ac:dyDescent="0.2">
      <c r="A2033" s="325" t="s">
        <v>677</v>
      </c>
      <c r="B2033" s="325" t="s">
        <v>852</v>
      </c>
      <c r="C2033" s="325" t="s">
        <v>752</v>
      </c>
      <c r="D2033" s="325" t="s">
        <v>604</v>
      </c>
      <c r="E2033" s="325" t="s">
        <v>265</v>
      </c>
      <c r="F2033" s="325" t="s">
        <v>702</v>
      </c>
    </row>
    <row r="2034" spans="1:6" x14ac:dyDescent="0.2">
      <c r="A2034" s="325" t="s">
        <v>677</v>
      </c>
      <c r="B2034" s="325" t="s">
        <v>853</v>
      </c>
      <c r="C2034" s="325" t="s">
        <v>752</v>
      </c>
      <c r="D2034" s="325" t="s">
        <v>565</v>
      </c>
      <c r="E2034" s="325" t="s">
        <v>265</v>
      </c>
      <c r="F2034" s="325" t="s">
        <v>306</v>
      </c>
    </row>
    <row r="2035" spans="1:6" x14ac:dyDescent="0.2">
      <c r="A2035" s="325" t="s">
        <v>677</v>
      </c>
      <c r="B2035" s="325" t="s">
        <v>854</v>
      </c>
      <c r="C2035" s="325" t="s">
        <v>752</v>
      </c>
      <c r="D2035" s="325" t="s">
        <v>354</v>
      </c>
      <c r="E2035" s="325" t="s">
        <v>265</v>
      </c>
      <c r="F2035" s="325" t="s">
        <v>390</v>
      </c>
    </row>
    <row r="2036" spans="1:6" x14ac:dyDescent="0.2">
      <c r="A2036" s="325" t="s">
        <v>677</v>
      </c>
      <c r="B2036" s="325" t="s">
        <v>855</v>
      </c>
      <c r="C2036" s="325" t="s">
        <v>752</v>
      </c>
      <c r="D2036" s="325" t="s">
        <v>93</v>
      </c>
      <c r="E2036" s="325" t="s">
        <v>265</v>
      </c>
      <c r="F2036" s="325" t="s">
        <v>170</v>
      </c>
    </row>
    <row r="2037" spans="1:6" x14ac:dyDescent="0.2">
      <c r="A2037" s="325" t="s">
        <v>677</v>
      </c>
      <c r="B2037" s="325" t="s">
        <v>856</v>
      </c>
      <c r="C2037" s="325" t="s">
        <v>752</v>
      </c>
      <c r="D2037" s="325" t="s">
        <v>198</v>
      </c>
      <c r="E2037" s="325" t="s">
        <v>265</v>
      </c>
      <c r="F2037" s="325" t="s">
        <v>139</v>
      </c>
    </row>
    <row r="2038" spans="1:6" x14ac:dyDescent="0.2">
      <c r="A2038" s="325" t="s">
        <v>677</v>
      </c>
      <c r="B2038" s="325" t="s">
        <v>857</v>
      </c>
      <c r="C2038" s="325" t="s">
        <v>752</v>
      </c>
      <c r="D2038" s="325" t="s">
        <v>51</v>
      </c>
      <c r="E2038" s="325" t="s">
        <v>265</v>
      </c>
      <c r="F2038" s="325" t="s">
        <v>27</v>
      </c>
    </row>
    <row r="2039" spans="1:6" x14ac:dyDescent="0.2">
      <c r="A2039" s="325" t="s">
        <v>677</v>
      </c>
      <c r="B2039" s="325" t="s">
        <v>858</v>
      </c>
      <c r="C2039" s="325" t="s">
        <v>752</v>
      </c>
      <c r="D2039" s="325" t="s">
        <v>152</v>
      </c>
      <c r="E2039" s="325" t="s">
        <v>265</v>
      </c>
      <c r="F2039" s="325" t="s">
        <v>555</v>
      </c>
    </row>
    <row r="2040" spans="1:6" x14ac:dyDescent="0.2">
      <c r="A2040" s="325" t="s">
        <v>677</v>
      </c>
      <c r="B2040" s="325" t="s">
        <v>859</v>
      </c>
      <c r="C2040" s="325" t="s">
        <v>752</v>
      </c>
      <c r="D2040" s="325" t="s">
        <v>547</v>
      </c>
      <c r="E2040" s="325" t="s">
        <v>265</v>
      </c>
      <c r="F2040" s="325" t="s">
        <v>374</v>
      </c>
    </row>
    <row r="2041" spans="1:6" x14ac:dyDescent="0.2">
      <c r="A2041" s="325" t="s">
        <v>677</v>
      </c>
      <c r="B2041" s="325" t="s">
        <v>860</v>
      </c>
      <c r="C2041" s="325" t="s">
        <v>752</v>
      </c>
      <c r="D2041" s="325" t="s">
        <v>490</v>
      </c>
      <c r="E2041" s="325" t="s">
        <v>265</v>
      </c>
      <c r="F2041" s="325" t="s">
        <v>177</v>
      </c>
    </row>
    <row r="2042" spans="1:6" x14ac:dyDescent="0.2">
      <c r="A2042" s="325" t="s">
        <v>677</v>
      </c>
      <c r="B2042" s="325" t="s">
        <v>861</v>
      </c>
      <c r="C2042" s="325" t="s">
        <v>752</v>
      </c>
      <c r="D2042" s="325" t="s">
        <v>209</v>
      </c>
      <c r="E2042" s="325" t="s">
        <v>265</v>
      </c>
      <c r="F2042" s="325" t="s">
        <v>41</v>
      </c>
    </row>
    <row r="2043" spans="1:6" x14ac:dyDescent="0.2">
      <c r="A2043" s="325" t="s">
        <v>677</v>
      </c>
      <c r="B2043" s="325" t="s">
        <v>862</v>
      </c>
      <c r="C2043" s="325" t="s">
        <v>752</v>
      </c>
      <c r="D2043" s="325" t="s">
        <v>163</v>
      </c>
      <c r="E2043" s="325" t="s">
        <v>265</v>
      </c>
      <c r="F2043" s="325" t="s">
        <v>98</v>
      </c>
    </row>
    <row r="2044" spans="1:6" x14ac:dyDescent="0.2">
      <c r="A2044" s="325" t="s">
        <v>677</v>
      </c>
      <c r="B2044" s="325" t="s">
        <v>863</v>
      </c>
      <c r="C2044" s="325" t="s">
        <v>752</v>
      </c>
      <c r="D2044" s="325" t="s">
        <v>200</v>
      </c>
      <c r="E2044" s="325" t="s">
        <v>265</v>
      </c>
      <c r="F2044" s="325" t="s">
        <v>230</v>
      </c>
    </row>
    <row r="2045" spans="1:6" x14ac:dyDescent="0.2">
      <c r="A2045" s="325" t="s">
        <v>677</v>
      </c>
      <c r="B2045" s="325" t="s">
        <v>864</v>
      </c>
      <c r="C2045" s="325" t="s">
        <v>752</v>
      </c>
      <c r="D2045" s="325" t="s">
        <v>54</v>
      </c>
      <c r="E2045" s="325" t="s">
        <v>265</v>
      </c>
      <c r="F2045" s="325" t="s">
        <v>192</v>
      </c>
    </row>
    <row r="2046" spans="1:6" x14ac:dyDescent="0.2">
      <c r="A2046" s="325" t="s">
        <v>677</v>
      </c>
      <c r="B2046" s="325" t="s">
        <v>865</v>
      </c>
      <c r="C2046" s="325" t="s">
        <v>752</v>
      </c>
      <c r="D2046" s="325" t="s">
        <v>133</v>
      </c>
      <c r="E2046" s="325" t="s">
        <v>265</v>
      </c>
      <c r="F2046" s="325" t="s">
        <v>349</v>
      </c>
    </row>
    <row r="2047" spans="1:6" x14ac:dyDescent="0.2">
      <c r="A2047" s="325" t="s">
        <v>677</v>
      </c>
      <c r="B2047" s="325" t="s">
        <v>866</v>
      </c>
      <c r="C2047" s="325" t="s">
        <v>752</v>
      </c>
      <c r="D2047" s="325" t="s">
        <v>232</v>
      </c>
      <c r="E2047" s="325" t="s">
        <v>265</v>
      </c>
      <c r="F2047" s="325" t="s">
        <v>16</v>
      </c>
    </row>
    <row r="2048" spans="1:6" x14ac:dyDescent="0.2">
      <c r="A2048" s="325" t="s">
        <v>677</v>
      </c>
      <c r="B2048" s="325" t="s">
        <v>867</v>
      </c>
      <c r="C2048" s="325" t="s">
        <v>752</v>
      </c>
      <c r="D2048" s="325" t="s">
        <v>56</v>
      </c>
      <c r="E2048" s="325" t="s">
        <v>265</v>
      </c>
      <c r="F2048" s="325" t="s">
        <v>199</v>
      </c>
    </row>
    <row r="2049" spans="1:6" x14ac:dyDescent="0.2">
      <c r="A2049" s="325" t="s">
        <v>677</v>
      </c>
      <c r="B2049" s="325" t="s">
        <v>868</v>
      </c>
      <c r="C2049" s="325" t="s">
        <v>752</v>
      </c>
      <c r="D2049" s="325" t="s">
        <v>434</v>
      </c>
      <c r="E2049" s="325" t="s">
        <v>265</v>
      </c>
      <c r="F2049" s="325" t="s">
        <v>514</v>
      </c>
    </row>
    <row r="2050" spans="1:6" x14ac:dyDescent="0.2">
      <c r="A2050" s="325" t="s">
        <v>677</v>
      </c>
      <c r="B2050" s="325" t="s">
        <v>869</v>
      </c>
      <c r="C2050" s="325" t="s">
        <v>752</v>
      </c>
      <c r="D2050" s="325" t="s">
        <v>108</v>
      </c>
      <c r="E2050" s="325" t="s">
        <v>265</v>
      </c>
      <c r="F2050" s="325" t="s">
        <v>362</v>
      </c>
    </row>
    <row r="2051" spans="1:6" x14ac:dyDescent="0.2">
      <c r="A2051" s="325" t="s">
        <v>677</v>
      </c>
      <c r="B2051" s="325" t="s">
        <v>870</v>
      </c>
      <c r="C2051" s="325" t="s">
        <v>752</v>
      </c>
      <c r="D2051" s="325" t="s">
        <v>657</v>
      </c>
      <c r="E2051" s="325" t="s">
        <v>265</v>
      </c>
      <c r="F2051" s="325" t="s">
        <v>658</v>
      </c>
    </row>
    <row r="2052" spans="1:6" x14ac:dyDescent="0.2">
      <c r="A2052" s="325" t="s">
        <v>677</v>
      </c>
      <c r="B2052" s="325" t="s">
        <v>871</v>
      </c>
      <c r="C2052" s="325" t="s">
        <v>752</v>
      </c>
      <c r="D2052" s="325" t="s">
        <v>659</v>
      </c>
      <c r="E2052" s="325" t="s">
        <v>265</v>
      </c>
      <c r="F2052" s="325" t="s">
        <v>660</v>
      </c>
    </row>
    <row r="2053" spans="1:6" x14ac:dyDescent="0.2">
      <c r="A2053" s="325" t="s">
        <v>677</v>
      </c>
      <c r="B2053" s="325" t="s">
        <v>872</v>
      </c>
      <c r="C2053" s="325" t="s">
        <v>752</v>
      </c>
      <c r="D2053" s="325" t="s">
        <v>661</v>
      </c>
      <c r="E2053" s="325" t="s">
        <v>265</v>
      </c>
      <c r="F2053" s="325" t="s">
        <v>662</v>
      </c>
    </row>
    <row r="2054" spans="1:6" x14ac:dyDescent="0.2">
      <c r="A2054" s="325" t="s">
        <v>677</v>
      </c>
      <c r="B2054" s="325" t="s">
        <v>873</v>
      </c>
      <c r="C2054" s="325" t="s">
        <v>752</v>
      </c>
      <c r="D2054" s="325" t="s">
        <v>648</v>
      </c>
      <c r="E2054" s="325" t="s">
        <v>265</v>
      </c>
      <c r="F2054" s="325" t="s">
        <v>651</v>
      </c>
    </row>
    <row r="2055" spans="1:6" x14ac:dyDescent="0.2">
      <c r="A2055" s="325" t="s">
        <v>677</v>
      </c>
      <c r="B2055" s="325" t="s">
        <v>874</v>
      </c>
      <c r="C2055" s="325" t="s">
        <v>752</v>
      </c>
      <c r="D2055" s="325" t="s">
        <v>649</v>
      </c>
      <c r="E2055" s="325" t="s">
        <v>265</v>
      </c>
      <c r="F2055" s="325" t="s">
        <v>652</v>
      </c>
    </row>
    <row r="2056" spans="1:6" x14ac:dyDescent="0.2">
      <c r="A2056" s="325" t="s">
        <v>677</v>
      </c>
      <c r="B2056" s="325" t="s">
        <v>875</v>
      </c>
      <c r="C2056" s="325" t="s">
        <v>752</v>
      </c>
      <c r="D2056" s="325" t="s">
        <v>650</v>
      </c>
      <c r="E2056" s="325" t="s">
        <v>265</v>
      </c>
      <c r="F2056" s="325" t="s">
        <v>653</v>
      </c>
    </row>
    <row r="2057" spans="1:6" x14ac:dyDescent="0.2">
      <c r="A2057" s="325" t="s">
        <v>677</v>
      </c>
      <c r="B2057" s="325" t="s">
        <v>876</v>
      </c>
      <c r="C2057" s="325" t="s">
        <v>752</v>
      </c>
      <c r="D2057" s="325" t="s">
        <v>327</v>
      </c>
      <c r="E2057" s="325" t="s">
        <v>265</v>
      </c>
      <c r="F2057" s="325" t="s">
        <v>102</v>
      </c>
    </row>
    <row r="2058" spans="1:6" x14ac:dyDescent="0.2">
      <c r="A2058" s="325" t="s">
        <v>677</v>
      </c>
      <c r="B2058" s="325" t="s">
        <v>877</v>
      </c>
      <c r="C2058" s="325" t="s">
        <v>752</v>
      </c>
      <c r="D2058" s="325" t="s">
        <v>356</v>
      </c>
      <c r="E2058" s="325" t="s">
        <v>265</v>
      </c>
      <c r="F2058" s="325" t="s">
        <v>1011</v>
      </c>
    </row>
    <row r="2059" spans="1:6" x14ac:dyDescent="0.2">
      <c r="A2059" s="325" t="s">
        <v>677</v>
      </c>
      <c r="B2059" s="325" t="s">
        <v>878</v>
      </c>
      <c r="C2059" s="325" t="s">
        <v>752</v>
      </c>
      <c r="D2059" s="325" t="s">
        <v>513</v>
      </c>
      <c r="E2059" s="325" t="s">
        <v>442</v>
      </c>
      <c r="F2059" s="325" t="s">
        <v>264</v>
      </c>
    </row>
    <row r="2060" spans="1:6" x14ac:dyDescent="0.2">
      <c r="A2060" s="325" t="s">
        <v>677</v>
      </c>
      <c r="B2060" s="325" t="s">
        <v>879</v>
      </c>
      <c r="C2060" s="325" t="s">
        <v>752</v>
      </c>
      <c r="D2060" s="325" t="s">
        <v>554</v>
      </c>
      <c r="E2060" s="325" t="s">
        <v>442</v>
      </c>
      <c r="F2060" s="325" t="s">
        <v>229</v>
      </c>
    </row>
    <row r="2061" spans="1:6" x14ac:dyDescent="0.2">
      <c r="A2061" s="325" t="s">
        <v>677</v>
      </c>
      <c r="B2061" s="325" t="s">
        <v>880</v>
      </c>
      <c r="C2061" s="325" t="s">
        <v>752</v>
      </c>
      <c r="D2061" s="325" t="s">
        <v>409</v>
      </c>
      <c r="E2061" s="325" t="s">
        <v>442</v>
      </c>
      <c r="F2061" s="325" t="s">
        <v>336</v>
      </c>
    </row>
    <row r="2062" spans="1:6" x14ac:dyDescent="0.2">
      <c r="A2062" s="325" t="s">
        <v>677</v>
      </c>
      <c r="B2062" s="325" t="s">
        <v>881</v>
      </c>
      <c r="C2062" s="325" t="s">
        <v>752</v>
      </c>
      <c r="D2062" s="325" t="s">
        <v>72</v>
      </c>
      <c r="E2062" s="325" t="s">
        <v>265</v>
      </c>
      <c r="F2062" s="325" t="s">
        <v>451</v>
      </c>
    </row>
    <row r="2063" spans="1:6" x14ac:dyDescent="0.2">
      <c r="A2063" s="325" t="s">
        <v>677</v>
      </c>
      <c r="B2063" s="325" t="s">
        <v>882</v>
      </c>
      <c r="C2063" s="325" t="s">
        <v>752</v>
      </c>
      <c r="D2063" s="325" t="s">
        <v>35</v>
      </c>
      <c r="E2063" s="325" t="s">
        <v>265</v>
      </c>
      <c r="F2063" s="325" t="s">
        <v>414</v>
      </c>
    </row>
    <row r="2064" spans="1:6" x14ac:dyDescent="0.2">
      <c r="A2064" s="325" t="s">
        <v>677</v>
      </c>
      <c r="B2064" s="325" t="s">
        <v>883</v>
      </c>
      <c r="C2064" s="325" t="s">
        <v>752</v>
      </c>
      <c r="D2064" s="325" t="s">
        <v>391</v>
      </c>
      <c r="E2064" s="325" t="s">
        <v>456</v>
      </c>
      <c r="F2064" s="325" t="s">
        <v>62</v>
      </c>
    </row>
    <row r="2065" spans="1:6" x14ac:dyDescent="0.2">
      <c r="A2065" s="325" t="s">
        <v>677</v>
      </c>
      <c r="B2065" s="325" t="s">
        <v>884</v>
      </c>
      <c r="C2065" s="325" t="s">
        <v>752</v>
      </c>
      <c r="D2065" s="325" t="s">
        <v>12</v>
      </c>
      <c r="E2065" s="325" t="s">
        <v>456</v>
      </c>
      <c r="F2065" s="325" t="s">
        <v>148</v>
      </c>
    </row>
    <row r="2066" spans="1:6" x14ac:dyDescent="0.2">
      <c r="A2066" s="325" t="s">
        <v>677</v>
      </c>
      <c r="B2066" s="325" t="s">
        <v>885</v>
      </c>
      <c r="C2066" s="325" t="s">
        <v>752</v>
      </c>
      <c r="D2066" s="325" t="s">
        <v>149</v>
      </c>
      <c r="E2066" s="325" t="s">
        <v>456</v>
      </c>
      <c r="F2066" s="325" t="s">
        <v>8</v>
      </c>
    </row>
    <row r="2067" spans="1:6" x14ac:dyDescent="0.2">
      <c r="A2067" s="325" t="s">
        <v>677</v>
      </c>
      <c r="B2067" s="325" t="s">
        <v>886</v>
      </c>
      <c r="C2067" s="325" t="s">
        <v>752</v>
      </c>
      <c r="D2067" s="325" t="s">
        <v>538</v>
      </c>
      <c r="E2067" s="325" t="s">
        <v>456</v>
      </c>
      <c r="F2067" s="325" t="s">
        <v>475</v>
      </c>
    </row>
    <row r="2068" spans="1:6" x14ac:dyDescent="0.2">
      <c r="A2068" s="325" t="s">
        <v>677</v>
      </c>
      <c r="B2068" s="325" t="s">
        <v>887</v>
      </c>
      <c r="C2068" s="325" t="s">
        <v>752</v>
      </c>
      <c r="D2068" s="325" t="s">
        <v>422</v>
      </c>
      <c r="E2068" s="325" t="s">
        <v>456</v>
      </c>
      <c r="F2068" s="325" t="s">
        <v>245</v>
      </c>
    </row>
    <row r="2069" spans="1:6" x14ac:dyDescent="0.2">
      <c r="A2069" s="325" t="s">
        <v>677</v>
      </c>
      <c r="B2069" s="325" t="s">
        <v>888</v>
      </c>
      <c r="C2069" s="325" t="s">
        <v>752</v>
      </c>
      <c r="D2069" s="325" t="s">
        <v>337</v>
      </c>
      <c r="E2069" s="325" t="s">
        <v>456</v>
      </c>
      <c r="F2069" s="325" t="s">
        <v>181</v>
      </c>
    </row>
    <row r="2070" spans="1:6" x14ac:dyDescent="0.2">
      <c r="A2070" s="325" t="s">
        <v>677</v>
      </c>
      <c r="B2070" s="325" t="s">
        <v>889</v>
      </c>
      <c r="C2070" s="325" t="s">
        <v>752</v>
      </c>
      <c r="D2070" s="325" t="s">
        <v>712</v>
      </c>
      <c r="E2070" s="325" t="s">
        <v>456</v>
      </c>
      <c r="F2070" s="325" t="s">
        <v>713</v>
      </c>
    </row>
    <row r="2071" spans="1:6" x14ac:dyDescent="0.2">
      <c r="A2071" s="325" t="s">
        <v>677</v>
      </c>
      <c r="B2071" s="325" t="s">
        <v>890</v>
      </c>
      <c r="C2071" s="325" t="s">
        <v>752</v>
      </c>
      <c r="D2071" s="325" t="s">
        <v>31</v>
      </c>
      <c r="E2071" s="325" t="s">
        <v>456</v>
      </c>
      <c r="F2071" s="325" t="s">
        <v>63</v>
      </c>
    </row>
    <row r="2072" spans="1:6" x14ac:dyDescent="0.2">
      <c r="A2072" s="325" t="s">
        <v>677</v>
      </c>
      <c r="B2072" s="325" t="s">
        <v>891</v>
      </c>
      <c r="C2072" s="325" t="s">
        <v>752</v>
      </c>
      <c r="D2072" s="325" t="s">
        <v>515</v>
      </c>
      <c r="E2072" s="325" t="s">
        <v>456</v>
      </c>
      <c r="F2072" s="325" t="s">
        <v>1012</v>
      </c>
    </row>
    <row r="2073" spans="1:6" x14ac:dyDescent="0.2">
      <c r="A2073" s="325" t="s">
        <v>677</v>
      </c>
      <c r="B2073" s="325" t="s">
        <v>892</v>
      </c>
      <c r="C2073" s="325" t="s">
        <v>752</v>
      </c>
      <c r="D2073" s="325" t="s">
        <v>699</v>
      </c>
      <c r="E2073" s="325" t="s">
        <v>265</v>
      </c>
      <c r="F2073" s="325" t="s">
        <v>994</v>
      </c>
    </row>
    <row r="2074" spans="1:6" x14ac:dyDescent="0.2">
      <c r="A2074" s="325" t="s">
        <v>677</v>
      </c>
      <c r="B2074" s="325" t="s">
        <v>893</v>
      </c>
      <c r="C2074" s="325" t="s">
        <v>752</v>
      </c>
      <c r="D2074" s="325" t="s">
        <v>34</v>
      </c>
      <c r="E2074" s="325" t="s">
        <v>456</v>
      </c>
      <c r="F2074" s="325" t="s">
        <v>74</v>
      </c>
    </row>
    <row r="2075" spans="1:6" x14ac:dyDescent="0.2">
      <c r="A2075" s="325" t="s">
        <v>677</v>
      </c>
      <c r="B2075" s="325" t="s">
        <v>894</v>
      </c>
      <c r="C2075" s="325" t="s">
        <v>752</v>
      </c>
      <c r="D2075" s="325" t="s">
        <v>235</v>
      </c>
      <c r="E2075" s="325" t="s">
        <v>456</v>
      </c>
      <c r="F2075" s="325" t="s">
        <v>236</v>
      </c>
    </row>
    <row r="2076" spans="1:6" x14ac:dyDescent="0.2">
      <c r="A2076" s="325" t="s">
        <v>677</v>
      </c>
      <c r="B2076" s="325" t="s">
        <v>895</v>
      </c>
      <c r="C2076" s="325" t="s">
        <v>752</v>
      </c>
      <c r="D2076" s="325" t="s">
        <v>506</v>
      </c>
      <c r="E2076" s="325" t="s">
        <v>456</v>
      </c>
      <c r="F2076" s="325" t="s">
        <v>74</v>
      </c>
    </row>
    <row r="2077" spans="1:6" x14ac:dyDescent="0.2">
      <c r="A2077" s="325" t="s">
        <v>677</v>
      </c>
      <c r="B2077" s="325" t="s">
        <v>896</v>
      </c>
      <c r="C2077" s="325" t="s">
        <v>752</v>
      </c>
      <c r="D2077" s="325" t="s">
        <v>205</v>
      </c>
      <c r="E2077" s="325" t="s">
        <v>456</v>
      </c>
      <c r="F2077" s="325" t="s">
        <v>236</v>
      </c>
    </row>
    <row r="2078" spans="1:6" x14ac:dyDescent="0.2">
      <c r="A2078" s="325" t="s">
        <v>677</v>
      </c>
      <c r="B2078" s="325" t="s">
        <v>897</v>
      </c>
      <c r="C2078" s="325" t="s">
        <v>752</v>
      </c>
      <c r="D2078" s="325" t="s">
        <v>505</v>
      </c>
      <c r="E2078" s="325" t="s">
        <v>456</v>
      </c>
      <c r="F2078" s="325" t="s">
        <v>342</v>
      </c>
    </row>
    <row r="2079" spans="1:6" x14ac:dyDescent="0.2">
      <c r="A2079" s="325" t="s">
        <v>677</v>
      </c>
      <c r="B2079" s="325" t="s">
        <v>898</v>
      </c>
      <c r="C2079" s="325" t="s">
        <v>752</v>
      </c>
      <c r="D2079" s="325" t="s">
        <v>106</v>
      </c>
      <c r="E2079" s="325" t="s">
        <v>456</v>
      </c>
      <c r="F2079" s="325" t="s">
        <v>559</v>
      </c>
    </row>
    <row r="2080" spans="1:6" x14ac:dyDescent="0.2">
      <c r="A2080" s="325" t="s">
        <v>677</v>
      </c>
      <c r="B2080" s="325" t="s">
        <v>899</v>
      </c>
      <c r="C2080" s="325" t="s">
        <v>752</v>
      </c>
      <c r="D2080" s="325" t="s">
        <v>239</v>
      </c>
      <c r="E2080" s="325" t="s">
        <v>456</v>
      </c>
      <c r="F2080" s="325" t="s">
        <v>256</v>
      </c>
    </row>
    <row r="2081" spans="1:6" x14ac:dyDescent="0.2">
      <c r="A2081" s="325" t="s">
        <v>677</v>
      </c>
      <c r="B2081" s="325" t="s">
        <v>901</v>
      </c>
      <c r="C2081" s="325" t="s">
        <v>752</v>
      </c>
      <c r="D2081" s="325" t="s">
        <v>21</v>
      </c>
      <c r="E2081" s="325" t="s">
        <v>265</v>
      </c>
      <c r="F2081" s="325" t="s">
        <v>47</v>
      </c>
    </row>
    <row r="2082" spans="1:6" x14ac:dyDescent="0.2">
      <c r="A2082" s="325" t="s">
        <v>677</v>
      </c>
      <c r="B2082" s="325" t="s">
        <v>902</v>
      </c>
      <c r="C2082" s="325" t="s">
        <v>752</v>
      </c>
      <c r="D2082" s="325" t="s">
        <v>323</v>
      </c>
      <c r="E2082" s="325" t="s">
        <v>265</v>
      </c>
      <c r="F2082" s="325" t="s">
        <v>20</v>
      </c>
    </row>
    <row r="2083" spans="1:6" x14ac:dyDescent="0.2">
      <c r="A2083" s="325" t="s">
        <v>677</v>
      </c>
      <c r="B2083" s="325" t="s">
        <v>903</v>
      </c>
      <c r="C2083" s="325" t="s">
        <v>752</v>
      </c>
      <c r="D2083" s="325" t="s">
        <v>447</v>
      </c>
      <c r="E2083" s="325" t="s">
        <v>265</v>
      </c>
      <c r="F2083" s="325" t="s">
        <v>741</v>
      </c>
    </row>
    <row r="2084" spans="1:6" x14ac:dyDescent="0.2">
      <c r="A2084" s="325" t="s">
        <v>677</v>
      </c>
      <c r="B2084" s="325" t="s">
        <v>904</v>
      </c>
      <c r="C2084" s="325" t="s">
        <v>752</v>
      </c>
      <c r="D2084" s="325" t="s">
        <v>742</v>
      </c>
      <c r="E2084" s="325" t="s">
        <v>456</v>
      </c>
      <c r="F2084" s="325" t="s">
        <v>743</v>
      </c>
    </row>
    <row r="2085" spans="1:6" x14ac:dyDescent="0.2">
      <c r="A2085" s="325" t="s">
        <v>677</v>
      </c>
      <c r="B2085" s="325" t="s">
        <v>905</v>
      </c>
      <c r="C2085" s="325" t="s">
        <v>752</v>
      </c>
      <c r="D2085" s="325" t="s">
        <v>32</v>
      </c>
      <c r="E2085" s="325" t="s">
        <v>456</v>
      </c>
      <c r="F2085" s="325" t="s">
        <v>995</v>
      </c>
    </row>
    <row r="2086" spans="1:6" x14ac:dyDescent="0.2">
      <c r="A2086" s="325" t="s">
        <v>677</v>
      </c>
      <c r="B2086" s="325" t="s">
        <v>906</v>
      </c>
      <c r="C2086" s="325" t="s">
        <v>752</v>
      </c>
      <c r="D2086" s="325" t="s">
        <v>679</v>
      </c>
      <c r="E2086" s="325" t="s">
        <v>265</v>
      </c>
      <c r="F2086" s="325" t="s">
        <v>682</v>
      </c>
    </row>
    <row r="2087" spans="1:6" x14ac:dyDescent="0.2">
      <c r="A2087" s="325" t="s">
        <v>677</v>
      </c>
      <c r="B2087" s="325" t="s">
        <v>907</v>
      </c>
      <c r="C2087" s="325" t="s">
        <v>752</v>
      </c>
      <c r="D2087" s="325" t="s">
        <v>533</v>
      </c>
      <c r="E2087" s="325" t="s">
        <v>456</v>
      </c>
      <c r="F2087" s="325" t="s">
        <v>165</v>
      </c>
    </row>
    <row r="2088" spans="1:6" x14ac:dyDescent="0.2">
      <c r="A2088" s="325" t="s">
        <v>677</v>
      </c>
      <c r="B2088" s="325" t="s">
        <v>908</v>
      </c>
      <c r="C2088" s="325" t="s">
        <v>752</v>
      </c>
      <c r="D2088" s="325" t="s">
        <v>100</v>
      </c>
      <c r="E2088" s="325" t="s">
        <v>456</v>
      </c>
      <c r="F2088" s="325" t="s">
        <v>535</v>
      </c>
    </row>
    <row r="2089" spans="1:6" x14ac:dyDescent="0.2">
      <c r="A2089" s="325" t="s">
        <v>677</v>
      </c>
      <c r="B2089" s="325" t="s">
        <v>909</v>
      </c>
      <c r="C2089" s="325" t="s">
        <v>752</v>
      </c>
      <c r="D2089" s="325" t="s">
        <v>375</v>
      </c>
      <c r="E2089" s="325" t="s">
        <v>456</v>
      </c>
      <c r="F2089" s="325" t="s">
        <v>311</v>
      </c>
    </row>
    <row r="2090" spans="1:6" x14ac:dyDescent="0.2">
      <c r="A2090" s="325" t="s">
        <v>677</v>
      </c>
      <c r="B2090" s="325" t="s">
        <v>910</v>
      </c>
      <c r="C2090" s="325" t="s">
        <v>752</v>
      </c>
      <c r="D2090" s="325" t="s">
        <v>395</v>
      </c>
      <c r="E2090" s="325" t="s">
        <v>456</v>
      </c>
      <c r="F2090" s="325" t="s">
        <v>588</v>
      </c>
    </row>
    <row r="2091" spans="1:6" x14ac:dyDescent="0.2">
      <c r="A2091" s="325" t="s">
        <v>677</v>
      </c>
      <c r="B2091" s="325" t="s">
        <v>911</v>
      </c>
      <c r="C2091" s="325" t="s">
        <v>752</v>
      </c>
      <c r="D2091" s="325" t="s">
        <v>499</v>
      </c>
      <c r="E2091" s="325" t="s">
        <v>456</v>
      </c>
      <c r="F2091" s="325" t="s">
        <v>314</v>
      </c>
    </row>
    <row r="2092" spans="1:6" x14ac:dyDescent="0.2">
      <c r="A2092" s="325" t="s">
        <v>677</v>
      </c>
      <c r="B2092" s="325" t="s">
        <v>934</v>
      </c>
      <c r="C2092" s="325" t="s">
        <v>752</v>
      </c>
      <c r="D2092" s="325" t="s">
        <v>681</v>
      </c>
      <c r="E2092" s="325" t="s">
        <v>265</v>
      </c>
      <c r="F2092" s="325" t="s">
        <v>684</v>
      </c>
    </row>
    <row r="2093" spans="1:6" x14ac:dyDescent="0.2">
      <c r="A2093" s="325" t="s">
        <v>677</v>
      </c>
      <c r="B2093" s="325" t="s">
        <v>971</v>
      </c>
      <c r="C2093" s="325" t="s">
        <v>752</v>
      </c>
      <c r="D2093" s="325" t="s">
        <v>413</v>
      </c>
      <c r="E2093" s="325" t="s">
        <v>265</v>
      </c>
      <c r="F2093" s="325" t="s">
        <v>273</v>
      </c>
    </row>
    <row r="2094" spans="1:6" x14ac:dyDescent="0.2">
      <c r="A2094" s="325" t="s">
        <v>677</v>
      </c>
      <c r="B2094" s="325" t="s">
        <v>974</v>
      </c>
      <c r="C2094" s="325" t="s">
        <v>752</v>
      </c>
      <c r="D2094" s="325" t="s">
        <v>270</v>
      </c>
      <c r="E2094" s="325" t="s">
        <v>442</v>
      </c>
      <c r="F2094" s="325" t="s">
        <v>266</v>
      </c>
    </row>
    <row r="2095" spans="1:6" x14ac:dyDescent="0.2">
      <c r="A2095" s="325" t="s">
        <v>677</v>
      </c>
      <c r="B2095" s="325" t="s">
        <v>975</v>
      </c>
      <c r="C2095" s="325" t="s">
        <v>752</v>
      </c>
      <c r="D2095" s="325" t="s">
        <v>283</v>
      </c>
      <c r="E2095" s="325" t="s">
        <v>265</v>
      </c>
      <c r="F2095" s="325" t="s">
        <v>53</v>
      </c>
    </row>
    <row r="2096" spans="1:6" x14ac:dyDescent="0.2">
      <c r="A2096" s="325" t="s">
        <v>677</v>
      </c>
      <c r="B2096" s="325" t="s">
        <v>976</v>
      </c>
      <c r="C2096" s="325" t="s">
        <v>752</v>
      </c>
      <c r="D2096" s="325" t="s">
        <v>542</v>
      </c>
      <c r="E2096" s="325" t="s">
        <v>265</v>
      </c>
      <c r="F2096" s="325" t="s">
        <v>372</v>
      </c>
    </row>
    <row r="2097" spans="1:6" x14ac:dyDescent="0.2">
      <c r="A2097" s="325" t="s">
        <v>677</v>
      </c>
      <c r="B2097" s="325" t="s">
        <v>977</v>
      </c>
      <c r="C2097" s="325" t="s">
        <v>752</v>
      </c>
      <c r="D2097" s="325" t="s">
        <v>576</v>
      </c>
      <c r="E2097" s="325" t="s">
        <v>265</v>
      </c>
      <c r="F2097" s="325" t="s">
        <v>333</v>
      </c>
    </row>
    <row r="2098" spans="1:6" x14ac:dyDescent="0.2">
      <c r="A2098" s="325" t="s">
        <v>677</v>
      </c>
      <c r="B2098" s="325" t="s">
        <v>793</v>
      </c>
      <c r="C2098" s="325" t="s">
        <v>788</v>
      </c>
      <c r="D2098" s="325" t="s">
        <v>654</v>
      </c>
      <c r="E2098" s="325" t="s">
        <v>265</v>
      </c>
      <c r="F2098" s="325" t="s">
        <v>998</v>
      </c>
    </row>
    <row r="2099" spans="1:6" x14ac:dyDescent="0.2">
      <c r="A2099" s="325" t="s">
        <v>677</v>
      </c>
      <c r="B2099" s="325" t="s">
        <v>794</v>
      </c>
      <c r="C2099" s="325" t="s">
        <v>788</v>
      </c>
      <c r="D2099" s="325" t="s">
        <v>510</v>
      </c>
      <c r="E2099" s="325" t="s">
        <v>265</v>
      </c>
      <c r="F2099" s="325" t="s">
        <v>999</v>
      </c>
    </row>
    <row r="2100" spans="1:6" x14ac:dyDescent="0.2">
      <c r="A2100" s="325" t="s">
        <v>677</v>
      </c>
      <c r="B2100" s="325" t="s">
        <v>795</v>
      </c>
      <c r="C2100" s="325" t="s">
        <v>788</v>
      </c>
      <c r="D2100" s="325" t="s">
        <v>400</v>
      </c>
      <c r="E2100" s="325" t="s">
        <v>265</v>
      </c>
      <c r="F2100" s="325" t="s">
        <v>1001</v>
      </c>
    </row>
    <row r="2101" spans="1:6" x14ac:dyDescent="0.2">
      <c r="A2101" s="325" t="s">
        <v>677</v>
      </c>
      <c r="B2101" s="325" t="s">
        <v>796</v>
      </c>
      <c r="C2101" s="325" t="s">
        <v>788</v>
      </c>
      <c r="D2101" s="325" t="s">
        <v>302</v>
      </c>
      <c r="E2101" s="325" t="s">
        <v>265</v>
      </c>
      <c r="F2101" s="325" t="s">
        <v>1000</v>
      </c>
    </row>
    <row r="2102" spans="1:6" x14ac:dyDescent="0.2">
      <c r="A2102" s="325" t="s">
        <v>677</v>
      </c>
      <c r="B2102" s="325" t="s">
        <v>797</v>
      </c>
      <c r="C2102" s="325" t="s">
        <v>788</v>
      </c>
      <c r="D2102" s="325" t="s">
        <v>28</v>
      </c>
      <c r="E2102" s="325" t="s">
        <v>442</v>
      </c>
      <c r="F2102" s="325" t="s">
        <v>1008</v>
      </c>
    </row>
    <row r="2103" spans="1:6" x14ac:dyDescent="0.2">
      <c r="A2103" s="325" t="s">
        <v>677</v>
      </c>
      <c r="B2103" s="325" t="s">
        <v>798</v>
      </c>
      <c r="C2103" s="325" t="s">
        <v>788</v>
      </c>
      <c r="D2103" s="325" t="s">
        <v>67</v>
      </c>
      <c r="E2103" s="325" t="s">
        <v>556</v>
      </c>
      <c r="F2103" s="325" t="s">
        <v>1009</v>
      </c>
    </row>
    <row r="2104" spans="1:6" x14ac:dyDescent="0.2">
      <c r="A2104" s="325" t="s">
        <v>677</v>
      </c>
      <c r="B2104" s="325" t="s">
        <v>799</v>
      </c>
      <c r="C2104" s="325" t="s">
        <v>788</v>
      </c>
      <c r="D2104" s="325" t="s">
        <v>168</v>
      </c>
      <c r="E2104" s="325" t="s">
        <v>265</v>
      </c>
      <c r="F2104" s="325" t="s">
        <v>145</v>
      </c>
    </row>
    <row r="2105" spans="1:6" x14ac:dyDescent="0.2">
      <c r="A2105" s="325" t="s">
        <v>677</v>
      </c>
      <c r="B2105" s="325" t="s">
        <v>800</v>
      </c>
      <c r="C2105" s="325" t="s">
        <v>788</v>
      </c>
      <c r="D2105" s="325" t="s">
        <v>310</v>
      </c>
      <c r="E2105" s="325" t="s">
        <v>265</v>
      </c>
      <c r="F2105" s="325" t="s">
        <v>350</v>
      </c>
    </row>
    <row r="2106" spans="1:6" x14ac:dyDescent="0.2">
      <c r="A2106" s="325" t="s">
        <v>677</v>
      </c>
      <c r="B2106" s="325" t="s">
        <v>801</v>
      </c>
      <c r="C2106" s="325" t="s">
        <v>788</v>
      </c>
      <c r="D2106" s="325" t="s">
        <v>87</v>
      </c>
      <c r="E2106" s="325" t="s">
        <v>265</v>
      </c>
      <c r="F2106" s="325" t="s">
        <v>79</v>
      </c>
    </row>
    <row r="2107" spans="1:6" x14ac:dyDescent="0.2">
      <c r="A2107" s="325" t="s">
        <v>677</v>
      </c>
      <c r="B2107" s="325" t="s">
        <v>802</v>
      </c>
      <c r="C2107" s="325" t="s">
        <v>788</v>
      </c>
      <c r="D2107" s="325" t="s">
        <v>228</v>
      </c>
      <c r="E2107" s="325" t="s">
        <v>265</v>
      </c>
      <c r="F2107" s="325" t="s">
        <v>331</v>
      </c>
    </row>
    <row r="2108" spans="1:6" x14ac:dyDescent="0.2">
      <c r="A2108" s="325" t="s">
        <v>677</v>
      </c>
      <c r="B2108" s="325" t="s">
        <v>803</v>
      </c>
      <c r="C2108" s="325" t="s">
        <v>788</v>
      </c>
      <c r="D2108" s="325" t="s">
        <v>144</v>
      </c>
      <c r="E2108" s="325" t="s">
        <v>265</v>
      </c>
      <c r="F2108" s="325" t="s">
        <v>340</v>
      </c>
    </row>
    <row r="2109" spans="1:6" x14ac:dyDescent="0.2">
      <c r="A2109" s="325" t="s">
        <v>677</v>
      </c>
      <c r="B2109" s="325" t="s">
        <v>804</v>
      </c>
      <c r="C2109" s="325" t="s">
        <v>788</v>
      </c>
      <c r="D2109" s="325" t="s">
        <v>429</v>
      </c>
      <c r="E2109" s="325" t="s">
        <v>265</v>
      </c>
      <c r="F2109" s="325" t="s">
        <v>263</v>
      </c>
    </row>
    <row r="2110" spans="1:6" x14ac:dyDescent="0.2">
      <c r="A2110" s="325" t="s">
        <v>677</v>
      </c>
      <c r="B2110" s="325" t="s">
        <v>805</v>
      </c>
      <c r="C2110" s="325" t="s">
        <v>788</v>
      </c>
      <c r="D2110" s="325" t="s">
        <v>182</v>
      </c>
      <c r="E2110" s="325" t="s">
        <v>265</v>
      </c>
      <c r="F2110" s="325" t="s">
        <v>223</v>
      </c>
    </row>
    <row r="2111" spans="1:6" x14ac:dyDescent="0.2">
      <c r="A2111" s="325" t="s">
        <v>677</v>
      </c>
      <c r="B2111" s="325" t="s">
        <v>806</v>
      </c>
      <c r="C2111" s="325" t="s">
        <v>788</v>
      </c>
      <c r="D2111" s="325" t="s">
        <v>298</v>
      </c>
      <c r="E2111" s="325" t="s">
        <v>265</v>
      </c>
      <c r="F2111" s="325" t="s">
        <v>423</v>
      </c>
    </row>
    <row r="2112" spans="1:6" x14ac:dyDescent="0.2">
      <c r="A2112" s="325" t="s">
        <v>677</v>
      </c>
      <c r="B2112" s="325" t="s">
        <v>807</v>
      </c>
      <c r="C2112" s="325" t="s">
        <v>788</v>
      </c>
      <c r="D2112" s="325" t="s">
        <v>571</v>
      </c>
      <c r="E2112" s="325" t="s">
        <v>265</v>
      </c>
      <c r="F2112" s="325" t="s">
        <v>258</v>
      </c>
    </row>
    <row r="2113" spans="1:6" x14ac:dyDescent="0.2">
      <c r="A2113" s="325" t="s">
        <v>677</v>
      </c>
      <c r="B2113" s="325" t="s">
        <v>808</v>
      </c>
      <c r="C2113" s="325" t="s">
        <v>788</v>
      </c>
      <c r="D2113" s="325" t="s">
        <v>156</v>
      </c>
      <c r="E2113" s="325" t="s">
        <v>265</v>
      </c>
      <c r="F2113" s="325" t="s">
        <v>226</v>
      </c>
    </row>
    <row r="2114" spans="1:6" x14ac:dyDescent="0.2">
      <c r="A2114" s="325" t="s">
        <v>677</v>
      </c>
      <c r="B2114" s="325" t="s">
        <v>809</v>
      </c>
      <c r="C2114" s="325" t="s">
        <v>788</v>
      </c>
      <c r="D2114" s="325" t="s">
        <v>299</v>
      </c>
      <c r="E2114" s="325" t="s">
        <v>265</v>
      </c>
      <c r="F2114" s="325" t="s">
        <v>3</v>
      </c>
    </row>
    <row r="2115" spans="1:6" x14ac:dyDescent="0.2">
      <c r="A2115" s="325" t="s">
        <v>677</v>
      </c>
      <c r="B2115" s="325" t="s">
        <v>810</v>
      </c>
      <c r="C2115" s="325" t="s">
        <v>788</v>
      </c>
      <c r="D2115" s="325" t="s">
        <v>164</v>
      </c>
      <c r="E2115" s="325" t="s">
        <v>265</v>
      </c>
      <c r="F2115" s="325" t="s">
        <v>524</v>
      </c>
    </row>
    <row r="2116" spans="1:6" x14ac:dyDescent="0.2">
      <c r="A2116" s="325" t="s">
        <v>677</v>
      </c>
      <c r="B2116" s="325" t="s">
        <v>811</v>
      </c>
      <c r="C2116" s="325" t="s">
        <v>788</v>
      </c>
      <c r="D2116" s="325" t="s">
        <v>403</v>
      </c>
      <c r="E2116" s="325" t="s">
        <v>265</v>
      </c>
      <c r="F2116" s="325" t="s">
        <v>195</v>
      </c>
    </row>
    <row r="2117" spans="1:6" x14ac:dyDescent="0.2">
      <c r="A2117" s="325" t="s">
        <v>677</v>
      </c>
      <c r="B2117" s="325" t="s">
        <v>812</v>
      </c>
      <c r="C2117" s="325" t="s">
        <v>788</v>
      </c>
      <c r="D2117" s="325" t="s">
        <v>367</v>
      </c>
      <c r="E2117" s="325" t="s">
        <v>265</v>
      </c>
      <c r="F2117" s="325" t="s">
        <v>461</v>
      </c>
    </row>
    <row r="2118" spans="1:6" x14ac:dyDescent="0.2">
      <c r="A2118" s="325" t="s">
        <v>677</v>
      </c>
      <c r="B2118" s="325" t="s">
        <v>813</v>
      </c>
      <c r="C2118" s="325" t="s">
        <v>788</v>
      </c>
      <c r="D2118" s="325" t="s">
        <v>105</v>
      </c>
      <c r="E2118" s="325" t="s">
        <v>265</v>
      </c>
      <c r="F2118" s="325" t="s">
        <v>393</v>
      </c>
    </row>
    <row r="2119" spans="1:6" x14ac:dyDescent="0.2">
      <c r="A2119" s="325" t="s">
        <v>677</v>
      </c>
      <c r="B2119" s="325" t="s">
        <v>814</v>
      </c>
      <c r="C2119" s="325" t="s">
        <v>788</v>
      </c>
      <c r="D2119" s="325" t="s">
        <v>520</v>
      </c>
      <c r="E2119" s="325" t="s">
        <v>265</v>
      </c>
      <c r="F2119" s="325" t="s">
        <v>277</v>
      </c>
    </row>
    <row r="2120" spans="1:6" x14ac:dyDescent="0.2">
      <c r="A2120" s="325" t="s">
        <v>677</v>
      </c>
      <c r="B2120" s="325" t="s">
        <v>815</v>
      </c>
      <c r="C2120" s="325" t="s">
        <v>788</v>
      </c>
      <c r="D2120" s="325" t="s">
        <v>469</v>
      </c>
      <c r="E2120" s="325" t="s">
        <v>265</v>
      </c>
      <c r="F2120" s="325" t="s">
        <v>452</v>
      </c>
    </row>
    <row r="2121" spans="1:6" x14ac:dyDescent="0.2">
      <c r="A2121" s="325" t="s">
        <v>677</v>
      </c>
      <c r="B2121" s="325" t="s">
        <v>816</v>
      </c>
      <c r="C2121" s="325" t="s">
        <v>788</v>
      </c>
      <c r="D2121" s="325" t="s">
        <v>432</v>
      </c>
      <c r="E2121" s="325" t="s">
        <v>265</v>
      </c>
      <c r="F2121" s="325" t="s">
        <v>489</v>
      </c>
    </row>
    <row r="2122" spans="1:6" x14ac:dyDescent="0.2">
      <c r="A2122" s="325" t="s">
        <v>677</v>
      </c>
      <c r="B2122" s="325" t="s">
        <v>817</v>
      </c>
      <c r="C2122" s="325" t="s">
        <v>788</v>
      </c>
      <c r="D2122" s="325" t="s">
        <v>75</v>
      </c>
      <c r="E2122" s="325" t="s">
        <v>265</v>
      </c>
      <c r="F2122" s="325" t="s">
        <v>288</v>
      </c>
    </row>
    <row r="2123" spans="1:6" x14ac:dyDescent="0.2">
      <c r="A2123" s="325" t="s">
        <v>677</v>
      </c>
      <c r="B2123" s="325" t="s">
        <v>818</v>
      </c>
      <c r="C2123" s="325" t="s">
        <v>788</v>
      </c>
      <c r="D2123" s="325" t="s">
        <v>666</v>
      </c>
      <c r="E2123" s="325" t="s">
        <v>556</v>
      </c>
      <c r="F2123" s="325" t="s">
        <v>665</v>
      </c>
    </row>
    <row r="2124" spans="1:6" x14ac:dyDescent="0.2">
      <c r="A2124" s="325" t="s">
        <v>677</v>
      </c>
      <c r="B2124" s="325" t="s">
        <v>819</v>
      </c>
      <c r="C2124" s="325" t="s">
        <v>788</v>
      </c>
      <c r="D2124" s="325" t="s">
        <v>111</v>
      </c>
      <c r="E2124" s="325" t="s">
        <v>265</v>
      </c>
      <c r="F2124" s="325" t="s">
        <v>261</v>
      </c>
    </row>
    <row r="2125" spans="1:6" x14ac:dyDescent="0.2">
      <c r="A2125" s="325" t="s">
        <v>677</v>
      </c>
      <c r="B2125" s="325" t="s">
        <v>820</v>
      </c>
      <c r="C2125" s="325" t="s">
        <v>788</v>
      </c>
      <c r="D2125" s="325" t="s">
        <v>289</v>
      </c>
      <c r="E2125" s="325" t="s">
        <v>265</v>
      </c>
      <c r="F2125" s="325" t="s">
        <v>674</v>
      </c>
    </row>
    <row r="2126" spans="1:6" x14ac:dyDescent="0.2">
      <c r="A2126" s="325" t="s">
        <v>677</v>
      </c>
      <c r="B2126" s="325" t="s">
        <v>821</v>
      </c>
      <c r="C2126" s="325" t="s">
        <v>788</v>
      </c>
      <c r="D2126" s="325" t="s">
        <v>308</v>
      </c>
      <c r="E2126" s="325" t="s">
        <v>265</v>
      </c>
      <c r="F2126" s="325" t="s">
        <v>675</v>
      </c>
    </row>
    <row r="2127" spans="1:6" x14ac:dyDescent="0.2">
      <c r="A2127" s="325" t="s">
        <v>677</v>
      </c>
      <c r="B2127" s="325" t="s">
        <v>822</v>
      </c>
      <c r="C2127" s="325" t="s">
        <v>788</v>
      </c>
      <c r="D2127" s="325" t="s">
        <v>411</v>
      </c>
      <c r="E2127" s="325" t="s">
        <v>265</v>
      </c>
      <c r="F2127" s="325" t="s">
        <v>115</v>
      </c>
    </row>
    <row r="2128" spans="1:6" x14ac:dyDescent="0.2">
      <c r="A2128" s="325" t="s">
        <v>677</v>
      </c>
      <c r="B2128" s="325" t="s">
        <v>823</v>
      </c>
      <c r="C2128" s="325" t="s">
        <v>788</v>
      </c>
      <c r="D2128" s="325" t="s">
        <v>425</v>
      </c>
      <c r="E2128" s="325" t="s">
        <v>265</v>
      </c>
      <c r="F2128" s="325" t="s">
        <v>364</v>
      </c>
    </row>
    <row r="2129" spans="1:6" x14ac:dyDescent="0.2">
      <c r="A2129" s="325" t="s">
        <v>677</v>
      </c>
      <c r="B2129" s="325" t="s">
        <v>824</v>
      </c>
      <c r="C2129" s="325" t="s">
        <v>788</v>
      </c>
      <c r="D2129" s="325" t="s">
        <v>431</v>
      </c>
      <c r="E2129" s="325" t="s">
        <v>265</v>
      </c>
      <c r="F2129" s="325" t="s">
        <v>464</v>
      </c>
    </row>
    <row r="2130" spans="1:6" x14ac:dyDescent="0.2">
      <c r="A2130" s="325" t="s">
        <v>677</v>
      </c>
      <c r="B2130" s="325" t="s">
        <v>825</v>
      </c>
      <c r="C2130" s="325" t="s">
        <v>788</v>
      </c>
      <c r="D2130" s="325" t="s">
        <v>696</v>
      </c>
      <c r="E2130" s="325" t="s">
        <v>265</v>
      </c>
      <c r="F2130" s="325" t="s">
        <v>1010</v>
      </c>
    </row>
    <row r="2131" spans="1:6" x14ac:dyDescent="0.2">
      <c r="A2131" s="325" t="s">
        <v>677</v>
      </c>
      <c r="B2131" s="325" t="s">
        <v>826</v>
      </c>
      <c r="C2131" s="325" t="s">
        <v>788</v>
      </c>
      <c r="D2131" s="325" t="s">
        <v>15</v>
      </c>
      <c r="E2131" s="325" t="s">
        <v>265</v>
      </c>
      <c r="F2131" s="325" t="s">
        <v>446</v>
      </c>
    </row>
    <row r="2132" spans="1:6" x14ac:dyDescent="0.2">
      <c r="A2132" s="325" t="s">
        <v>677</v>
      </c>
      <c r="B2132" s="325" t="s">
        <v>827</v>
      </c>
      <c r="C2132" s="325" t="s">
        <v>788</v>
      </c>
      <c r="D2132" s="325" t="s">
        <v>551</v>
      </c>
      <c r="E2132" s="325" t="s">
        <v>265</v>
      </c>
      <c r="F2132" s="325" t="s">
        <v>10</v>
      </c>
    </row>
    <row r="2133" spans="1:6" x14ac:dyDescent="0.2">
      <c r="A2133" s="325" t="s">
        <v>677</v>
      </c>
      <c r="B2133" s="325" t="s">
        <v>828</v>
      </c>
      <c r="C2133" s="325" t="s">
        <v>788</v>
      </c>
      <c r="D2133" s="325" t="s">
        <v>9</v>
      </c>
      <c r="E2133" s="325" t="s">
        <v>265</v>
      </c>
      <c r="F2133" s="325" t="s">
        <v>189</v>
      </c>
    </row>
    <row r="2134" spans="1:6" x14ac:dyDescent="0.2">
      <c r="A2134" s="325" t="s">
        <v>677</v>
      </c>
      <c r="B2134" s="325" t="s">
        <v>829</v>
      </c>
      <c r="C2134" s="325" t="s">
        <v>788</v>
      </c>
      <c r="D2134" s="325" t="s">
        <v>566</v>
      </c>
      <c r="E2134" s="325" t="s">
        <v>265</v>
      </c>
      <c r="F2134" s="325" t="s">
        <v>135</v>
      </c>
    </row>
    <row r="2135" spans="1:6" x14ac:dyDescent="0.2">
      <c r="A2135" s="325" t="s">
        <v>677</v>
      </c>
      <c r="B2135" s="325" t="s">
        <v>830</v>
      </c>
      <c r="C2135" s="325" t="s">
        <v>788</v>
      </c>
      <c r="D2135" s="325" t="s">
        <v>412</v>
      </c>
      <c r="E2135" s="325" t="s">
        <v>456</v>
      </c>
      <c r="F2135" s="325" t="s">
        <v>128</v>
      </c>
    </row>
    <row r="2136" spans="1:6" x14ac:dyDescent="0.2">
      <c r="A2136" s="325" t="s">
        <v>677</v>
      </c>
      <c r="B2136" s="325" t="s">
        <v>831</v>
      </c>
      <c r="C2136" s="325" t="s">
        <v>788</v>
      </c>
      <c r="D2136" s="325" t="s">
        <v>369</v>
      </c>
      <c r="E2136" s="325" t="s">
        <v>456</v>
      </c>
      <c r="F2136" s="325" t="s">
        <v>496</v>
      </c>
    </row>
    <row r="2137" spans="1:6" x14ac:dyDescent="0.2">
      <c r="A2137" s="325" t="s">
        <v>677</v>
      </c>
      <c r="B2137" s="325" t="s">
        <v>832</v>
      </c>
      <c r="C2137" s="325" t="s">
        <v>788</v>
      </c>
      <c r="D2137" s="325" t="s">
        <v>348</v>
      </c>
      <c r="E2137" s="325" t="s">
        <v>265</v>
      </c>
      <c r="F2137" s="325" t="s">
        <v>293</v>
      </c>
    </row>
    <row r="2138" spans="1:6" x14ac:dyDescent="0.2">
      <c r="A2138" s="325" t="s">
        <v>677</v>
      </c>
      <c r="B2138" s="325" t="s">
        <v>833</v>
      </c>
      <c r="C2138" s="325" t="s">
        <v>788</v>
      </c>
      <c r="D2138" s="325" t="s">
        <v>244</v>
      </c>
      <c r="E2138" s="325" t="s">
        <v>265</v>
      </c>
      <c r="F2138" s="325" t="s">
        <v>543</v>
      </c>
    </row>
    <row r="2139" spans="1:6" x14ac:dyDescent="0.2">
      <c r="A2139" s="325" t="s">
        <v>677</v>
      </c>
      <c r="B2139" s="325" t="s">
        <v>834</v>
      </c>
      <c r="C2139" s="325" t="s">
        <v>788</v>
      </c>
      <c r="D2139" s="325" t="s">
        <v>488</v>
      </c>
      <c r="E2139" s="325" t="s">
        <v>265</v>
      </c>
      <c r="F2139" s="325" t="s">
        <v>545</v>
      </c>
    </row>
    <row r="2140" spans="1:6" x14ac:dyDescent="0.2">
      <c r="A2140" s="325" t="s">
        <v>677</v>
      </c>
      <c r="B2140" s="325" t="s">
        <v>835</v>
      </c>
      <c r="C2140" s="325" t="s">
        <v>788</v>
      </c>
      <c r="D2140" s="325" t="s">
        <v>397</v>
      </c>
      <c r="E2140" s="325" t="s">
        <v>265</v>
      </c>
      <c r="F2140" s="325" t="s">
        <v>88</v>
      </c>
    </row>
    <row r="2141" spans="1:6" x14ac:dyDescent="0.2">
      <c r="A2141" s="325" t="s">
        <v>677</v>
      </c>
      <c r="B2141" s="325" t="s">
        <v>836</v>
      </c>
      <c r="C2141" s="325" t="s">
        <v>788</v>
      </c>
      <c r="D2141" s="325" t="s">
        <v>440</v>
      </c>
      <c r="E2141" s="325" t="s">
        <v>265</v>
      </c>
      <c r="F2141" s="325" t="s">
        <v>368</v>
      </c>
    </row>
    <row r="2142" spans="1:6" x14ac:dyDescent="0.2">
      <c r="A2142" s="325" t="s">
        <v>677</v>
      </c>
      <c r="B2142" s="325" t="s">
        <v>837</v>
      </c>
      <c r="C2142" s="325" t="s">
        <v>788</v>
      </c>
      <c r="D2142" s="325" t="s">
        <v>445</v>
      </c>
      <c r="E2142" s="325" t="s">
        <v>265</v>
      </c>
      <c r="F2142" s="325" t="s">
        <v>238</v>
      </c>
    </row>
    <row r="2143" spans="1:6" x14ac:dyDescent="0.2">
      <c r="A2143" s="325" t="s">
        <v>677</v>
      </c>
      <c r="B2143" s="325" t="s">
        <v>838</v>
      </c>
      <c r="C2143" s="325" t="s">
        <v>788</v>
      </c>
      <c r="D2143" s="325" t="s">
        <v>119</v>
      </c>
      <c r="E2143" s="325" t="s">
        <v>265</v>
      </c>
      <c r="F2143" s="325" t="s">
        <v>557</v>
      </c>
    </row>
    <row r="2144" spans="1:6" x14ac:dyDescent="0.2">
      <c r="A2144" s="325" t="s">
        <v>677</v>
      </c>
      <c r="B2144" s="325" t="s">
        <v>839</v>
      </c>
      <c r="C2144" s="325" t="s">
        <v>788</v>
      </c>
      <c r="D2144" s="325" t="s">
        <v>580</v>
      </c>
      <c r="E2144" s="325" t="s">
        <v>265</v>
      </c>
      <c r="F2144" s="325" t="s">
        <v>120</v>
      </c>
    </row>
    <row r="2145" spans="1:6" x14ac:dyDescent="0.2">
      <c r="A2145" s="325" t="s">
        <v>677</v>
      </c>
      <c r="B2145" s="325" t="s">
        <v>840</v>
      </c>
      <c r="C2145" s="325" t="s">
        <v>788</v>
      </c>
      <c r="D2145" s="325" t="s">
        <v>64</v>
      </c>
      <c r="E2145" s="325" t="s">
        <v>265</v>
      </c>
      <c r="F2145" s="325" t="s">
        <v>197</v>
      </c>
    </row>
    <row r="2146" spans="1:6" x14ac:dyDescent="0.2">
      <c r="A2146" s="325" t="s">
        <v>677</v>
      </c>
      <c r="B2146" s="325" t="s">
        <v>841</v>
      </c>
      <c r="C2146" s="325" t="s">
        <v>788</v>
      </c>
      <c r="D2146" s="325" t="s">
        <v>471</v>
      </c>
      <c r="E2146" s="325" t="s">
        <v>265</v>
      </c>
      <c r="F2146" s="325" t="s">
        <v>466</v>
      </c>
    </row>
    <row r="2147" spans="1:6" x14ac:dyDescent="0.2">
      <c r="A2147" s="325" t="s">
        <v>677</v>
      </c>
      <c r="B2147" s="325" t="s">
        <v>842</v>
      </c>
      <c r="C2147" s="325" t="s">
        <v>788</v>
      </c>
      <c r="D2147" s="325" t="s">
        <v>539</v>
      </c>
      <c r="E2147" s="325" t="s">
        <v>265</v>
      </c>
      <c r="F2147" s="325" t="s">
        <v>394</v>
      </c>
    </row>
    <row r="2148" spans="1:6" x14ac:dyDescent="0.2">
      <c r="A2148" s="325" t="s">
        <v>677</v>
      </c>
      <c r="B2148" s="325" t="s">
        <v>843</v>
      </c>
      <c r="C2148" s="325" t="s">
        <v>788</v>
      </c>
      <c r="D2148" s="325" t="s">
        <v>318</v>
      </c>
      <c r="E2148" s="325" t="s">
        <v>265</v>
      </c>
      <c r="F2148" s="325" t="s">
        <v>478</v>
      </c>
    </row>
    <row r="2149" spans="1:6" x14ac:dyDescent="0.2">
      <c r="A2149" s="325" t="s">
        <v>677</v>
      </c>
      <c r="B2149" s="325" t="s">
        <v>844</v>
      </c>
      <c r="C2149" s="325" t="s">
        <v>788</v>
      </c>
      <c r="D2149" s="325" t="s">
        <v>257</v>
      </c>
      <c r="E2149" s="325" t="s">
        <v>265</v>
      </c>
      <c r="F2149" s="325" t="s">
        <v>338</v>
      </c>
    </row>
    <row r="2150" spans="1:6" x14ac:dyDescent="0.2">
      <c r="A2150" s="325" t="s">
        <v>677</v>
      </c>
      <c r="B2150" s="325" t="s">
        <v>845</v>
      </c>
      <c r="C2150" s="325" t="s">
        <v>788</v>
      </c>
      <c r="D2150" s="325" t="s">
        <v>751</v>
      </c>
      <c r="E2150" s="325" t="s">
        <v>265</v>
      </c>
      <c r="F2150" s="325" t="s">
        <v>753</v>
      </c>
    </row>
    <row r="2151" spans="1:6" x14ac:dyDescent="0.2">
      <c r="A2151" s="325" t="s">
        <v>677</v>
      </c>
      <c r="B2151" s="325" t="s">
        <v>846</v>
      </c>
      <c r="C2151" s="325" t="s">
        <v>788</v>
      </c>
      <c r="D2151" s="325" t="s">
        <v>55</v>
      </c>
      <c r="E2151" s="325" t="s">
        <v>265</v>
      </c>
      <c r="F2151" s="325" t="s">
        <v>305</v>
      </c>
    </row>
    <row r="2152" spans="1:6" x14ac:dyDescent="0.2">
      <c r="A2152" s="325" t="s">
        <v>677</v>
      </c>
      <c r="B2152" s="325" t="s">
        <v>847</v>
      </c>
      <c r="C2152" s="325" t="s">
        <v>788</v>
      </c>
      <c r="D2152" s="325" t="s">
        <v>522</v>
      </c>
      <c r="E2152" s="325" t="s">
        <v>265</v>
      </c>
      <c r="F2152" s="325" t="s">
        <v>602</v>
      </c>
    </row>
    <row r="2153" spans="1:6" x14ac:dyDescent="0.2">
      <c r="A2153" s="325" t="s">
        <v>677</v>
      </c>
      <c r="B2153" s="325" t="s">
        <v>848</v>
      </c>
      <c r="C2153" s="325" t="s">
        <v>788</v>
      </c>
      <c r="D2153" s="325" t="s">
        <v>370</v>
      </c>
      <c r="E2153" s="325" t="s">
        <v>265</v>
      </c>
      <c r="F2153" s="325" t="s">
        <v>484</v>
      </c>
    </row>
    <row r="2154" spans="1:6" x14ac:dyDescent="0.2">
      <c r="A2154" s="325" t="s">
        <v>677</v>
      </c>
      <c r="B2154" s="325" t="s">
        <v>849</v>
      </c>
      <c r="C2154" s="325" t="s">
        <v>788</v>
      </c>
      <c r="D2154" s="325" t="s">
        <v>752</v>
      </c>
      <c r="E2154" s="325" t="s">
        <v>265</v>
      </c>
      <c r="F2154" s="325" t="s">
        <v>754</v>
      </c>
    </row>
    <row r="2155" spans="1:6" x14ac:dyDescent="0.2">
      <c r="A2155" s="325" t="s">
        <v>677</v>
      </c>
      <c r="B2155" s="325" t="s">
        <v>850</v>
      </c>
      <c r="C2155" s="325" t="s">
        <v>788</v>
      </c>
      <c r="D2155" s="325" t="s">
        <v>585</v>
      </c>
      <c r="E2155" s="325" t="s">
        <v>265</v>
      </c>
      <c r="F2155" s="325" t="s">
        <v>564</v>
      </c>
    </row>
    <row r="2156" spans="1:6" x14ac:dyDescent="0.2">
      <c r="A2156" s="325" t="s">
        <v>677</v>
      </c>
      <c r="B2156" s="325" t="s">
        <v>851</v>
      </c>
      <c r="C2156" s="325" t="s">
        <v>788</v>
      </c>
      <c r="D2156" s="325" t="s">
        <v>603</v>
      </c>
      <c r="E2156" s="325" t="s">
        <v>265</v>
      </c>
      <c r="F2156" s="325" t="s">
        <v>703</v>
      </c>
    </row>
    <row r="2157" spans="1:6" x14ac:dyDescent="0.2">
      <c r="A2157" s="325" t="s">
        <v>677</v>
      </c>
      <c r="B2157" s="325" t="s">
        <v>852</v>
      </c>
      <c r="C2157" s="325" t="s">
        <v>788</v>
      </c>
      <c r="D2157" s="325" t="s">
        <v>701</v>
      </c>
      <c r="E2157" s="325" t="s">
        <v>442</v>
      </c>
      <c r="F2157" s="325" t="s">
        <v>702</v>
      </c>
    </row>
    <row r="2158" spans="1:6" x14ac:dyDescent="0.2">
      <c r="A2158" s="325" t="s">
        <v>677</v>
      </c>
      <c r="B2158" s="325" t="s">
        <v>853</v>
      </c>
      <c r="C2158" s="325" t="s">
        <v>788</v>
      </c>
      <c r="D2158" s="325" t="s">
        <v>565</v>
      </c>
      <c r="E2158" s="325" t="s">
        <v>265</v>
      </c>
      <c r="F2158" s="325" t="s">
        <v>306</v>
      </c>
    </row>
    <row r="2159" spans="1:6" x14ac:dyDescent="0.2">
      <c r="A2159" s="325" t="s">
        <v>677</v>
      </c>
      <c r="B2159" s="325" t="s">
        <v>854</v>
      </c>
      <c r="C2159" s="325" t="s">
        <v>788</v>
      </c>
      <c r="D2159" s="325" t="s">
        <v>354</v>
      </c>
      <c r="E2159" s="325" t="s">
        <v>265</v>
      </c>
      <c r="F2159" s="325" t="s">
        <v>390</v>
      </c>
    </row>
    <row r="2160" spans="1:6" x14ac:dyDescent="0.2">
      <c r="A2160" s="325" t="s">
        <v>677</v>
      </c>
      <c r="B2160" s="325" t="s">
        <v>855</v>
      </c>
      <c r="C2160" s="325" t="s">
        <v>788</v>
      </c>
      <c r="D2160" s="325" t="s">
        <v>93</v>
      </c>
      <c r="E2160" s="325" t="s">
        <v>265</v>
      </c>
      <c r="F2160" s="325" t="s">
        <v>170</v>
      </c>
    </row>
    <row r="2161" spans="1:6" x14ac:dyDescent="0.2">
      <c r="A2161" s="325" t="s">
        <v>677</v>
      </c>
      <c r="B2161" s="325" t="s">
        <v>856</v>
      </c>
      <c r="C2161" s="325" t="s">
        <v>788</v>
      </c>
      <c r="D2161" s="325" t="s">
        <v>198</v>
      </c>
      <c r="E2161" s="325" t="s">
        <v>265</v>
      </c>
      <c r="F2161" s="325" t="s">
        <v>139</v>
      </c>
    </row>
    <row r="2162" spans="1:6" x14ac:dyDescent="0.2">
      <c r="A2162" s="325" t="s">
        <v>677</v>
      </c>
      <c r="B2162" s="325" t="s">
        <v>857</v>
      </c>
      <c r="C2162" s="325" t="s">
        <v>788</v>
      </c>
      <c r="D2162" s="325" t="s">
        <v>604</v>
      </c>
      <c r="E2162" s="325" t="s">
        <v>456</v>
      </c>
      <c r="F2162" s="325" t="s">
        <v>27</v>
      </c>
    </row>
    <row r="2163" spans="1:6" x14ac:dyDescent="0.2">
      <c r="A2163" s="325" t="s">
        <v>677</v>
      </c>
      <c r="B2163" s="325" t="s">
        <v>858</v>
      </c>
      <c r="C2163" s="325" t="s">
        <v>788</v>
      </c>
      <c r="D2163" s="325" t="s">
        <v>152</v>
      </c>
      <c r="E2163" s="325" t="s">
        <v>265</v>
      </c>
      <c r="F2163" s="325" t="s">
        <v>555</v>
      </c>
    </row>
    <row r="2164" spans="1:6" x14ac:dyDescent="0.2">
      <c r="A2164" s="325" t="s">
        <v>677</v>
      </c>
      <c r="B2164" s="325" t="s">
        <v>859</v>
      </c>
      <c r="C2164" s="325" t="s">
        <v>788</v>
      </c>
      <c r="D2164" s="325" t="s">
        <v>547</v>
      </c>
      <c r="E2164" s="325" t="s">
        <v>265</v>
      </c>
      <c r="F2164" s="325" t="s">
        <v>374</v>
      </c>
    </row>
    <row r="2165" spans="1:6" x14ac:dyDescent="0.2">
      <c r="A2165" s="325" t="s">
        <v>677</v>
      </c>
      <c r="B2165" s="325" t="s">
        <v>860</v>
      </c>
      <c r="C2165" s="325" t="s">
        <v>788</v>
      </c>
      <c r="D2165" s="325" t="s">
        <v>490</v>
      </c>
      <c r="E2165" s="325" t="s">
        <v>265</v>
      </c>
      <c r="F2165" s="325" t="s">
        <v>177</v>
      </c>
    </row>
    <row r="2166" spans="1:6" x14ac:dyDescent="0.2">
      <c r="A2166" s="325" t="s">
        <v>677</v>
      </c>
      <c r="B2166" s="325" t="s">
        <v>861</v>
      </c>
      <c r="C2166" s="325" t="s">
        <v>788</v>
      </c>
      <c r="D2166" s="325" t="s">
        <v>209</v>
      </c>
      <c r="E2166" s="325" t="s">
        <v>265</v>
      </c>
      <c r="F2166" s="325" t="s">
        <v>41</v>
      </c>
    </row>
    <row r="2167" spans="1:6" x14ac:dyDescent="0.2">
      <c r="A2167" s="325" t="s">
        <v>677</v>
      </c>
      <c r="B2167" s="325" t="s">
        <v>862</v>
      </c>
      <c r="C2167" s="325" t="s">
        <v>788</v>
      </c>
      <c r="D2167" s="325" t="s">
        <v>163</v>
      </c>
      <c r="E2167" s="325" t="s">
        <v>265</v>
      </c>
      <c r="F2167" s="325" t="s">
        <v>98</v>
      </c>
    </row>
    <row r="2168" spans="1:6" x14ac:dyDescent="0.2">
      <c r="A2168" s="325" t="s">
        <v>677</v>
      </c>
      <c r="B2168" s="325" t="s">
        <v>863</v>
      </c>
      <c r="C2168" s="325" t="s">
        <v>788</v>
      </c>
      <c r="D2168" s="325" t="s">
        <v>200</v>
      </c>
      <c r="E2168" s="325" t="s">
        <v>265</v>
      </c>
      <c r="F2168" s="325" t="s">
        <v>230</v>
      </c>
    </row>
    <row r="2169" spans="1:6" x14ac:dyDescent="0.2">
      <c r="A2169" s="325" t="s">
        <v>677</v>
      </c>
      <c r="B2169" s="325" t="s">
        <v>864</v>
      </c>
      <c r="C2169" s="325" t="s">
        <v>788</v>
      </c>
      <c r="D2169" s="325" t="s">
        <v>54</v>
      </c>
      <c r="E2169" s="325" t="s">
        <v>265</v>
      </c>
      <c r="F2169" s="325" t="s">
        <v>192</v>
      </c>
    </row>
    <row r="2170" spans="1:6" x14ac:dyDescent="0.2">
      <c r="A2170" s="325" t="s">
        <v>677</v>
      </c>
      <c r="B2170" s="325" t="s">
        <v>865</v>
      </c>
      <c r="C2170" s="325" t="s">
        <v>788</v>
      </c>
      <c r="D2170" s="325" t="s">
        <v>133</v>
      </c>
      <c r="E2170" s="325" t="s">
        <v>265</v>
      </c>
      <c r="F2170" s="325" t="s">
        <v>349</v>
      </c>
    </row>
    <row r="2171" spans="1:6" x14ac:dyDescent="0.2">
      <c r="A2171" s="325" t="s">
        <v>677</v>
      </c>
      <c r="B2171" s="325" t="s">
        <v>866</v>
      </c>
      <c r="C2171" s="325" t="s">
        <v>788</v>
      </c>
      <c r="D2171" s="325" t="s">
        <v>232</v>
      </c>
      <c r="E2171" s="325" t="s">
        <v>265</v>
      </c>
      <c r="F2171" s="325" t="s">
        <v>16</v>
      </c>
    </row>
    <row r="2172" spans="1:6" x14ac:dyDescent="0.2">
      <c r="A2172" s="325" t="s">
        <v>677</v>
      </c>
      <c r="B2172" s="325" t="s">
        <v>867</v>
      </c>
      <c r="C2172" s="325" t="s">
        <v>788</v>
      </c>
      <c r="D2172" s="325" t="s">
        <v>56</v>
      </c>
      <c r="E2172" s="325" t="s">
        <v>265</v>
      </c>
      <c r="F2172" s="325" t="s">
        <v>199</v>
      </c>
    </row>
    <row r="2173" spans="1:6" x14ac:dyDescent="0.2">
      <c r="A2173" s="325" t="s">
        <v>677</v>
      </c>
      <c r="B2173" s="325" t="s">
        <v>868</v>
      </c>
      <c r="C2173" s="325" t="s">
        <v>788</v>
      </c>
      <c r="D2173" s="325" t="s">
        <v>434</v>
      </c>
      <c r="E2173" s="325" t="s">
        <v>265</v>
      </c>
      <c r="F2173" s="325" t="s">
        <v>514</v>
      </c>
    </row>
    <row r="2174" spans="1:6" x14ac:dyDescent="0.2">
      <c r="A2174" s="325" t="s">
        <v>677</v>
      </c>
      <c r="B2174" s="325" t="s">
        <v>869</v>
      </c>
      <c r="C2174" s="325" t="s">
        <v>788</v>
      </c>
      <c r="D2174" s="325" t="s">
        <v>108</v>
      </c>
      <c r="E2174" s="325" t="s">
        <v>265</v>
      </c>
      <c r="F2174" s="325" t="s">
        <v>362</v>
      </c>
    </row>
    <row r="2175" spans="1:6" x14ac:dyDescent="0.2">
      <c r="A2175" s="325" t="s">
        <v>677</v>
      </c>
      <c r="B2175" s="325" t="s">
        <v>870</v>
      </c>
      <c r="C2175" s="325" t="s">
        <v>788</v>
      </c>
      <c r="D2175" s="325" t="s">
        <v>657</v>
      </c>
      <c r="E2175" s="325" t="s">
        <v>265</v>
      </c>
      <c r="F2175" s="325" t="s">
        <v>658</v>
      </c>
    </row>
    <row r="2176" spans="1:6" x14ac:dyDescent="0.2">
      <c r="A2176" s="325" t="s">
        <v>677</v>
      </c>
      <c r="B2176" s="325" t="s">
        <v>871</v>
      </c>
      <c r="C2176" s="325" t="s">
        <v>788</v>
      </c>
      <c r="D2176" s="325" t="s">
        <v>659</v>
      </c>
      <c r="E2176" s="325" t="s">
        <v>265</v>
      </c>
      <c r="F2176" s="325" t="s">
        <v>660</v>
      </c>
    </row>
    <row r="2177" spans="1:6" x14ac:dyDescent="0.2">
      <c r="A2177" s="325" t="s">
        <v>677</v>
      </c>
      <c r="B2177" s="325" t="s">
        <v>872</v>
      </c>
      <c r="C2177" s="325" t="s">
        <v>788</v>
      </c>
      <c r="D2177" s="325" t="s">
        <v>661</v>
      </c>
      <c r="E2177" s="325" t="s">
        <v>265</v>
      </c>
      <c r="F2177" s="325" t="s">
        <v>662</v>
      </c>
    </row>
    <row r="2178" spans="1:6" x14ac:dyDescent="0.2">
      <c r="A2178" s="325" t="s">
        <v>677</v>
      </c>
      <c r="B2178" s="325" t="s">
        <v>873</v>
      </c>
      <c r="C2178" s="325" t="s">
        <v>788</v>
      </c>
      <c r="D2178" s="325" t="s">
        <v>648</v>
      </c>
      <c r="E2178" s="325" t="s">
        <v>265</v>
      </c>
      <c r="F2178" s="325" t="s">
        <v>651</v>
      </c>
    </row>
    <row r="2179" spans="1:6" x14ac:dyDescent="0.2">
      <c r="A2179" s="325" t="s">
        <v>677</v>
      </c>
      <c r="B2179" s="325" t="s">
        <v>874</v>
      </c>
      <c r="C2179" s="325" t="s">
        <v>788</v>
      </c>
      <c r="D2179" s="325" t="s">
        <v>649</v>
      </c>
      <c r="E2179" s="325" t="s">
        <v>265</v>
      </c>
      <c r="F2179" s="325" t="s">
        <v>652</v>
      </c>
    </row>
    <row r="2180" spans="1:6" x14ac:dyDescent="0.2">
      <c r="A2180" s="325" t="s">
        <v>677</v>
      </c>
      <c r="B2180" s="325" t="s">
        <v>875</v>
      </c>
      <c r="C2180" s="325" t="s">
        <v>788</v>
      </c>
      <c r="D2180" s="325" t="s">
        <v>650</v>
      </c>
      <c r="E2180" s="325" t="s">
        <v>265</v>
      </c>
      <c r="F2180" s="325" t="s">
        <v>653</v>
      </c>
    </row>
    <row r="2181" spans="1:6" x14ac:dyDescent="0.2">
      <c r="A2181" s="325" t="s">
        <v>677</v>
      </c>
      <c r="B2181" s="325" t="s">
        <v>876</v>
      </c>
      <c r="C2181" s="325" t="s">
        <v>788</v>
      </c>
      <c r="D2181" s="325" t="s">
        <v>327</v>
      </c>
      <c r="E2181" s="325" t="s">
        <v>265</v>
      </c>
      <c r="F2181" s="325" t="s">
        <v>102</v>
      </c>
    </row>
    <row r="2182" spans="1:6" x14ac:dyDescent="0.2">
      <c r="A2182" s="325" t="s">
        <v>677</v>
      </c>
      <c r="B2182" s="325" t="s">
        <v>877</v>
      </c>
      <c r="C2182" s="325" t="s">
        <v>788</v>
      </c>
      <c r="D2182" s="325" t="s">
        <v>356</v>
      </c>
      <c r="E2182" s="325" t="s">
        <v>265</v>
      </c>
      <c r="F2182" s="325" t="s">
        <v>1011</v>
      </c>
    </row>
    <row r="2183" spans="1:6" x14ac:dyDescent="0.2">
      <c r="A2183" s="325" t="s">
        <v>677</v>
      </c>
      <c r="B2183" s="325" t="s">
        <v>878</v>
      </c>
      <c r="C2183" s="325" t="s">
        <v>788</v>
      </c>
      <c r="D2183" s="325" t="s">
        <v>513</v>
      </c>
      <c r="E2183" s="325" t="s">
        <v>442</v>
      </c>
      <c r="F2183" s="325" t="s">
        <v>264</v>
      </c>
    </row>
    <row r="2184" spans="1:6" x14ac:dyDescent="0.2">
      <c r="A2184" s="325" t="s">
        <v>677</v>
      </c>
      <c r="B2184" s="325" t="s">
        <v>879</v>
      </c>
      <c r="C2184" s="325" t="s">
        <v>788</v>
      </c>
      <c r="D2184" s="325" t="s">
        <v>554</v>
      </c>
      <c r="E2184" s="325" t="s">
        <v>442</v>
      </c>
      <c r="F2184" s="325" t="s">
        <v>229</v>
      </c>
    </row>
    <row r="2185" spans="1:6" x14ac:dyDescent="0.2">
      <c r="A2185" s="325" t="s">
        <v>677</v>
      </c>
      <c r="B2185" s="325" t="s">
        <v>880</v>
      </c>
      <c r="C2185" s="325" t="s">
        <v>788</v>
      </c>
      <c r="D2185" s="325" t="s">
        <v>409</v>
      </c>
      <c r="E2185" s="325" t="s">
        <v>442</v>
      </c>
      <c r="F2185" s="325" t="s">
        <v>336</v>
      </c>
    </row>
    <row r="2186" spans="1:6" x14ac:dyDescent="0.2">
      <c r="A2186" s="325" t="s">
        <v>677</v>
      </c>
      <c r="B2186" s="325" t="s">
        <v>881</v>
      </c>
      <c r="C2186" s="325" t="s">
        <v>788</v>
      </c>
      <c r="D2186" s="325" t="s">
        <v>72</v>
      </c>
      <c r="E2186" s="325" t="s">
        <v>265</v>
      </c>
      <c r="F2186" s="325" t="s">
        <v>451</v>
      </c>
    </row>
    <row r="2187" spans="1:6" x14ac:dyDescent="0.2">
      <c r="A2187" s="325" t="s">
        <v>677</v>
      </c>
      <c r="B2187" s="325" t="s">
        <v>882</v>
      </c>
      <c r="C2187" s="325" t="s">
        <v>788</v>
      </c>
      <c r="D2187" s="325" t="s">
        <v>35</v>
      </c>
      <c r="E2187" s="325" t="s">
        <v>265</v>
      </c>
      <c r="F2187" s="325" t="s">
        <v>414</v>
      </c>
    </row>
    <row r="2188" spans="1:6" x14ac:dyDescent="0.2">
      <c r="A2188" s="325" t="s">
        <v>677</v>
      </c>
      <c r="B2188" s="325" t="s">
        <v>883</v>
      </c>
      <c r="C2188" s="325" t="s">
        <v>788</v>
      </c>
      <c r="D2188" s="325" t="s">
        <v>612</v>
      </c>
      <c r="E2188" s="325" t="s">
        <v>456</v>
      </c>
      <c r="F2188" s="325" t="s">
        <v>62</v>
      </c>
    </row>
    <row r="2189" spans="1:6" x14ac:dyDescent="0.2">
      <c r="A2189" s="325" t="s">
        <v>677</v>
      </c>
      <c r="B2189" s="325" t="s">
        <v>884</v>
      </c>
      <c r="C2189" s="325" t="s">
        <v>788</v>
      </c>
      <c r="D2189" s="325" t="s">
        <v>611</v>
      </c>
      <c r="E2189" s="325" t="s">
        <v>456</v>
      </c>
      <c r="F2189" s="325" t="s">
        <v>148</v>
      </c>
    </row>
    <row r="2190" spans="1:6" x14ac:dyDescent="0.2">
      <c r="A2190" s="325" t="s">
        <v>677</v>
      </c>
      <c r="B2190" s="325" t="s">
        <v>885</v>
      </c>
      <c r="C2190" s="325" t="s">
        <v>788</v>
      </c>
      <c r="D2190" s="325" t="s">
        <v>613</v>
      </c>
      <c r="E2190" s="325" t="s">
        <v>456</v>
      </c>
      <c r="F2190" s="325" t="s">
        <v>8</v>
      </c>
    </row>
    <row r="2191" spans="1:6" x14ac:dyDescent="0.2">
      <c r="A2191" s="325" t="s">
        <v>677</v>
      </c>
      <c r="B2191" s="325" t="s">
        <v>886</v>
      </c>
      <c r="C2191" s="325" t="s">
        <v>788</v>
      </c>
      <c r="D2191" s="325" t="s">
        <v>614</v>
      </c>
      <c r="E2191" s="325" t="s">
        <v>456</v>
      </c>
      <c r="F2191" s="325" t="s">
        <v>475</v>
      </c>
    </row>
    <row r="2192" spans="1:6" x14ac:dyDescent="0.2">
      <c r="A2192" s="325" t="s">
        <v>677</v>
      </c>
      <c r="B2192" s="325" t="s">
        <v>887</v>
      </c>
      <c r="C2192" s="325" t="s">
        <v>788</v>
      </c>
      <c r="D2192" s="325" t="s">
        <v>615</v>
      </c>
      <c r="E2192" s="325" t="s">
        <v>456</v>
      </c>
      <c r="F2192" s="325" t="s">
        <v>245</v>
      </c>
    </row>
    <row r="2193" spans="1:6" x14ac:dyDescent="0.2">
      <c r="A2193" s="325" t="s">
        <v>677</v>
      </c>
      <c r="B2193" s="325" t="s">
        <v>888</v>
      </c>
      <c r="C2193" s="325" t="s">
        <v>788</v>
      </c>
      <c r="D2193" s="325" t="s">
        <v>619</v>
      </c>
      <c r="E2193" s="325" t="s">
        <v>456</v>
      </c>
      <c r="F2193" s="325" t="s">
        <v>181</v>
      </c>
    </row>
    <row r="2194" spans="1:6" x14ac:dyDescent="0.2">
      <c r="A2194" s="325" t="s">
        <v>677</v>
      </c>
      <c r="B2194" s="325" t="s">
        <v>889</v>
      </c>
      <c r="C2194" s="325" t="s">
        <v>788</v>
      </c>
      <c r="D2194" s="325" t="s">
        <v>712</v>
      </c>
      <c r="E2194" s="325" t="s">
        <v>265</v>
      </c>
      <c r="F2194" s="325" t="s">
        <v>713</v>
      </c>
    </row>
    <row r="2195" spans="1:6" x14ac:dyDescent="0.2">
      <c r="A2195" s="325" t="s">
        <v>677</v>
      </c>
      <c r="B2195" s="325" t="s">
        <v>890</v>
      </c>
      <c r="C2195" s="325" t="s">
        <v>788</v>
      </c>
      <c r="D2195" s="325" t="s">
        <v>616</v>
      </c>
      <c r="E2195" s="325" t="s">
        <v>456</v>
      </c>
      <c r="F2195" s="325" t="s">
        <v>63</v>
      </c>
    </row>
    <row r="2196" spans="1:6" x14ac:dyDescent="0.2">
      <c r="A2196" s="325" t="s">
        <v>677</v>
      </c>
      <c r="B2196" s="325" t="s">
        <v>891</v>
      </c>
      <c r="C2196" s="325" t="s">
        <v>788</v>
      </c>
      <c r="D2196" s="325" t="s">
        <v>617</v>
      </c>
      <c r="E2196" s="325" t="s">
        <v>456</v>
      </c>
      <c r="F2196" s="325" t="s">
        <v>1012</v>
      </c>
    </row>
    <row r="2197" spans="1:6" x14ac:dyDescent="0.2">
      <c r="A2197" s="325" t="s">
        <v>677</v>
      </c>
      <c r="B2197" s="325" t="s">
        <v>892</v>
      </c>
      <c r="C2197" s="325" t="s">
        <v>788</v>
      </c>
      <c r="D2197" s="325" t="s">
        <v>699</v>
      </c>
      <c r="E2197" s="325" t="s">
        <v>265</v>
      </c>
      <c r="F2197" s="325" t="s">
        <v>994</v>
      </c>
    </row>
    <row r="2198" spans="1:6" x14ac:dyDescent="0.2">
      <c r="A2198" s="325" t="s">
        <v>677</v>
      </c>
      <c r="B2198" s="325" t="s">
        <v>893</v>
      </c>
      <c r="C2198" s="325" t="s">
        <v>788</v>
      </c>
      <c r="D2198" s="325" t="s">
        <v>623</v>
      </c>
      <c r="E2198" s="325" t="s">
        <v>456</v>
      </c>
      <c r="F2198" s="325" t="s">
        <v>74</v>
      </c>
    </row>
    <row r="2199" spans="1:6" x14ac:dyDescent="0.2">
      <c r="A2199" s="325" t="s">
        <v>677</v>
      </c>
      <c r="B2199" s="325" t="s">
        <v>894</v>
      </c>
      <c r="C2199" s="325" t="s">
        <v>788</v>
      </c>
      <c r="D2199" s="325" t="s">
        <v>618</v>
      </c>
      <c r="E2199" s="325" t="s">
        <v>456</v>
      </c>
      <c r="F2199" s="325" t="s">
        <v>236</v>
      </c>
    </row>
    <row r="2200" spans="1:6" x14ac:dyDescent="0.2">
      <c r="A2200" s="325" t="s">
        <v>677</v>
      </c>
      <c r="B2200" s="325" t="s">
        <v>895</v>
      </c>
      <c r="C2200" s="325" t="s">
        <v>788</v>
      </c>
      <c r="D2200" s="325" t="s">
        <v>624</v>
      </c>
      <c r="E2200" s="325" t="s">
        <v>456</v>
      </c>
      <c r="F2200" s="325" t="s">
        <v>74</v>
      </c>
    </row>
    <row r="2201" spans="1:6" x14ac:dyDescent="0.2">
      <c r="A2201" s="325" t="s">
        <v>677</v>
      </c>
      <c r="B2201" s="325" t="s">
        <v>896</v>
      </c>
      <c r="C2201" s="325" t="s">
        <v>788</v>
      </c>
      <c r="D2201" s="325" t="s">
        <v>620</v>
      </c>
      <c r="E2201" s="325" t="s">
        <v>456</v>
      </c>
      <c r="F2201" s="325" t="s">
        <v>236</v>
      </c>
    </row>
    <row r="2202" spans="1:6" x14ac:dyDescent="0.2">
      <c r="A2202" s="325" t="s">
        <v>677</v>
      </c>
      <c r="B2202" s="325" t="s">
        <v>897</v>
      </c>
      <c r="C2202" s="325" t="s">
        <v>788</v>
      </c>
      <c r="D2202" s="325" t="s">
        <v>621</v>
      </c>
      <c r="E2202" s="325" t="s">
        <v>456</v>
      </c>
      <c r="F2202" s="325" t="s">
        <v>342</v>
      </c>
    </row>
    <row r="2203" spans="1:6" x14ac:dyDescent="0.2">
      <c r="A2203" s="325" t="s">
        <v>677</v>
      </c>
      <c r="B2203" s="325" t="s">
        <v>898</v>
      </c>
      <c r="C2203" s="325" t="s">
        <v>788</v>
      </c>
      <c r="D2203" s="325" t="s">
        <v>622</v>
      </c>
      <c r="E2203" s="325" t="s">
        <v>456</v>
      </c>
      <c r="F2203" s="325" t="s">
        <v>559</v>
      </c>
    </row>
    <row r="2204" spans="1:6" x14ac:dyDescent="0.2">
      <c r="A2204" s="325" t="s">
        <v>677</v>
      </c>
      <c r="B2204" s="325" t="s">
        <v>899</v>
      </c>
      <c r="C2204" s="325" t="s">
        <v>788</v>
      </c>
      <c r="D2204" s="325" t="s">
        <v>607</v>
      </c>
      <c r="E2204" s="325" t="s">
        <v>456</v>
      </c>
      <c r="F2204" s="325" t="s">
        <v>256</v>
      </c>
    </row>
    <row r="2205" spans="1:6" x14ac:dyDescent="0.2">
      <c r="A2205" s="325" t="s">
        <v>677</v>
      </c>
      <c r="B2205" s="325" t="s">
        <v>901</v>
      </c>
      <c r="C2205" s="325" t="s">
        <v>788</v>
      </c>
      <c r="D2205" s="325" t="s">
        <v>21</v>
      </c>
      <c r="E2205" s="325" t="s">
        <v>265</v>
      </c>
      <c r="F2205" s="325" t="s">
        <v>47</v>
      </c>
    </row>
    <row r="2206" spans="1:6" x14ac:dyDescent="0.2">
      <c r="A2206" s="325" t="s">
        <v>677</v>
      </c>
      <c r="B2206" s="325" t="s">
        <v>902</v>
      </c>
      <c r="C2206" s="325" t="s">
        <v>788</v>
      </c>
      <c r="D2206" s="325" t="s">
        <v>323</v>
      </c>
      <c r="E2206" s="325" t="s">
        <v>265</v>
      </c>
      <c r="F2206" s="325" t="s">
        <v>20</v>
      </c>
    </row>
    <row r="2207" spans="1:6" x14ac:dyDescent="0.2">
      <c r="A2207" s="325" t="s">
        <v>677</v>
      </c>
      <c r="B2207" s="325" t="s">
        <v>903</v>
      </c>
      <c r="C2207" s="325" t="s">
        <v>788</v>
      </c>
      <c r="D2207" s="325" t="s">
        <v>447</v>
      </c>
      <c r="E2207" s="325" t="s">
        <v>265</v>
      </c>
      <c r="F2207" s="325" t="s">
        <v>741</v>
      </c>
    </row>
    <row r="2208" spans="1:6" x14ac:dyDescent="0.2">
      <c r="A2208" s="325" t="s">
        <v>677</v>
      </c>
      <c r="B2208" s="325" t="s">
        <v>904</v>
      </c>
      <c r="C2208" s="325" t="s">
        <v>788</v>
      </c>
      <c r="D2208" s="325" t="s">
        <v>742</v>
      </c>
      <c r="E2208" s="325" t="s">
        <v>456</v>
      </c>
      <c r="F2208" s="325" t="s">
        <v>743</v>
      </c>
    </row>
    <row r="2209" spans="1:6" x14ac:dyDescent="0.2">
      <c r="A2209" s="325" t="s">
        <v>677</v>
      </c>
      <c r="B2209" s="325" t="s">
        <v>905</v>
      </c>
      <c r="C2209" s="325" t="s">
        <v>788</v>
      </c>
      <c r="D2209" s="325" t="s">
        <v>188</v>
      </c>
      <c r="E2209" s="325" t="s">
        <v>456</v>
      </c>
      <c r="F2209" s="325" t="s">
        <v>995</v>
      </c>
    </row>
    <row r="2210" spans="1:6" x14ac:dyDescent="0.2">
      <c r="A2210" s="325" t="s">
        <v>677</v>
      </c>
      <c r="B2210" s="325" t="s">
        <v>906</v>
      </c>
      <c r="C2210" s="325" t="s">
        <v>788</v>
      </c>
      <c r="D2210" s="325" t="s">
        <v>679</v>
      </c>
      <c r="E2210" s="325" t="s">
        <v>265</v>
      </c>
      <c r="F2210" s="325" t="s">
        <v>682</v>
      </c>
    </row>
    <row r="2211" spans="1:6" x14ac:dyDescent="0.2">
      <c r="A2211" s="325" t="s">
        <v>677</v>
      </c>
      <c r="B2211" s="325" t="s">
        <v>907</v>
      </c>
      <c r="C2211" s="325" t="s">
        <v>788</v>
      </c>
      <c r="D2211" s="325" t="s">
        <v>608</v>
      </c>
      <c r="E2211" s="325" t="s">
        <v>456</v>
      </c>
      <c r="F2211" s="325" t="s">
        <v>165</v>
      </c>
    </row>
    <row r="2212" spans="1:6" x14ac:dyDescent="0.2">
      <c r="A2212" s="325" t="s">
        <v>677</v>
      </c>
      <c r="B2212" s="325" t="s">
        <v>908</v>
      </c>
      <c r="C2212" s="325" t="s">
        <v>788</v>
      </c>
      <c r="D2212" s="325" t="s">
        <v>609</v>
      </c>
      <c r="E2212" s="325" t="s">
        <v>456</v>
      </c>
      <c r="F2212" s="325" t="s">
        <v>535</v>
      </c>
    </row>
    <row r="2213" spans="1:6" x14ac:dyDescent="0.2">
      <c r="A2213" s="325" t="s">
        <v>677</v>
      </c>
      <c r="B2213" s="325" t="s">
        <v>909</v>
      </c>
      <c r="C2213" s="325" t="s">
        <v>788</v>
      </c>
      <c r="D2213" s="325" t="s">
        <v>610</v>
      </c>
      <c r="E2213" s="325" t="s">
        <v>456</v>
      </c>
      <c r="F2213" s="325" t="s">
        <v>311</v>
      </c>
    </row>
    <row r="2214" spans="1:6" x14ac:dyDescent="0.2">
      <c r="A2214" s="325" t="s">
        <v>677</v>
      </c>
      <c r="B2214" s="325" t="s">
        <v>910</v>
      </c>
      <c r="C2214" s="325" t="s">
        <v>788</v>
      </c>
      <c r="D2214" s="325" t="s">
        <v>395</v>
      </c>
      <c r="E2214" s="325" t="s">
        <v>456</v>
      </c>
      <c r="F2214" s="325" t="s">
        <v>588</v>
      </c>
    </row>
    <row r="2215" spans="1:6" x14ac:dyDescent="0.2">
      <c r="A2215" s="325" t="s">
        <v>677</v>
      </c>
      <c r="B2215" s="325" t="s">
        <v>911</v>
      </c>
      <c r="C2215" s="325" t="s">
        <v>788</v>
      </c>
      <c r="D2215" s="325" t="s">
        <v>499</v>
      </c>
      <c r="E2215" s="325" t="s">
        <v>456</v>
      </c>
      <c r="F2215" s="325" t="s">
        <v>314</v>
      </c>
    </row>
    <row r="2216" spans="1:6" x14ac:dyDescent="0.2">
      <c r="A2216" s="325" t="s">
        <v>677</v>
      </c>
      <c r="B2216" s="325" t="s">
        <v>971</v>
      </c>
      <c r="C2216" s="325" t="s">
        <v>788</v>
      </c>
      <c r="D2216" s="325" t="s">
        <v>413</v>
      </c>
      <c r="E2216" s="325" t="s">
        <v>265</v>
      </c>
      <c r="F2216" s="325" t="s">
        <v>273</v>
      </c>
    </row>
    <row r="2217" spans="1:6" x14ac:dyDescent="0.2">
      <c r="A2217" s="325" t="s">
        <v>677</v>
      </c>
      <c r="B2217" s="325" t="s">
        <v>974</v>
      </c>
      <c r="C2217" s="325" t="s">
        <v>788</v>
      </c>
      <c r="D2217" s="325" t="s">
        <v>51</v>
      </c>
      <c r="E2217" s="325" t="s">
        <v>442</v>
      </c>
      <c r="F2217" s="325" t="s">
        <v>266</v>
      </c>
    </row>
    <row r="2218" spans="1:6" x14ac:dyDescent="0.2">
      <c r="A2218" s="325" t="s">
        <v>677</v>
      </c>
      <c r="B2218" s="325" t="s">
        <v>975</v>
      </c>
      <c r="C2218" s="325" t="s">
        <v>788</v>
      </c>
      <c r="D2218" s="325" t="s">
        <v>283</v>
      </c>
      <c r="E2218" s="325" t="s">
        <v>265</v>
      </c>
      <c r="F2218" s="325" t="s">
        <v>53</v>
      </c>
    </row>
    <row r="2219" spans="1:6" x14ac:dyDescent="0.2">
      <c r="A2219" s="325" t="s">
        <v>677</v>
      </c>
      <c r="B2219" s="325" t="s">
        <v>976</v>
      </c>
      <c r="C2219" s="325" t="s">
        <v>788</v>
      </c>
      <c r="D2219" s="325" t="s">
        <v>542</v>
      </c>
      <c r="E2219" s="325" t="s">
        <v>265</v>
      </c>
      <c r="F2219" s="325" t="s">
        <v>372</v>
      </c>
    </row>
    <row r="2220" spans="1:6" x14ac:dyDescent="0.2">
      <c r="A2220" s="325" t="s">
        <v>677</v>
      </c>
      <c r="B2220" s="325" t="s">
        <v>977</v>
      </c>
      <c r="C2220" s="325" t="s">
        <v>788</v>
      </c>
      <c r="D2220" s="325" t="s">
        <v>576</v>
      </c>
      <c r="E2220" s="325" t="s">
        <v>265</v>
      </c>
      <c r="F2220" s="325" t="s">
        <v>333</v>
      </c>
    </row>
    <row r="2221" spans="1:6" x14ac:dyDescent="0.2">
      <c r="A2221" s="325" t="s">
        <v>677</v>
      </c>
      <c r="B2221" s="325" t="s">
        <v>793</v>
      </c>
      <c r="C2221" s="325" t="s">
        <v>789</v>
      </c>
      <c r="D2221" s="325" t="s">
        <v>654</v>
      </c>
      <c r="E2221" s="325" t="s">
        <v>265</v>
      </c>
      <c r="F2221" s="325" t="s">
        <v>998</v>
      </c>
    </row>
    <row r="2222" spans="1:6" x14ac:dyDescent="0.2">
      <c r="A2222" s="325" t="s">
        <v>677</v>
      </c>
      <c r="B2222" s="325" t="s">
        <v>794</v>
      </c>
      <c r="C2222" s="325" t="s">
        <v>789</v>
      </c>
      <c r="D2222" s="325" t="s">
        <v>510</v>
      </c>
      <c r="E2222" s="325" t="s">
        <v>265</v>
      </c>
      <c r="F2222" s="325" t="s">
        <v>999</v>
      </c>
    </row>
    <row r="2223" spans="1:6" x14ac:dyDescent="0.2">
      <c r="A2223" s="325" t="s">
        <v>677</v>
      </c>
      <c r="B2223" s="325" t="s">
        <v>795</v>
      </c>
      <c r="C2223" s="325" t="s">
        <v>789</v>
      </c>
      <c r="D2223" s="325" t="s">
        <v>400</v>
      </c>
      <c r="E2223" s="325" t="s">
        <v>265</v>
      </c>
      <c r="F2223" s="325" t="s">
        <v>1001</v>
      </c>
    </row>
    <row r="2224" spans="1:6" x14ac:dyDescent="0.2">
      <c r="A2224" s="325" t="s">
        <v>677</v>
      </c>
      <c r="B2224" s="325" t="s">
        <v>796</v>
      </c>
      <c r="C2224" s="325" t="s">
        <v>789</v>
      </c>
      <c r="D2224" s="325" t="s">
        <v>302</v>
      </c>
      <c r="E2224" s="325" t="s">
        <v>265</v>
      </c>
      <c r="F2224" s="325" t="s">
        <v>1000</v>
      </c>
    </row>
    <row r="2225" spans="1:6" x14ac:dyDescent="0.2">
      <c r="A2225" s="325" t="s">
        <v>677</v>
      </c>
      <c r="B2225" s="325" t="s">
        <v>797</v>
      </c>
      <c r="C2225" s="325" t="s">
        <v>789</v>
      </c>
      <c r="D2225" s="325" t="s">
        <v>28</v>
      </c>
      <c r="E2225" s="325" t="s">
        <v>442</v>
      </c>
      <c r="F2225" s="325" t="s">
        <v>1008</v>
      </c>
    </row>
    <row r="2226" spans="1:6" x14ac:dyDescent="0.2">
      <c r="A2226" s="325" t="s">
        <v>677</v>
      </c>
      <c r="B2226" s="325" t="s">
        <v>798</v>
      </c>
      <c r="C2226" s="325" t="s">
        <v>789</v>
      </c>
      <c r="D2226" s="325" t="s">
        <v>67</v>
      </c>
      <c r="E2226" s="325" t="s">
        <v>556</v>
      </c>
      <c r="F2226" s="325" t="s">
        <v>1009</v>
      </c>
    </row>
    <row r="2227" spans="1:6" x14ac:dyDescent="0.2">
      <c r="A2227" s="325" t="s">
        <v>677</v>
      </c>
      <c r="B2227" s="325" t="s">
        <v>799</v>
      </c>
      <c r="C2227" s="325" t="s">
        <v>789</v>
      </c>
      <c r="D2227" s="325" t="s">
        <v>168</v>
      </c>
      <c r="E2227" s="325" t="s">
        <v>265</v>
      </c>
      <c r="F2227" s="325" t="s">
        <v>145</v>
      </c>
    </row>
    <row r="2228" spans="1:6" x14ac:dyDescent="0.2">
      <c r="A2228" s="325" t="s">
        <v>677</v>
      </c>
      <c r="B2228" s="325" t="s">
        <v>800</v>
      </c>
      <c r="C2228" s="325" t="s">
        <v>789</v>
      </c>
      <c r="D2228" s="325" t="s">
        <v>310</v>
      </c>
      <c r="E2228" s="325" t="s">
        <v>265</v>
      </c>
      <c r="F2228" s="325" t="s">
        <v>350</v>
      </c>
    </row>
    <row r="2229" spans="1:6" x14ac:dyDescent="0.2">
      <c r="A2229" s="325" t="s">
        <v>677</v>
      </c>
      <c r="B2229" s="325" t="s">
        <v>801</v>
      </c>
      <c r="C2229" s="325" t="s">
        <v>789</v>
      </c>
      <c r="D2229" s="325" t="s">
        <v>87</v>
      </c>
      <c r="E2229" s="325" t="s">
        <v>265</v>
      </c>
      <c r="F2229" s="325" t="s">
        <v>79</v>
      </c>
    </row>
    <row r="2230" spans="1:6" x14ac:dyDescent="0.2">
      <c r="A2230" s="325" t="s">
        <v>677</v>
      </c>
      <c r="B2230" s="325" t="s">
        <v>802</v>
      </c>
      <c r="C2230" s="325" t="s">
        <v>789</v>
      </c>
      <c r="D2230" s="325" t="s">
        <v>228</v>
      </c>
      <c r="E2230" s="325" t="s">
        <v>265</v>
      </c>
      <c r="F2230" s="325" t="s">
        <v>331</v>
      </c>
    </row>
    <row r="2231" spans="1:6" x14ac:dyDescent="0.2">
      <c r="A2231" s="325" t="s">
        <v>677</v>
      </c>
      <c r="B2231" s="325" t="s">
        <v>803</v>
      </c>
      <c r="C2231" s="325" t="s">
        <v>789</v>
      </c>
      <c r="D2231" s="325" t="s">
        <v>144</v>
      </c>
      <c r="E2231" s="325" t="s">
        <v>265</v>
      </c>
      <c r="F2231" s="325" t="s">
        <v>340</v>
      </c>
    </row>
    <row r="2232" spans="1:6" x14ac:dyDescent="0.2">
      <c r="A2232" s="325" t="s">
        <v>677</v>
      </c>
      <c r="B2232" s="325" t="s">
        <v>804</v>
      </c>
      <c r="C2232" s="325" t="s">
        <v>789</v>
      </c>
      <c r="D2232" s="325" t="s">
        <v>429</v>
      </c>
      <c r="E2232" s="325" t="s">
        <v>265</v>
      </c>
      <c r="F2232" s="325" t="s">
        <v>263</v>
      </c>
    </row>
    <row r="2233" spans="1:6" x14ac:dyDescent="0.2">
      <c r="A2233" s="325" t="s">
        <v>677</v>
      </c>
      <c r="B2233" s="325" t="s">
        <v>805</v>
      </c>
      <c r="C2233" s="325" t="s">
        <v>789</v>
      </c>
      <c r="D2233" s="325" t="s">
        <v>182</v>
      </c>
      <c r="E2233" s="325" t="s">
        <v>265</v>
      </c>
      <c r="F2233" s="325" t="s">
        <v>223</v>
      </c>
    </row>
    <row r="2234" spans="1:6" x14ac:dyDescent="0.2">
      <c r="A2234" s="325" t="s">
        <v>677</v>
      </c>
      <c r="B2234" s="325" t="s">
        <v>806</v>
      </c>
      <c r="C2234" s="325" t="s">
        <v>789</v>
      </c>
      <c r="D2234" s="325" t="s">
        <v>298</v>
      </c>
      <c r="E2234" s="325" t="s">
        <v>265</v>
      </c>
      <c r="F2234" s="325" t="s">
        <v>423</v>
      </c>
    </row>
    <row r="2235" spans="1:6" x14ac:dyDescent="0.2">
      <c r="A2235" s="325" t="s">
        <v>677</v>
      </c>
      <c r="B2235" s="325" t="s">
        <v>807</v>
      </c>
      <c r="C2235" s="325" t="s">
        <v>789</v>
      </c>
      <c r="D2235" s="325" t="s">
        <v>571</v>
      </c>
      <c r="E2235" s="325" t="s">
        <v>265</v>
      </c>
      <c r="F2235" s="325" t="s">
        <v>258</v>
      </c>
    </row>
    <row r="2236" spans="1:6" x14ac:dyDescent="0.2">
      <c r="A2236" s="325" t="s">
        <v>677</v>
      </c>
      <c r="B2236" s="325" t="s">
        <v>808</v>
      </c>
      <c r="C2236" s="325" t="s">
        <v>789</v>
      </c>
      <c r="D2236" s="325" t="s">
        <v>156</v>
      </c>
      <c r="E2236" s="325" t="s">
        <v>265</v>
      </c>
      <c r="F2236" s="325" t="s">
        <v>226</v>
      </c>
    </row>
    <row r="2237" spans="1:6" x14ac:dyDescent="0.2">
      <c r="A2237" s="325" t="s">
        <v>677</v>
      </c>
      <c r="B2237" s="325" t="s">
        <v>809</v>
      </c>
      <c r="C2237" s="325" t="s">
        <v>789</v>
      </c>
      <c r="D2237" s="325" t="s">
        <v>299</v>
      </c>
      <c r="E2237" s="325" t="s">
        <v>265</v>
      </c>
      <c r="F2237" s="325" t="s">
        <v>3</v>
      </c>
    </row>
    <row r="2238" spans="1:6" x14ac:dyDescent="0.2">
      <c r="A2238" s="325" t="s">
        <v>677</v>
      </c>
      <c r="B2238" s="325" t="s">
        <v>810</v>
      </c>
      <c r="C2238" s="325" t="s">
        <v>789</v>
      </c>
      <c r="D2238" s="325" t="s">
        <v>164</v>
      </c>
      <c r="E2238" s="325" t="s">
        <v>265</v>
      </c>
      <c r="F2238" s="325" t="s">
        <v>524</v>
      </c>
    </row>
    <row r="2239" spans="1:6" x14ac:dyDescent="0.2">
      <c r="A2239" s="325" t="s">
        <v>677</v>
      </c>
      <c r="B2239" s="325" t="s">
        <v>811</v>
      </c>
      <c r="C2239" s="325" t="s">
        <v>789</v>
      </c>
      <c r="D2239" s="325" t="s">
        <v>403</v>
      </c>
      <c r="E2239" s="325" t="s">
        <v>265</v>
      </c>
      <c r="F2239" s="325" t="s">
        <v>195</v>
      </c>
    </row>
    <row r="2240" spans="1:6" x14ac:dyDescent="0.2">
      <c r="A2240" s="325" t="s">
        <v>677</v>
      </c>
      <c r="B2240" s="325" t="s">
        <v>812</v>
      </c>
      <c r="C2240" s="325" t="s">
        <v>789</v>
      </c>
      <c r="D2240" s="325" t="s">
        <v>367</v>
      </c>
      <c r="E2240" s="325" t="s">
        <v>265</v>
      </c>
      <c r="F2240" s="325" t="s">
        <v>461</v>
      </c>
    </row>
    <row r="2241" spans="1:6" x14ac:dyDescent="0.2">
      <c r="A2241" s="325" t="s">
        <v>677</v>
      </c>
      <c r="B2241" s="325" t="s">
        <v>813</v>
      </c>
      <c r="C2241" s="325" t="s">
        <v>789</v>
      </c>
      <c r="D2241" s="325" t="s">
        <v>105</v>
      </c>
      <c r="E2241" s="325" t="s">
        <v>265</v>
      </c>
      <c r="F2241" s="325" t="s">
        <v>393</v>
      </c>
    </row>
    <row r="2242" spans="1:6" x14ac:dyDescent="0.2">
      <c r="A2242" s="325" t="s">
        <v>677</v>
      </c>
      <c r="B2242" s="325" t="s">
        <v>814</v>
      </c>
      <c r="C2242" s="325" t="s">
        <v>789</v>
      </c>
      <c r="D2242" s="325" t="s">
        <v>520</v>
      </c>
      <c r="E2242" s="325" t="s">
        <v>265</v>
      </c>
      <c r="F2242" s="325" t="s">
        <v>277</v>
      </c>
    </row>
    <row r="2243" spans="1:6" x14ac:dyDescent="0.2">
      <c r="A2243" s="325" t="s">
        <v>677</v>
      </c>
      <c r="B2243" s="325" t="s">
        <v>815</v>
      </c>
      <c r="C2243" s="325" t="s">
        <v>789</v>
      </c>
      <c r="D2243" s="325" t="s">
        <v>469</v>
      </c>
      <c r="E2243" s="325" t="s">
        <v>265</v>
      </c>
      <c r="F2243" s="325" t="s">
        <v>452</v>
      </c>
    </row>
    <row r="2244" spans="1:6" x14ac:dyDescent="0.2">
      <c r="A2244" s="325" t="s">
        <v>677</v>
      </c>
      <c r="B2244" s="325" t="s">
        <v>816</v>
      </c>
      <c r="C2244" s="325" t="s">
        <v>789</v>
      </c>
      <c r="D2244" s="325" t="s">
        <v>432</v>
      </c>
      <c r="E2244" s="325" t="s">
        <v>265</v>
      </c>
      <c r="F2244" s="325" t="s">
        <v>489</v>
      </c>
    </row>
    <row r="2245" spans="1:6" x14ac:dyDescent="0.2">
      <c r="A2245" s="325" t="s">
        <v>677</v>
      </c>
      <c r="B2245" s="325" t="s">
        <v>817</v>
      </c>
      <c r="C2245" s="325" t="s">
        <v>789</v>
      </c>
      <c r="D2245" s="325" t="s">
        <v>75</v>
      </c>
      <c r="E2245" s="325" t="s">
        <v>265</v>
      </c>
      <c r="F2245" s="325" t="s">
        <v>288</v>
      </c>
    </row>
    <row r="2246" spans="1:6" x14ac:dyDescent="0.2">
      <c r="A2246" s="325" t="s">
        <v>677</v>
      </c>
      <c r="B2246" s="325" t="s">
        <v>818</v>
      </c>
      <c r="C2246" s="325" t="s">
        <v>789</v>
      </c>
      <c r="D2246" s="325" t="s">
        <v>666</v>
      </c>
      <c r="E2246" s="325" t="s">
        <v>556</v>
      </c>
      <c r="F2246" s="325" t="s">
        <v>665</v>
      </c>
    </row>
    <row r="2247" spans="1:6" x14ac:dyDescent="0.2">
      <c r="A2247" s="325" t="s">
        <v>677</v>
      </c>
      <c r="B2247" s="325" t="s">
        <v>819</v>
      </c>
      <c r="C2247" s="325" t="s">
        <v>789</v>
      </c>
      <c r="D2247" s="325" t="s">
        <v>111</v>
      </c>
      <c r="E2247" s="325" t="s">
        <v>265</v>
      </c>
      <c r="F2247" s="325" t="s">
        <v>261</v>
      </c>
    </row>
    <row r="2248" spans="1:6" x14ac:dyDescent="0.2">
      <c r="A2248" s="325" t="s">
        <v>677</v>
      </c>
      <c r="B2248" s="325" t="s">
        <v>820</v>
      </c>
      <c r="C2248" s="325" t="s">
        <v>789</v>
      </c>
      <c r="D2248" s="325" t="s">
        <v>289</v>
      </c>
      <c r="E2248" s="325" t="s">
        <v>265</v>
      </c>
      <c r="F2248" s="325" t="s">
        <v>674</v>
      </c>
    </row>
    <row r="2249" spans="1:6" x14ac:dyDescent="0.2">
      <c r="A2249" s="325" t="s">
        <v>677</v>
      </c>
      <c r="B2249" s="325" t="s">
        <v>821</v>
      </c>
      <c r="C2249" s="325" t="s">
        <v>789</v>
      </c>
      <c r="D2249" s="325" t="s">
        <v>308</v>
      </c>
      <c r="E2249" s="325" t="s">
        <v>265</v>
      </c>
      <c r="F2249" s="325" t="s">
        <v>675</v>
      </c>
    </row>
    <row r="2250" spans="1:6" x14ac:dyDescent="0.2">
      <c r="A2250" s="325" t="s">
        <v>677</v>
      </c>
      <c r="B2250" s="325" t="s">
        <v>822</v>
      </c>
      <c r="C2250" s="325" t="s">
        <v>789</v>
      </c>
      <c r="D2250" s="325" t="s">
        <v>411</v>
      </c>
      <c r="E2250" s="325" t="s">
        <v>265</v>
      </c>
      <c r="F2250" s="325" t="s">
        <v>115</v>
      </c>
    </row>
    <row r="2251" spans="1:6" x14ac:dyDescent="0.2">
      <c r="A2251" s="325" t="s">
        <v>677</v>
      </c>
      <c r="B2251" s="325" t="s">
        <v>823</v>
      </c>
      <c r="C2251" s="325" t="s">
        <v>789</v>
      </c>
      <c r="D2251" s="325" t="s">
        <v>425</v>
      </c>
      <c r="E2251" s="325" t="s">
        <v>265</v>
      </c>
      <c r="F2251" s="325" t="s">
        <v>364</v>
      </c>
    </row>
    <row r="2252" spans="1:6" x14ac:dyDescent="0.2">
      <c r="A2252" s="325" t="s">
        <v>677</v>
      </c>
      <c r="B2252" s="325" t="s">
        <v>824</v>
      </c>
      <c r="C2252" s="325" t="s">
        <v>789</v>
      </c>
      <c r="D2252" s="325" t="s">
        <v>431</v>
      </c>
      <c r="E2252" s="325" t="s">
        <v>265</v>
      </c>
      <c r="F2252" s="325" t="s">
        <v>464</v>
      </c>
    </row>
    <row r="2253" spans="1:6" x14ac:dyDescent="0.2">
      <c r="A2253" s="325" t="s">
        <v>677</v>
      </c>
      <c r="B2253" s="325" t="s">
        <v>825</v>
      </c>
      <c r="C2253" s="325" t="s">
        <v>789</v>
      </c>
      <c r="D2253" s="325" t="s">
        <v>696</v>
      </c>
      <c r="E2253" s="325" t="s">
        <v>265</v>
      </c>
      <c r="F2253" s="325" t="s">
        <v>1010</v>
      </c>
    </row>
    <row r="2254" spans="1:6" x14ac:dyDescent="0.2">
      <c r="A2254" s="325" t="s">
        <v>677</v>
      </c>
      <c r="B2254" s="325" t="s">
        <v>826</v>
      </c>
      <c r="C2254" s="325" t="s">
        <v>789</v>
      </c>
      <c r="D2254" s="325" t="s">
        <v>15</v>
      </c>
      <c r="E2254" s="325" t="s">
        <v>265</v>
      </c>
      <c r="F2254" s="325" t="s">
        <v>446</v>
      </c>
    </row>
    <row r="2255" spans="1:6" x14ac:dyDescent="0.2">
      <c r="A2255" s="325" t="s">
        <v>677</v>
      </c>
      <c r="B2255" s="325" t="s">
        <v>827</v>
      </c>
      <c r="C2255" s="325" t="s">
        <v>789</v>
      </c>
      <c r="D2255" s="325" t="s">
        <v>551</v>
      </c>
      <c r="E2255" s="325" t="s">
        <v>265</v>
      </c>
      <c r="F2255" s="325" t="s">
        <v>10</v>
      </c>
    </row>
    <row r="2256" spans="1:6" x14ac:dyDescent="0.2">
      <c r="A2256" s="325" t="s">
        <v>677</v>
      </c>
      <c r="B2256" s="325" t="s">
        <v>828</v>
      </c>
      <c r="C2256" s="325" t="s">
        <v>789</v>
      </c>
      <c r="D2256" s="325" t="s">
        <v>9</v>
      </c>
      <c r="E2256" s="325" t="s">
        <v>265</v>
      </c>
      <c r="F2256" s="325" t="s">
        <v>189</v>
      </c>
    </row>
    <row r="2257" spans="1:6" x14ac:dyDescent="0.2">
      <c r="A2257" s="325" t="s">
        <v>677</v>
      </c>
      <c r="B2257" s="325" t="s">
        <v>829</v>
      </c>
      <c r="C2257" s="325" t="s">
        <v>789</v>
      </c>
      <c r="D2257" s="325" t="s">
        <v>566</v>
      </c>
      <c r="E2257" s="325" t="s">
        <v>265</v>
      </c>
      <c r="F2257" s="325" t="s">
        <v>135</v>
      </c>
    </row>
    <row r="2258" spans="1:6" x14ac:dyDescent="0.2">
      <c r="A2258" s="325" t="s">
        <v>677</v>
      </c>
      <c r="B2258" s="325" t="s">
        <v>830</v>
      </c>
      <c r="C2258" s="325" t="s">
        <v>789</v>
      </c>
      <c r="D2258" s="325" t="s">
        <v>412</v>
      </c>
      <c r="E2258" s="325" t="s">
        <v>456</v>
      </c>
      <c r="F2258" s="325" t="s">
        <v>128</v>
      </c>
    </row>
    <row r="2259" spans="1:6" x14ac:dyDescent="0.2">
      <c r="A2259" s="325" t="s">
        <v>677</v>
      </c>
      <c r="B2259" s="325" t="s">
        <v>831</v>
      </c>
      <c r="C2259" s="325" t="s">
        <v>789</v>
      </c>
      <c r="D2259" s="325" t="s">
        <v>369</v>
      </c>
      <c r="E2259" s="325" t="s">
        <v>456</v>
      </c>
      <c r="F2259" s="325" t="s">
        <v>496</v>
      </c>
    </row>
    <row r="2260" spans="1:6" x14ac:dyDescent="0.2">
      <c r="A2260" s="325" t="s">
        <v>677</v>
      </c>
      <c r="B2260" s="325" t="s">
        <v>832</v>
      </c>
      <c r="C2260" s="325" t="s">
        <v>789</v>
      </c>
      <c r="D2260" s="325" t="s">
        <v>348</v>
      </c>
      <c r="E2260" s="325" t="s">
        <v>265</v>
      </c>
      <c r="F2260" s="325" t="s">
        <v>293</v>
      </c>
    </row>
    <row r="2261" spans="1:6" x14ac:dyDescent="0.2">
      <c r="A2261" s="325" t="s">
        <v>677</v>
      </c>
      <c r="B2261" s="325" t="s">
        <v>833</v>
      </c>
      <c r="C2261" s="325" t="s">
        <v>789</v>
      </c>
      <c r="D2261" s="325" t="s">
        <v>244</v>
      </c>
      <c r="E2261" s="325" t="s">
        <v>265</v>
      </c>
      <c r="F2261" s="325" t="s">
        <v>543</v>
      </c>
    </row>
    <row r="2262" spans="1:6" x14ac:dyDescent="0.2">
      <c r="A2262" s="325" t="s">
        <v>677</v>
      </c>
      <c r="B2262" s="325" t="s">
        <v>834</v>
      </c>
      <c r="C2262" s="325" t="s">
        <v>789</v>
      </c>
      <c r="D2262" s="325" t="s">
        <v>488</v>
      </c>
      <c r="E2262" s="325" t="s">
        <v>265</v>
      </c>
      <c r="F2262" s="325" t="s">
        <v>545</v>
      </c>
    </row>
    <row r="2263" spans="1:6" x14ac:dyDescent="0.2">
      <c r="A2263" s="325" t="s">
        <v>677</v>
      </c>
      <c r="B2263" s="325" t="s">
        <v>835</v>
      </c>
      <c r="C2263" s="325" t="s">
        <v>789</v>
      </c>
      <c r="D2263" s="325" t="s">
        <v>397</v>
      </c>
      <c r="E2263" s="325" t="s">
        <v>265</v>
      </c>
      <c r="F2263" s="325" t="s">
        <v>88</v>
      </c>
    </row>
    <row r="2264" spans="1:6" x14ac:dyDescent="0.2">
      <c r="A2264" s="325" t="s">
        <v>677</v>
      </c>
      <c r="B2264" s="325" t="s">
        <v>836</v>
      </c>
      <c r="C2264" s="325" t="s">
        <v>789</v>
      </c>
      <c r="D2264" s="325" t="s">
        <v>440</v>
      </c>
      <c r="E2264" s="325" t="s">
        <v>265</v>
      </c>
      <c r="F2264" s="325" t="s">
        <v>368</v>
      </c>
    </row>
    <row r="2265" spans="1:6" x14ac:dyDescent="0.2">
      <c r="A2265" s="325" t="s">
        <v>677</v>
      </c>
      <c r="B2265" s="325" t="s">
        <v>837</v>
      </c>
      <c r="C2265" s="325" t="s">
        <v>789</v>
      </c>
      <c r="D2265" s="325" t="s">
        <v>445</v>
      </c>
      <c r="E2265" s="325" t="s">
        <v>265</v>
      </c>
      <c r="F2265" s="325" t="s">
        <v>238</v>
      </c>
    </row>
    <row r="2266" spans="1:6" x14ac:dyDescent="0.2">
      <c r="A2266" s="325" t="s">
        <v>677</v>
      </c>
      <c r="B2266" s="325" t="s">
        <v>838</v>
      </c>
      <c r="C2266" s="325" t="s">
        <v>789</v>
      </c>
      <c r="D2266" s="325" t="s">
        <v>119</v>
      </c>
      <c r="E2266" s="325" t="s">
        <v>265</v>
      </c>
      <c r="F2266" s="325" t="s">
        <v>557</v>
      </c>
    </row>
    <row r="2267" spans="1:6" x14ac:dyDescent="0.2">
      <c r="A2267" s="325" t="s">
        <v>677</v>
      </c>
      <c r="B2267" s="325" t="s">
        <v>839</v>
      </c>
      <c r="C2267" s="325" t="s">
        <v>789</v>
      </c>
      <c r="D2267" s="325" t="s">
        <v>580</v>
      </c>
      <c r="E2267" s="325" t="s">
        <v>265</v>
      </c>
      <c r="F2267" s="325" t="s">
        <v>120</v>
      </c>
    </row>
    <row r="2268" spans="1:6" x14ac:dyDescent="0.2">
      <c r="A2268" s="325" t="s">
        <v>677</v>
      </c>
      <c r="B2268" s="325" t="s">
        <v>840</v>
      </c>
      <c r="C2268" s="325" t="s">
        <v>789</v>
      </c>
      <c r="D2268" s="325" t="s">
        <v>64</v>
      </c>
      <c r="E2268" s="325" t="s">
        <v>265</v>
      </c>
      <c r="F2268" s="325" t="s">
        <v>197</v>
      </c>
    </row>
    <row r="2269" spans="1:6" x14ac:dyDescent="0.2">
      <c r="A2269" s="325" t="s">
        <v>677</v>
      </c>
      <c r="B2269" s="325" t="s">
        <v>841</v>
      </c>
      <c r="C2269" s="325" t="s">
        <v>789</v>
      </c>
      <c r="D2269" s="325" t="s">
        <v>471</v>
      </c>
      <c r="E2269" s="325" t="s">
        <v>265</v>
      </c>
      <c r="F2269" s="325" t="s">
        <v>466</v>
      </c>
    </row>
    <row r="2270" spans="1:6" x14ac:dyDescent="0.2">
      <c r="A2270" s="325" t="s">
        <v>677</v>
      </c>
      <c r="B2270" s="325" t="s">
        <v>842</v>
      </c>
      <c r="C2270" s="325" t="s">
        <v>789</v>
      </c>
      <c r="D2270" s="325" t="s">
        <v>539</v>
      </c>
      <c r="E2270" s="325" t="s">
        <v>265</v>
      </c>
      <c r="F2270" s="325" t="s">
        <v>394</v>
      </c>
    </row>
    <row r="2271" spans="1:6" x14ac:dyDescent="0.2">
      <c r="A2271" s="325" t="s">
        <v>677</v>
      </c>
      <c r="B2271" s="325" t="s">
        <v>843</v>
      </c>
      <c r="C2271" s="325" t="s">
        <v>789</v>
      </c>
      <c r="D2271" s="325" t="s">
        <v>318</v>
      </c>
      <c r="E2271" s="325" t="s">
        <v>265</v>
      </c>
      <c r="F2271" s="325" t="s">
        <v>478</v>
      </c>
    </row>
    <row r="2272" spans="1:6" x14ac:dyDescent="0.2">
      <c r="A2272" s="325" t="s">
        <v>677</v>
      </c>
      <c r="B2272" s="325" t="s">
        <v>844</v>
      </c>
      <c r="C2272" s="325" t="s">
        <v>789</v>
      </c>
      <c r="D2272" s="325" t="s">
        <v>257</v>
      </c>
      <c r="E2272" s="325" t="s">
        <v>265</v>
      </c>
      <c r="F2272" s="325" t="s">
        <v>338</v>
      </c>
    </row>
    <row r="2273" spans="1:6" x14ac:dyDescent="0.2">
      <c r="A2273" s="325" t="s">
        <v>677</v>
      </c>
      <c r="B2273" s="325" t="s">
        <v>845</v>
      </c>
      <c r="C2273" s="325" t="s">
        <v>789</v>
      </c>
      <c r="D2273" s="325" t="s">
        <v>751</v>
      </c>
      <c r="E2273" s="325" t="s">
        <v>265</v>
      </c>
      <c r="F2273" s="325" t="s">
        <v>753</v>
      </c>
    </row>
    <row r="2274" spans="1:6" x14ac:dyDescent="0.2">
      <c r="A2274" s="325" t="s">
        <v>677</v>
      </c>
      <c r="B2274" s="325" t="s">
        <v>846</v>
      </c>
      <c r="C2274" s="325" t="s">
        <v>789</v>
      </c>
      <c r="D2274" s="325" t="s">
        <v>55</v>
      </c>
      <c r="E2274" s="325" t="s">
        <v>265</v>
      </c>
      <c r="F2274" s="325" t="s">
        <v>305</v>
      </c>
    </row>
    <row r="2275" spans="1:6" x14ac:dyDescent="0.2">
      <c r="A2275" s="325" t="s">
        <v>677</v>
      </c>
      <c r="B2275" s="325" t="s">
        <v>847</v>
      </c>
      <c r="C2275" s="325" t="s">
        <v>789</v>
      </c>
      <c r="D2275" s="325" t="s">
        <v>627</v>
      </c>
      <c r="E2275" s="325" t="s">
        <v>442</v>
      </c>
      <c r="F2275" s="325" t="s">
        <v>602</v>
      </c>
    </row>
    <row r="2276" spans="1:6" x14ac:dyDescent="0.2">
      <c r="A2276" s="325" t="s">
        <v>677</v>
      </c>
      <c r="B2276" s="325" t="s">
        <v>848</v>
      </c>
      <c r="C2276" s="325" t="s">
        <v>789</v>
      </c>
      <c r="D2276" s="325" t="s">
        <v>370</v>
      </c>
      <c r="E2276" s="325" t="s">
        <v>265</v>
      </c>
      <c r="F2276" s="325" t="s">
        <v>484</v>
      </c>
    </row>
    <row r="2277" spans="1:6" x14ac:dyDescent="0.2">
      <c r="A2277" s="325" t="s">
        <v>677</v>
      </c>
      <c r="B2277" s="325" t="s">
        <v>849</v>
      </c>
      <c r="C2277" s="325" t="s">
        <v>789</v>
      </c>
      <c r="D2277" s="325" t="s">
        <v>752</v>
      </c>
      <c r="E2277" s="325" t="s">
        <v>265</v>
      </c>
      <c r="F2277" s="325" t="s">
        <v>754</v>
      </c>
    </row>
    <row r="2278" spans="1:6" x14ac:dyDescent="0.2">
      <c r="A2278" s="325" t="s">
        <v>677</v>
      </c>
      <c r="B2278" s="325" t="s">
        <v>850</v>
      </c>
      <c r="C2278" s="325" t="s">
        <v>789</v>
      </c>
      <c r="D2278" s="325" t="s">
        <v>585</v>
      </c>
      <c r="E2278" s="325" t="s">
        <v>265</v>
      </c>
      <c r="F2278" s="325" t="s">
        <v>564</v>
      </c>
    </row>
    <row r="2279" spans="1:6" x14ac:dyDescent="0.2">
      <c r="A2279" s="325" t="s">
        <v>677</v>
      </c>
      <c r="B2279" s="325" t="s">
        <v>851</v>
      </c>
      <c r="C2279" s="325" t="s">
        <v>789</v>
      </c>
      <c r="D2279" s="325" t="s">
        <v>603</v>
      </c>
      <c r="E2279" s="325" t="s">
        <v>265</v>
      </c>
      <c r="F2279" s="325" t="s">
        <v>703</v>
      </c>
    </row>
    <row r="2280" spans="1:6" x14ac:dyDescent="0.2">
      <c r="A2280" s="325" t="s">
        <v>677</v>
      </c>
      <c r="B2280" s="325" t="s">
        <v>852</v>
      </c>
      <c r="C2280" s="325" t="s">
        <v>789</v>
      </c>
      <c r="D2280" s="325" t="s">
        <v>604</v>
      </c>
      <c r="E2280" s="325" t="s">
        <v>265</v>
      </c>
      <c r="F2280" s="325" t="s">
        <v>702</v>
      </c>
    </row>
    <row r="2281" spans="1:6" x14ac:dyDescent="0.2">
      <c r="A2281" s="325" t="s">
        <v>677</v>
      </c>
      <c r="B2281" s="325" t="s">
        <v>853</v>
      </c>
      <c r="C2281" s="325" t="s">
        <v>789</v>
      </c>
      <c r="D2281" s="325" t="s">
        <v>565</v>
      </c>
      <c r="E2281" s="325" t="s">
        <v>265</v>
      </c>
      <c r="F2281" s="325" t="s">
        <v>306</v>
      </c>
    </row>
    <row r="2282" spans="1:6" x14ac:dyDescent="0.2">
      <c r="A2282" s="325" t="s">
        <v>677</v>
      </c>
      <c r="B2282" s="325" t="s">
        <v>854</v>
      </c>
      <c r="C2282" s="325" t="s">
        <v>789</v>
      </c>
      <c r="D2282" s="325" t="s">
        <v>354</v>
      </c>
      <c r="E2282" s="325" t="s">
        <v>265</v>
      </c>
      <c r="F2282" s="325" t="s">
        <v>390</v>
      </c>
    </row>
    <row r="2283" spans="1:6" x14ac:dyDescent="0.2">
      <c r="A2283" s="325" t="s">
        <v>677</v>
      </c>
      <c r="B2283" s="325" t="s">
        <v>855</v>
      </c>
      <c r="C2283" s="325" t="s">
        <v>789</v>
      </c>
      <c r="D2283" s="325" t="s">
        <v>93</v>
      </c>
      <c r="E2283" s="325" t="s">
        <v>265</v>
      </c>
      <c r="F2283" s="325" t="s">
        <v>170</v>
      </c>
    </row>
    <row r="2284" spans="1:6" x14ac:dyDescent="0.2">
      <c r="A2284" s="325" t="s">
        <v>677</v>
      </c>
      <c r="B2284" s="325" t="s">
        <v>856</v>
      </c>
      <c r="C2284" s="325" t="s">
        <v>789</v>
      </c>
      <c r="D2284" s="325" t="s">
        <v>198</v>
      </c>
      <c r="E2284" s="325" t="s">
        <v>265</v>
      </c>
      <c r="F2284" s="325" t="s">
        <v>139</v>
      </c>
    </row>
    <row r="2285" spans="1:6" x14ac:dyDescent="0.2">
      <c r="A2285" s="325" t="s">
        <v>677</v>
      </c>
      <c r="B2285" s="325" t="s">
        <v>857</v>
      </c>
      <c r="C2285" s="325" t="s">
        <v>789</v>
      </c>
      <c r="D2285" s="325" t="s">
        <v>522</v>
      </c>
      <c r="E2285" s="325" t="s">
        <v>265</v>
      </c>
      <c r="F2285" s="325" t="s">
        <v>27</v>
      </c>
    </row>
    <row r="2286" spans="1:6" x14ac:dyDescent="0.2">
      <c r="A2286" s="325" t="s">
        <v>677</v>
      </c>
      <c r="B2286" s="325" t="s">
        <v>858</v>
      </c>
      <c r="C2286" s="325" t="s">
        <v>789</v>
      </c>
      <c r="D2286" s="325" t="s">
        <v>152</v>
      </c>
      <c r="E2286" s="325" t="s">
        <v>265</v>
      </c>
      <c r="F2286" s="325" t="s">
        <v>555</v>
      </c>
    </row>
    <row r="2287" spans="1:6" x14ac:dyDescent="0.2">
      <c r="A2287" s="325" t="s">
        <v>677</v>
      </c>
      <c r="B2287" s="325" t="s">
        <v>859</v>
      </c>
      <c r="C2287" s="325" t="s">
        <v>789</v>
      </c>
      <c r="D2287" s="325" t="s">
        <v>547</v>
      </c>
      <c r="E2287" s="325" t="s">
        <v>265</v>
      </c>
      <c r="F2287" s="325" t="s">
        <v>374</v>
      </c>
    </row>
    <row r="2288" spans="1:6" x14ac:dyDescent="0.2">
      <c r="A2288" s="325" t="s">
        <v>677</v>
      </c>
      <c r="B2288" s="325" t="s">
        <v>860</v>
      </c>
      <c r="C2288" s="325" t="s">
        <v>789</v>
      </c>
      <c r="D2288" s="325" t="s">
        <v>490</v>
      </c>
      <c r="E2288" s="325" t="s">
        <v>265</v>
      </c>
      <c r="F2288" s="325" t="s">
        <v>177</v>
      </c>
    </row>
    <row r="2289" spans="1:6" x14ac:dyDescent="0.2">
      <c r="A2289" s="325" t="s">
        <v>677</v>
      </c>
      <c r="B2289" s="325" t="s">
        <v>861</v>
      </c>
      <c r="C2289" s="325" t="s">
        <v>789</v>
      </c>
      <c r="D2289" s="325" t="s">
        <v>209</v>
      </c>
      <c r="E2289" s="325" t="s">
        <v>265</v>
      </c>
      <c r="F2289" s="325" t="s">
        <v>41</v>
      </c>
    </row>
    <row r="2290" spans="1:6" x14ac:dyDescent="0.2">
      <c r="A2290" s="325" t="s">
        <v>677</v>
      </c>
      <c r="B2290" s="325" t="s">
        <v>862</v>
      </c>
      <c r="C2290" s="325" t="s">
        <v>789</v>
      </c>
      <c r="D2290" s="325" t="s">
        <v>163</v>
      </c>
      <c r="E2290" s="325" t="s">
        <v>265</v>
      </c>
      <c r="F2290" s="325" t="s">
        <v>98</v>
      </c>
    </row>
    <row r="2291" spans="1:6" x14ac:dyDescent="0.2">
      <c r="A2291" s="325" t="s">
        <v>677</v>
      </c>
      <c r="B2291" s="325" t="s">
        <v>863</v>
      </c>
      <c r="C2291" s="325" t="s">
        <v>789</v>
      </c>
      <c r="D2291" s="325" t="s">
        <v>200</v>
      </c>
      <c r="E2291" s="325" t="s">
        <v>265</v>
      </c>
      <c r="F2291" s="325" t="s">
        <v>230</v>
      </c>
    </row>
    <row r="2292" spans="1:6" x14ac:dyDescent="0.2">
      <c r="A2292" s="325" t="s">
        <v>677</v>
      </c>
      <c r="B2292" s="325" t="s">
        <v>864</v>
      </c>
      <c r="C2292" s="325" t="s">
        <v>789</v>
      </c>
      <c r="D2292" s="325" t="s">
        <v>54</v>
      </c>
      <c r="E2292" s="325" t="s">
        <v>265</v>
      </c>
      <c r="F2292" s="325" t="s">
        <v>192</v>
      </c>
    </row>
    <row r="2293" spans="1:6" x14ac:dyDescent="0.2">
      <c r="A2293" s="325" t="s">
        <v>677</v>
      </c>
      <c r="B2293" s="325" t="s">
        <v>865</v>
      </c>
      <c r="C2293" s="325" t="s">
        <v>789</v>
      </c>
      <c r="D2293" s="325" t="s">
        <v>133</v>
      </c>
      <c r="E2293" s="325" t="s">
        <v>265</v>
      </c>
      <c r="F2293" s="325" t="s">
        <v>349</v>
      </c>
    </row>
    <row r="2294" spans="1:6" x14ac:dyDescent="0.2">
      <c r="A2294" s="325" t="s">
        <v>677</v>
      </c>
      <c r="B2294" s="325" t="s">
        <v>866</v>
      </c>
      <c r="C2294" s="325" t="s">
        <v>789</v>
      </c>
      <c r="D2294" s="325" t="s">
        <v>232</v>
      </c>
      <c r="E2294" s="325" t="s">
        <v>265</v>
      </c>
      <c r="F2294" s="325" t="s">
        <v>16</v>
      </c>
    </row>
    <row r="2295" spans="1:6" x14ac:dyDescent="0.2">
      <c r="A2295" s="325" t="s">
        <v>677</v>
      </c>
      <c r="B2295" s="325" t="s">
        <v>867</v>
      </c>
      <c r="C2295" s="325" t="s">
        <v>789</v>
      </c>
      <c r="D2295" s="325" t="s">
        <v>56</v>
      </c>
      <c r="E2295" s="325" t="s">
        <v>265</v>
      </c>
      <c r="F2295" s="325" t="s">
        <v>199</v>
      </c>
    </row>
    <row r="2296" spans="1:6" x14ac:dyDescent="0.2">
      <c r="A2296" s="325" t="s">
        <v>677</v>
      </c>
      <c r="B2296" s="325" t="s">
        <v>868</v>
      </c>
      <c r="C2296" s="325" t="s">
        <v>789</v>
      </c>
      <c r="D2296" s="325" t="s">
        <v>434</v>
      </c>
      <c r="E2296" s="325" t="s">
        <v>265</v>
      </c>
      <c r="F2296" s="325" t="s">
        <v>514</v>
      </c>
    </row>
    <row r="2297" spans="1:6" x14ac:dyDescent="0.2">
      <c r="A2297" s="325" t="s">
        <v>677</v>
      </c>
      <c r="B2297" s="325" t="s">
        <v>869</v>
      </c>
      <c r="C2297" s="325" t="s">
        <v>789</v>
      </c>
      <c r="D2297" s="325" t="s">
        <v>108</v>
      </c>
      <c r="E2297" s="325" t="s">
        <v>265</v>
      </c>
      <c r="F2297" s="325" t="s">
        <v>362</v>
      </c>
    </row>
    <row r="2298" spans="1:6" x14ac:dyDescent="0.2">
      <c r="A2298" s="325" t="s">
        <v>677</v>
      </c>
      <c r="B2298" s="325" t="s">
        <v>870</v>
      </c>
      <c r="C2298" s="325" t="s">
        <v>789</v>
      </c>
      <c r="D2298" s="325" t="s">
        <v>657</v>
      </c>
      <c r="E2298" s="325" t="s">
        <v>265</v>
      </c>
      <c r="F2298" s="325" t="s">
        <v>658</v>
      </c>
    </row>
    <row r="2299" spans="1:6" x14ac:dyDescent="0.2">
      <c r="A2299" s="325" t="s">
        <v>677</v>
      </c>
      <c r="B2299" s="325" t="s">
        <v>871</v>
      </c>
      <c r="C2299" s="325" t="s">
        <v>789</v>
      </c>
      <c r="D2299" s="325" t="s">
        <v>659</v>
      </c>
      <c r="E2299" s="325" t="s">
        <v>265</v>
      </c>
      <c r="F2299" s="325" t="s">
        <v>660</v>
      </c>
    </row>
    <row r="2300" spans="1:6" x14ac:dyDescent="0.2">
      <c r="A2300" s="325" t="s">
        <v>677</v>
      </c>
      <c r="B2300" s="325" t="s">
        <v>872</v>
      </c>
      <c r="C2300" s="325" t="s">
        <v>789</v>
      </c>
      <c r="D2300" s="325" t="s">
        <v>661</v>
      </c>
      <c r="E2300" s="325" t="s">
        <v>265</v>
      </c>
      <c r="F2300" s="325" t="s">
        <v>662</v>
      </c>
    </row>
    <row r="2301" spans="1:6" x14ac:dyDescent="0.2">
      <c r="A2301" s="325" t="s">
        <v>677</v>
      </c>
      <c r="B2301" s="325" t="s">
        <v>873</v>
      </c>
      <c r="C2301" s="325" t="s">
        <v>789</v>
      </c>
      <c r="D2301" s="325" t="s">
        <v>648</v>
      </c>
      <c r="E2301" s="325" t="s">
        <v>265</v>
      </c>
      <c r="F2301" s="325" t="s">
        <v>651</v>
      </c>
    </row>
    <row r="2302" spans="1:6" x14ac:dyDescent="0.2">
      <c r="A2302" s="325" t="s">
        <v>677</v>
      </c>
      <c r="B2302" s="325" t="s">
        <v>874</v>
      </c>
      <c r="C2302" s="325" t="s">
        <v>789</v>
      </c>
      <c r="D2302" s="325" t="s">
        <v>649</v>
      </c>
      <c r="E2302" s="325" t="s">
        <v>265</v>
      </c>
      <c r="F2302" s="325" t="s">
        <v>652</v>
      </c>
    </row>
    <row r="2303" spans="1:6" x14ac:dyDescent="0.2">
      <c r="A2303" s="325" t="s">
        <v>677</v>
      </c>
      <c r="B2303" s="325" t="s">
        <v>875</v>
      </c>
      <c r="C2303" s="325" t="s">
        <v>789</v>
      </c>
      <c r="D2303" s="325" t="s">
        <v>650</v>
      </c>
      <c r="E2303" s="325" t="s">
        <v>265</v>
      </c>
      <c r="F2303" s="325" t="s">
        <v>653</v>
      </c>
    </row>
    <row r="2304" spans="1:6" x14ac:dyDescent="0.2">
      <c r="A2304" s="325" t="s">
        <v>677</v>
      </c>
      <c r="B2304" s="325" t="s">
        <v>876</v>
      </c>
      <c r="C2304" s="325" t="s">
        <v>789</v>
      </c>
      <c r="D2304" s="325" t="s">
        <v>327</v>
      </c>
      <c r="E2304" s="325" t="s">
        <v>265</v>
      </c>
      <c r="F2304" s="325" t="s">
        <v>102</v>
      </c>
    </row>
    <row r="2305" spans="1:6" x14ac:dyDescent="0.2">
      <c r="A2305" s="325" t="s">
        <v>677</v>
      </c>
      <c r="B2305" s="325" t="s">
        <v>877</v>
      </c>
      <c r="C2305" s="325" t="s">
        <v>789</v>
      </c>
      <c r="D2305" s="325" t="s">
        <v>356</v>
      </c>
      <c r="E2305" s="325" t="s">
        <v>265</v>
      </c>
      <c r="F2305" s="325" t="s">
        <v>1011</v>
      </c>
    </row>
    <row r="2306" spans="1:6" x14ac:dyDescent="0.2">
      <c r="A2306" s="325" t="s">
        <v>677</v>
      </c>
      <c r="B2306" s="325" t="s">
        <v>878</v>
      </c>
      <c r="C2306" s="325" t="s">
        <v>789</v>
      </c>
      <c r="D2306" s="325" t="s">
        <v>513</v>
      </c>
      <c r="E2306" s="325" t="s">
        <v>442</v>
      </c>
      <c r="F2306" s="325" t="s">
        <v>264</v>
      </c>
    </row>
    <row r="2307" spans="1:6" x14ac:dyDescent="0.2">
      <c r="A2307" s="325" t="s">
        <v>677</v>
      </c>
      <c r="B2307" s="325" t="s">
        <v>879</v>
      </c>
      <c r="C2307" s="325" t="s">
        <v>789</v>
      </c>
      <c r="D2307" s="325" t="s">
        <v>554</v>
      </c>
      <c r="E2307" s="325" t="s">
        <v>442</v>
      </c>
      <c r="F2307" s="325" t="s">
        <v>229</v>
      </c>
    </row>
    <row r="2308" spans="1:6" x14ac:dyDescent="0.2">
      <c r="A2308" s="325" t="s">
        <v>677</v>
      </c>
      <c r="B2308" s="325" t="s">
        <v>880</v>
      </c>
      <c r="C2308" s="325" t="s">
        <v>789</v>
      </c>
      <c r="D2308" s="325" t="s">
        <v>409</v>
      </c>
      <c r="E2308" s="325" t="s">
        <v>442</v>
      </c>
      <c r="F2308" s="325" t="s">
        <v>336</v>
      </c>
    </row>
    <row r="2309" spans="1:6" x14ac:dyDescent="0.2">
      <c r="A2309" s="325" t="s">
        <v>677</v>
      </c>
      <c r="B2309" s="325" t="s">
        <v>881</v>
      </c>
      <c r="C2309" s="325" t="s">
        <v>789</v>
      </c>
      <c r="D2309" s="325" t="s">
        <v>72</v>
      </c>
      <c r="E2309" s="325" t="s">
        <v>265</v>
      </c>
      <c r="F2309" s="325" t="s">
        <v>451</v>
      </c>
    </row>
    <row r="2310" spans="1:6" x14ac:dyDescent="0.2">
      <c r="A2310" s="325" t="s">
        <v>677</v>
      </c>
      <c r="B2310" s="325" t="s">
        <v>882</v>
      </c>
      <c r="C2310" s="325" t="s">
        <v>789</v>
      </c>
      <c r="D2310" s="325" t="s">
        <v>35</v>
      </c>
      <c r="E2310" s="325" t="s">
        <v>265</v>
      </c>
      <c r="F2310" s="325" t="s">
        <v>414</v>
      </c>
    </row>
    <row r="2311" spans="1:6" x14ac:dyDescent="0.2">
      <c r="A2311" s="325" t="s">
        <v>677</v>
      </c>
      <c r="B2311" s="325" t="s">
        <v>883</v>
      </c>
      <c r="C2311" s="325" t="s">
        <v>789</v>
      </c>
      <c r="D2311" s="325" t="s">
        <v>628</v>
      </c>
      <c r="E2311" s="325" t="s">
        <v>456</v>
      </c>
      <c r="F2311" s="325" t="s">
        <v>62</v>
      </c>
    </row>
    <row r="2312" spans="1:6" x14ac:dyDescent="0.2">
      <c r="A2312" s="325" t="s">
        <v>677</v>
      </c>
      <c r="B2312" s="325" t="s">
        <v>884</v>
      </c>
      <c r="C2312" s="325" t="s">
        <v>789</v>
      </c>
      <c r="D2312" s="325" t="s">
        <v>629</v>
      </c>
      <c r="E2312" s="325" t="s">
        <v>456</v>
      </c>
      <c r="F2312" s="325" t="s">
        <v>148</v>
      </c>
    </row>
    <row r="2313" spans="1:6" x14ac:dyDescent="0.2">
      <c r="A2313" s="325" t="s">
        <v>677</v>
      </c>
      <c r="B2313" s="325" t="s">
        <v>885</v>
      </c>
      <c r="C2313" s="325" t="s">
        <v>789</v>
      </c>
      <c r="D2313" s="325" t="s">
        <v>630</v>
      </c>
      <c r="E2313" s="325" t="s">
        <v>456</v>
      </c>
      <c r="F2313" s="325" t="s">
        <v>8</v>
      </c>
    </row>
    <row r="2314" spans="1:6" x14ac:dyDescent="0.2">
      <c r="A2314" s="325" t="s">
        <v>677</v>
      </c>
      <c r="B2314" s="325" t="s">
        <v>886</v>
      </c>
      <c r="C2314" s="325" t="s">
        <v>789</v>
      </c>
      <c r="D2314" s="325" t="s">
        <v>631</v>
      </c>
      <c r="E2314" s="325" t="s">
        <v>456</v>
      </c>
      <c r="F2314" s="325" t="s">
        <v>475</v>
      </c>
    </row>
    <row r="2315" spans="1:6" x14ac:dyDescent="0.2">
      <c r="A2315" s="325" t="s">
        <v>677</v>
      </c>
      <c r="B2315" s="325" t="s">
        <v>887</v>
      </c>
      <c r="C2315" s="325" t="s">
        <v>789</v>
      </c>
      <c r="D2315" s="325" t="s">
        <v>632</v>
      </c>
      <c r="E2315" s="325" t="s">
        <v>456</v>
      </c>
      <c r="F2315" s="325" t="s">
        <v>245</v>
      </c>
    </row>
    <row r="2316" spans="1:6" x14ac:dyDescent="0.2">
      <c r="A2316" s="325" t="s">
        <v>677</v>
      </c>
      <c r="B2316" s="325" t="s">
        <v>888</v>
      </c>
      <c r="C2316" s="325" t="s">
        <v>789</v>
      </c>
      <c r="D2316" s="325" t="s">
        <v>633</v>
      </c>
      <c r="E2316" s="325" t="s">
        <v>456</v>
      </c>
      <c r="F2316" s="325" t="s">
        <v>181</v>
      </c>
    </row>
    <row r="2317" spans="1:6" x14ac:dyDescent="0.2">
      <c r="A2317" s="325" t="s">
        <v>677</v>
      </c>
      <c r="B2317" s="325" t="s">
        <v>889</v>
      </c>
      <c r="C2317" s="325" t="s">
        <v>789</v>
      </c>
      <c r="D2317" s="325" t="s">
        <v>712</v>
      </c>
      <c r="E2317" s="325" t="s">
        <v>456</v>
      </c>
      <c r="F2317" s="325" t="s">
        <v>713</v>
      </c>
    </row>
    <row r="2318" spans="1:6" x14ac:dyDescent="0.2">
      <c r="A2318" s="325" t="s">
        <v>677</v>
      </c>
      <c r="B2318" s="325" t="s">
        <v>890</v>
      </c>
      <c r="C2318" s="325" t="s">
        <v>789</v>
      </c>
      <c r="D2318" s="325" t="s">
        <v>634</v>
      </c>
      <c r="E2318" s="325" t="s">
        <v>456</v>
      </c>
      <c r="F2318" s="325" t="s">
        <v>63</v>
      </c>
    </row>
    <row r="2319" spans="1:6" x14ac:dyDescent="0.2">
      <c r="A2319" s="325" t="s">
        <v>677</v>
      </c>
      <c r="B2319" s="325" t="s">
        <v>891</v>
      </c>
      <c r="C2319" s="325" t="s">
        <v>789</v>
      </c>
      <c r="D2319" s="325" t="s">
        <v>635</v>
      </c>
      <c r="E2319" s="325" t="s">
        <v>456</v>
      </c>
      <c r="F2319" s="325" t="s">
        <v>1012</v>
      </c>
    </row>
    <row r="2320" spans="1:6" x14ac:dyDescent="0.2">
      <c r="A2320" s="325" t="s">
        <v>677</v>
      </c>
      <c r="B2320" s="325" t="s">
        <v>892</v>
      </c>
      <c r="C2320" s="325" t="s">
        <v>789</v>
      </c>
      <c r="D2320" s="325" t="s">
        <v>699</v>
      </c>
      <c r="E2320" s="325" t="s">
        <v>265</v>
      </c>
      <c r="F2320" s="325" t="s">
        <v>994</v>
      </c>
    </row>
    <row r="2321" spans="1:6" x14ac:dyDescent="0.2">
      <c r="A2321" s="325" t="s">
        <v>677</v>
      </c>
      <c r="B2321" s="325" t="s">
        <v>893</v>
      </c>
      <c r="C2321" s="325" t="s">
        <v>789</v>
      </c>
      <c r="D2321" s="325" t="s">
        <v>636</v>
      </c>
      <c r="E2321" s="325" t="s">
        <v>456</v>
      </c>
      <c r="F2321" s="325" t="s">
        <v>74</v>
      </c>
    </row>
    <row r="2322" spans="1:6" x14ac:dyDescent="0.2">
      <c r="A2322" s="325" t="s">
        <v>677</v>
      </c>
      <c r="B2322" s="325" t="s">
        <v>894</v>
      </c>
      <c r="C2322" s="325" t="s">
        <v>789</v>
      </c>
      <c r="D2322" s="325" t="s">
        <v>637</v>
      </c>
      <c r="E2322" s="325" t="s">
        <v>456</v>
      </c>
      <c r="F2322" s="325" t="s">
        <v>236</v>
      </c>
    </row>
    <row r="2323" spans="1:6" x14ac:dyDescent="0.2">
      <c r="A2323" s="325" t="s">
        <v>677</v>
      </c>
      <c r="B2323" s="325" t="s">
        <v>895</v>
      </c>
      <c r="C2323" s="325" t="s">
        <v>789</v>
      </c>
      <c r="D2323" s="325" t="s">
        <v>638</v>
      </c>
      <c r="E2323" s="325" t="s">
        <v>456</v>
      </c>
      <c r="F2323" s="325" t="s">
        <v>74</v>
      </c>
    </row>
    <row r="2324" spans="1:6" x14ac:dyDescent="0.2">
      <c r="A2324" s="325" t="s">
        <v>677</v>
      </c>
      <c r="B2324" s="325" t="s">
        <v>896</v>
      </c>
      <c r="C2324" s="325" t="s">
        <v>789</v>
      </c>
      <c r="D2324" s="325" t="s">
        <v>639</v>
      </c>
      <c r="E2324" s="325" t="s">
        <v>456</v>
      </c>
      <c r="F2324" s="325" t="s">
        <v>236</v>
      </c>
    </row>
    <row r="2325" spans="1:6" x14ac:dyDescent="0.2">
      <c r="A2325" s="325" t="s">
        <v>677</v>
      </c>
      <c r="B2325" s="325" t="s">
        <v>897</v>
      </c>
      <c r="C2325" s="325" t="s">
        <v>789</v>
      </c>
      <c r="D2325" s="325" t="s">
        <v>640</v>
      </c>
      <c r="E2325" s="325" t="s">
        <v>456</v>
      </c>
      <c r="F2325" s="325" t="s">
        <v>342</v>
      </c>
    </row>
    <row r="2326" spans="1:6" x14ac:dyDescent="0.2">
      <c r="A2326" s="325" t="s">
        <v>677</v>
      </c>
      <c r="B2326" s="325" t="s">
        <v>898</v>
      </c>
      <c r="C2326" s="325" t="s">
        <v>789</v>
      </c>
      <c r="D2326" s="325" t="s">
        <v>641</v>
      </c>
      <c r="E2326" s="325" t="s">
        <v>456</v>
      </c>
      <c r="F2326" s="325" t="s">
        <v>559</v>
      </c>
    </row>
    <row r="2327" spans="1:6" x14ac:dyDescent="0.2">
      <c r="A2327" s="325" t="s">
        <v>677</v>
      </c>
      <c r="B2327" s="325" t="s">
        <v>899</v>
      </c>
      <c r="C2327" s="325" t="s">
        <v>789</v>
      </c>
      <c r="D2327" s="325" t="s">
        <v>642</v>
      </c>
      <c r="E2327" s="325" t="s">
        <v>456</v>
      </c>
      <c r="F2327" s="325" t="s">
        <v>256</v>
      </c>
    </row>
    <row r="2328" spans="1:6" x14ac:dyDescent="0.2">
      <c r="A2328" s="325" t="s">
        <v>677</v>
      </c>
      <c r="B2328" s="325" t="s">
        <v>901</v>
      </c>
      <c r="C2328" s="325" t="s">
        <v>789</v>
      </c>
      <c r="D2328" s="325" t="s">
        <v>21</v>
      </c>
      <c r="E2328" s="325" t="s">
        <v>265</v>
      </c>
      <c r="F2328" s="325" t="s">
        <v>47</v>
      </c>
    </row>
    <row r="2329" spans="1:6" x14ac:dyDescent="0.2">
      <c r="A2329" s="325" t="s">
        <v>677</v>
      </c>
      <c r="B2329" s="325" t="s">
        <v>902</v>
      </c>
      <c r="C2329" s="325" t="s">
        <v>789</v>
      </c>
      <c r="D2329" s="325" t="s">
        <v>323</v>
      </c>
      <c r="E2329" s="325" t="s">
        <v>265</v>
      </c>
      <c r="F2329" s="325" t="s">
        <v>20</v>
      </c>
    </row>
    <row r="2330" spans="1:6" x14ac:dyDescent="0.2">
      <c r="A2330" s="325" t="s">
        <v>677</v>
      </c>
      <c r="B2330" s="325" t="s">
        <v>903</v>
      </c>
      <c r="C2330" s="325" t="s">
        <v>789</v>
      </c>
      <c r="D2330" s="325" t="s">
        <v>447</v>
      </c>
      <c r="E2330" s="325" t="s">
        <v>265</v>
      </c>
      <c r="F2330" s="325" t="s">
        <v>741</v>
      </c>
    </row>
    <row r="2331" spans="1:6" x14ac:dyDescent="0.2">
      <c r="A2331" s="325" t="s">
        <v>677</v>
      </c>
      <c r="B2331" s="325" t="s">
        <v>904</v>
      </c>
      <c r="C2331" s="325" t="s">
        <v>789</v>
      </c>
      <c r="D2331" s="325" t="s">
        <v>742</v>
      </c>
      <c r="E2331" s="325" t="s">
        <v>456</v>
      </c>
      <c r="F2331" s="325" t="s">
        <v>743</v>
      </c>
    </row>
    <row r="2332" spans="1:6" x14ac:dyDescent="0.2">
      <c r="A2332" s="325" t="s">
        <v>677</v>
      </c>
      <c r="B2332" s="325" t="s">
        <v>905</v>
      </c>
      <c r="C2332" s="325" t="s">
        <v>789</v>
      </c>
      <c r="D2332" s="325" t="s">
        <v>643</v>
      </c>
      <c r="E2332" s="325" t="s">
        <v>456</v>
      </c>
      <c r="F2332" s="325" t="s">
        <v>995</v>
      </c>
    </row>
    <row r="2333" spans="1:6" x14ac:dyDescent="0.2">
      <c r="A2333" s="325" t="s">
        <v>677</v>
      </c>
      <c r="B2333" s="325" t="s">
        <v>906</v>
      </c>
      <c r="C2333" s="325" t="s">
        <v>789</v>
      </c>
      <c r="D2333" s="325" t="s">
        <v>679</v>
      </c>
      <c r="E2333" s="325" t="s">
        <v>265</v>
      </c>
      <c r="F2333" s="325" t="s">
        <v>682</v>
      </c>
    </row>
    <row r="2334" spans="1:6" x14ac:dyDescent="0.2">
      <c r="A2334" s="325" t="s">
        <v>677</v>
      </c>
      <c r="B2334" s="325" t="s">
        <v>907</v>
      </c>
      <c r="C2334" s="325" t="s">
        <v>789</v>
      </c>
      <c r="D2334" s="325" t="s">
        <v>644</v>
      </c>
      <c r="E2334" s="325" t="s">
        <v>456</v>
      </c>
      <c r="F2334" s="325" t="s">
        <v>165</v>
      </c>
    </row>
    <row r="2335" spans="1:6" x14ac:dyDescent="0.2">
      <c r="A2335" s="325" t="s">
        <v>677</v>
      </c>
      <c r="B2335" s="325" t="s">
        <v>908</v>
      </c>
      <c r="C2335" s="325" t="s">
        <v>789</v>
      </c>
      <c r="D2335" s="325" t="s">
        <v>645</v>
      </c>
      <c r="E2335" s="325" t="s">
        <v>456</v>
      </c>
      <c r="F2335" s="325" t="s">
        <v>535</v>
      </c>
    </row>
    <row r="2336" spans="1:6" x14ac:dyDescent="0.2">
      <c r="A2336" s="325" t="s">
        <v>677</v>
      </c>
      <c r="B2336" s="325" t="s">
        <v>909</v>
      </c>
      <c r="C2336" s="325" t="s">
        <v>789</v>
      </c>
      <c r="D2336" s="325" t="s">
        <v>646</v>
      </c>
      <c r="E2336" s="325" t="s">
        <v>456</v>
      </c>
      <c r="F2336" s="325" t="s">
        <v>311</v>
      </c>
    </row>
    <row r="2337" spans="1:6" x14ac:dyDescent="0.2">
      <c r="A2337" s="325" t="s">
        <v>677</v>
      </c>
      <c r="B2337" s="325" t="s">
        <v>910</v>
      </c>
      <c r="C2337" s="325" t="s">
        <v>789</v>
      </c>
      <c r="D2337" s="325" t="s">
        <v>395</v>
      </c>
      <c r="E2337" s="325" t="s">
        <v>456</v>
      </c>
      <c r="F2337" s="325" t="s">
        <v>588</v>
      </c>
    </row>
    <row r="2338" spans="1:6" x14ac:dyDescent="0.2">
      <c r="A2338" s="325" t="s">
        <v>677</v>
      </c>
      <c r="B2338" s="325" t="s">
        <v>911</v>
      </c>
      <c r="C2338" s="325" t="s">
        <v>789</v>
      </c>
      <c r="D2338" s="325" t="s">
        <v>499</v>
      </c>
      <c r="E2338" s="325" t="s">
        <v>456</v>
      </c>
      <c r="F2338" s="325" t="s">
        <v>314</v>
      </c>
    </row>
    <row r="2339" spans="1:6" x14ac:dyDescent="0.2">
      <c r="A2339" s="325" t="s">
        <v>677</v>
      </c>
      <c r="B2339" s="325" t="s">
        <v>974</v>
      </c>
      <c r="C2339" s="325" t="s">
        <v>789</v>
      </c>
      <c r="D2339" s="325" t="s">
        <v>51</v>
      </c>
      <c r="E2339" s="325" t="s">
        <v>265</v>
      </c>
      <c r="F2339" s="325" t="s">
        <v>266</v>
      </c>
    </row>
    <row r="2340" spans="1:6" x14ac:dyDescent="0.2">
      <c r="A2340" s="325" t="s">
        <v>677</v>
      </c>
      <c r="B2340" s="325" t="s">
        <v>975</v>
      </c>
      <c r="C2340" s="325" t="s">
        <v>789</v>
      </c>
      <c r="D2340" s="325" t="s">
        <v>283</v>
      </c>
      <c r="E2340" s="325" t="s">
        <v>265</v>
      </c>
      <c r="F2340" s="325" t="s">
        <v>53</v>
      </c>
    </row>
    <row r="2341" spans="1:6" x14ac:dyDescent="0.2">
      <c r="A2341" s="325" t="s">
        <v>677</v>
      </c>
      <c r="B2341" s="325" t="s">
        <v>976</v>
      </c>
      <c r="C2341" s="325" t="s">
        <v>789</v>
      </c>
      <c r="D2341" s="325" t="s">
        <v>542</v>
      </c>
      <c r="E2341" s="325" t="s">
        <v>265</v>
      </c>
      <c r="F2341" s="325" t="s">
        <v>372</v>
      </c>
    </row>
    <row r="2342" spans="1:6" x14ac:dyDescent="0.2">
      <c r="A2342" s="325" t="s">
        <v>677</v>
      </c>
      <c r="B2342" s="325" t="s">
        <v>977</v>
      </c>
      <c r="C2342" s="325" t="s">
        <v>789</v>
      </c>
      <c r="D2342" s="325" t="s">
        <v>576</v>
      </c>
      <c r="E2342" s="325" t="s">
        <v>265</v>
      </c>
      <c r="F2342" s="325" t="s">
        <v>333</v>
      </c>
    </row>
    <row r="2343" spans="1:6" x14ac:dyDescent="0.2">
      <c r="A2343" s="325" t="s">
        <v>677</v>
      </c>
      <c r="B2343" s="325" t="s">
        <v>793</v>
      </c>
      <c r="C2343" s="325" t="s">
        <v>790</v>
      </c>
      <c r="D2343" s="325" t="s">
        <v>654</v>
      </c>
      <c r="E2343" s="325" t="s">
        <v>265</v>
      </c>
      <c r="F2343" s="325" t="s">
        <v>998</v>
      </c>
    </row>
    <row r="2344" spans="1:6" x14ac:dyDescent="0.2">
      <c r="A2344" s="325" t="s">
        <v>677</v>
      </c>
      <c r="B2344" s="325" t="s">
        <v>794</v>
      </c>
      <c r="C2344" s="325" t="s">
        <v>790</v>
      </c>
      <c r="D2344" s="325" t="s">
        <v>510</v>
      </c>
      <c r="E2344" s="325" t="s">
        <v>265</v>
      </c>
      <c r="F2344" s="325" t="s">
        <v>999</v>
      </c>
    </row>
    <row r="2345" spans="1:6" x14ac:dyDescent="0.2">
      <c r="A2345" s="325" t="s">
        <v>677</v>
      </c>
      <c r="B2345" s="325" t="s">
        <v>795</v>
      </c>
      <c r="C2345" s="325" t="s">
        <v>790</v>
      </c>
      <c r="D2345" s="325" t="s">
        <v>400</v>
      </c>
      <c r="E2345" s="325" t="s">
        <v>265</v>
      </c>
      <c r="F2345" s="325" t="s">
        <v>1001</v>
      </c>
    </row>
    <row r="2346" spans="1:6" x14ac:dyDescent="0.2">
      <c r="A2346" s="325" t="s">
        <v>677</v>
      </c>
      <c r="B2346" s="325" t="s">
        <v>796</v>
      </c>
      <c r="C2346" s="325" t="s">
        <v>790</v>
      </c>
      <c r="D2346" s="325" t="s">
        <v>302</v>
      </c>
      <c r="E2346" s="325" t="s">
        <v>265</v>
      </c>
      <c r="F2346" s="325" t="s">
        <v>1000</v>
      </c>
    </row>
    <row r="2347" spans="1:6" x14ac:dyDescent="0.2">
      <c r="A2347" s="325" t="s">
        <v>677</v>
      </c>
      <c r="B2347" s="325" t="s">
        <v>797</v>
      </c>
      <c r="C2347" s="325" t="s">
        <v>790</v>
      </c>
      <c r="D2347" s="325" t="s">
        <v>28</v>
      </c>
      <c r="E2347" s="325" t="s">
        <v>442</v>
      </c>
      <c r="F2347" s="325" t="s">
        <v>1008</v>
      </c>
    </row>
    <row r="2348" spans="1:6" x14ac:dyDescent="0.2">
      <c r="A2348" s="325" t="s">
        <v>677</v>
      </c>
      <c r="B2348" s="325" t="s">
        <v>798</v>
      </c>
      <c r="C2348" s="325" t="s">
        <v>790</v>
      </c>
      <c r="D2348" s="325" t="s">
        <v>67</v>
      </c>
      <c r="E2348" s="325" t="s">
        <v>556</v>
      </c>
      <c r="F2348" s="325" t="s">
        <v>1009</v>
      </c>
    </row>
    <row r="2349" spans="1:6" x14ac:dyDescent="0.2">
      <c r="A2349" s="325" t="s">
        <v>677</v>
      </c>
      <c r="B2349" s="325" t="s">
        <v>799</v>
      </c>
      <c r="C2349" s="325" t="s">
        <v>790</v>
      </c>
      <c r="D2349" s="325" t="s">
        <v>168</v>
      </c>
      <c r="E2349" s="325" t="s">
        <v>265</v>
      </c>
      <c r="F2349" s="325" t="s">
        <v>145</v>
      </c>
    </row>
    <row r="2350" spans="1:6" x14ac:dyDescent="0.2">
      <c r="A2350" s="325" t="s">
        <v>677</v>
      </c>
      <c r="B2350" s="325" t="s">
        <v>800</v>
      </c>
      <c r="C2350" s="325" t="s">
        <v>790</v>
      </c>
      <c r="D2350" s="325" t="s">
        <v>310</v>
      </c>
      <c r="E2350" s="325" t="s">
        <v>265</v>
      </c>
      <c r="F2350" s="325" t="s">
        <v>350</v>
      </c>
    </row>
    <row r="2351" spans="1:6" x14ac:dyDescent="0.2">
      <c r="A2351" s="325" t="s">
        <v>677</v>
      </c>
      <c r="B2351" s="325" t="s">
        <v>801</v>
      </c>
      <c r="C2351" s="325" t="s">
        <v>790</v>
      </c>
      <c r="D2351" s="325" t="s">
        <v>87</v>
      </c>
      <c r="E2351" s="325" t="s">
        <v>265</v>
      </c>
      <c r="F2351" s="325" t="s">
        <v>79</v>
      </c>
    </row>
    <row r="2352" spans="1:6" x14ac:dyDescent="0.2">
      <c r="A2352" s="325" t="s">
        <v>677</v>
      </c>
      <c r="B2352" s="325" t="s">
        <v>802</v>
      </c>
      <c r="C2352" s="325" t="s">
        <v>790</v>
      </c>
      <c r="D2352" s="325" t="s">
        <v>228</v>
      </c>
      <c r="E2352" s="325" t="s">
        <v>265</v>
      </c>
      <c r="F2352" s="325" t="s">
        <v>331</v>
      </c>
    </row>
    <row r="2353" spans="1:6" x14ac:dyDescent="0.2">
      <c r="A2353" s="325" t="s">
        <v>677</v>
      </c>
      <c r="B2353" s="325" t="s">
        <v>803</v>
      </c>
      <c r="C2353" s="325" t="s">
        <v>790</v>
      </c>
      <c r="D2353" s="325" t="s">
        <v>144</v>
      </c>
      <c r="E2353" s="325" t="s">
        <v>265</v>
      </c>
      <c r="F2353" s="325" t="s">
        <v>340</v>
      </c>
    </row>
    <row r="2354" spans="1:6" x14ac:dyDescent="0.2">
      <c r="A2354" s="325" t="s">
        <v>677</v>
      </c>
      <c r="B2354" s="325" t="s">
        <v>804</v>
      </c>
      <c r="C2354" s="325" t="s">
        <v>790</v>
      </c>
      <c r="D2354" s="325" t="s">
        <v>429</v>
      </c>
      <c r="E2354" s="325" t="s">
        <v>265</v>
      </c>
      <c r="F2354" s="325" t="s">
        <v>263</v>
      </c>
    </row>
    <row r="2355" spans="1:6" x14ac:dyDescent="0.2">
      <c r="A2355" s="325" t="s">
        <v>677</v>
      </c>
      <c r="B2355" s="325" t="s">
        <v>805</v>
      </c>
      <c r="C2355" s="325" t="s">
        <v>790</v>
      </c>
      <c r="D2355" s="325" t="s">
        <v>182</v>
      </c>
      <c r="E2355" s="325" t="s">
        <v>265</v>
      </c>
      <c r="F2355" s="325" t="s">
        <v>223</v>
      </c>
    </row>
    <row r="2356" spans="1:6" x14ac:dyDescent="0.2">
      <c r="A2356" s="325" t="s">
        <v>677</v>
      </c>
      <c r="B2356" s="325" t="s">
        <v>806</v>
      </c>
      <c r="C2356" s="325" t="s">
        <v>790</v>
      </c>
      <c r="D2356" s="325" t="s">
        <v>298</v>
      </c>
      <c r="E2356" s="325" t="s">
        <v>265</v>
      </c>
      <c r="F2356" s="325" t="s">
        <v>423</v>
      </c>
    </row>
    <row r="2357" spans="1:6" x14ac:dyDescent="0.2">
      <c r="A2357" s="325" t="s">
        <v>677</v>
      </c>
      <c r="B2357" s="325" t="s">
        <v>807</v>
      </c>
      <c r="C2357" s="325" t="s">
        <v>790</v>
      </c>
      <c r="D2357" s="325" t="s">
        <v>571</v>
      </c>
      <c r="E2357" s="325" t="s">
        <v>265</v>
      </c>
      <c r="F2357" s="325" t="s">
        <v>258</v>
      </c>
    </row>
    <row r="2358" spans="1:6" x14ac:dyDescent="0.2">
      <c r="A2358" s="325" t="s">
        <v>677</v>
      </c>
      <c r="B2358" s="325" t="s">
        <v>808</v>
      </c>
      <c r="C2358" s="325" t="s">
        <v>790</v>
      </c>
      <c r="D2358" s="325" t="s">
        <v>156</v>
      </c>
      <c r="E2358" s="325" t="s">
        <v>265</v>
      </c>
      <c r="F2358" s="325" t="s">
        <v>226</v>
      </c>
    </row>
    <row r="2359" spans="1:6" x14ac:dyDescent="0.2">
      <c r="A2359" s="325" t="s">
        <v>677</v>
      </c>
      <c r="B2359" s="325" t="s">
        <v>809</v>
      </c>
      <c r="C2359" s="325" t="s">
        <v>790</v>
      </c>
      <c r="D2359" s="325" t="s">
        <v>299</v>
      </c>
      <c r="E2359" s="325" t="s">
        <v>265</v>
      </c>
      <c r="F2359" s="325" t="s">
        <v>3</v>
      </c>
    </row>
    <row r="2360" spans="1:6" x14ac:dyDescent="0.2">
      <c r="A2360" s="325" t="s">
        <v>677</v>
      </c>
      <c r="B2360" s="325" t="s">
        <v>810</v>
      </c>
      <c r="C2360" s="325" t="s">
        <v>790</v>
      </c>
      <c r="D2360" s="325" t="s">
        <v>164</v>
      </c>
      <c r="E2360" s="325" t="s">
        <v>265</v>
      </c>
      <c r="F2360" s="325" t="s">
        <v>524</v>
      </c>
    </row>
    <row r="2361" spans="1:6" x14ac:dyDescent="0.2">
      <c r="A2361" s="325" t="s">
        <v>677</v>
      </c>
      <c r="B2361" s="325" t="s">
        <v>811</v>
      </c>
      <c r="C2361" s="325" t="s">
        <v>790</v>
      </c>
      <c r="D2361" s="325" t="s">
        <v>403</v>
      </c>
      <c r="E2361" s="325" t="s">
        <v>265</v>
      </c>
      <c r="F2361" s="325" t="s">
        <v>195</v>
      </c>
    </row>
    <row r="2362" spans="1:6" x14ac:dyDescent="0.2">
      <c r="A2362" s="325" t="s">
        <v>677</v>
      </c>
      <c r="B2362" s="325" t="s">
        <v>812</v>
      </c>
      <c r="C2362" s="325" t="s">
        <v>790</v>
      </c>
      <c r="D2362" s="325" t="s">
        <v>367</v>
      </c>
      <c r="E2362" s="325" t="s">
        <v>265</v>
      </c>
      <c r="F2362" s="325" t="s">
        <v>461</v>
      </c>
    </row>
    <row r="2363" spans="1:6" x14ac:dyDescent="0.2">
      <c r="A2363" s="325" t="s">
        <v>677</v>
      </c>
      <c r="B2363" s="325" t="s">
        <v>813</v>
      </c>
      <c r="C2363" s="325" t="s">
        <v>790</v>
      </c>
      <c r="D2363" s="325" t="s">
        <v>105</v>
      </c>
      <c r="E2363" s="325" t="s">
        <v>265</v>
      </c>
      <c r="F2363" s="325" t="s">
        <v>393</v>
      </c>
    </row>
    <row r="2364" spans="1:6" x14ac:dyDescent="0.2">
      <c r="A2364" s="325" t="s">
        <v>677</v>
      </c>
      <c r="B2364" s="325" t="s">
        <v>814</v>
      </c>
      <c r="C2364" s="325" t="s">
        <v>790</v>
      </c>
      <c r="D2364" s="325" t="s">
        <v>520</v>
      </c>
      <c r="E2364" s="325" t="s">
        <v>265</v>
      </c>
      <c r="F2364" s="325" t="s">
        <v>277</v>
      </c>
    </row>
    <row r="2365" spans="1:6" x14ac:dyDescent="0.2">
      <c r="A2365" s="325" t="s">
        <v>677</v>
      </c>
      <c r="B2365" s="325" t="s">
        <v>815</v>
      </c>
      <c r="C2365" s="325" t="s">
        <v>790</v>
      </c>
      <c r="D2365" s="325" t="s">
        <v>469</v>
      </c>
      <c r="E2365" s="325" t="s">
        <v>265</v>
      </c>
      <c r="F2365" s="325" t="s">
        <v>452</v>
      </c>
    </row>
    <row r="2366" spans="1:6" x14ac:dyDescent="0.2">
      <c r="A2366" s="325" t="s">
        <v>677</v>
      </c>
      <c r="B2366" s="325" t="s">
        <v>816</v>
      </c>
      <c r="C2366" s="325" t="s">
        <v>790</v>
      </c>
      <c r="D2366" s="325" t="s">
        <v>432</v>
      </c>
      <c r="E2366" s="325" t="s">
        <v>265</v>
      </c>
      <c r="F2366" s="325" t="s">
        <v>489</v>
      </c>
    </row>
    <row r="2367" spans="1:6" x14ac:dyDescent="0.2">
      <c r="A2367" s="325" t="s">
        <v>677</v>
      </c>
      <c r="B2367" s="325" t="s">
        <v>817</v>
      </c>
      <c r="C2367" s="325" t="s">
        <v>790</v>
      </c>
      <c r="D2367" s="325" t="s">
        <v>75</v>
      </c>
      <c r="E2367" s="325" t="s">
        <v>442</v>
      </c>
      <c r="F2367" s="325" t="s">
        <v>288</v>
      </c>
    </row>
    <row r="2368" spans="1:6" x14ac:dyDescent="0.2">
      <c r="A2368" s="325" t="s">
        <v>677</v>
      </c>
      <c r="B2368" s="325" t="s">
        <v>818</v>
      </c>
      <c r="C2368" s="325" t="s">
        <v>790</v>
      </c>
      <c r="D2368" s="325" t="s">
        <v>666</v>
      </c>
      <c r="E2368" s="325" t="s">
        <v>556</v>
      </c>
      <c r="F2368" s="325" t="s">
        <v>665</v>
      </c>
    </row>
    <row r="2369" spans="1:6" x14ac:dyDescent="0.2">
      <c r="A2369" s="325" t="s">
        <v>677</v>
      </c>
      <c r="B2369" s="325" t="s">
        <v>819</v>
      </c>
      <c r="C2369" s="325" t="s">
        <v>790</v>
      </c>
      <c r="D2369" s="325" t="s">
        <v>111</v>
      </c>
      <c r="E2369" s="325" t="s">
        <v>265</v>
      </c>
      <c r="F2369" s="325" t="s">
        <v>261</v>
      </c>
    </row>
    <row r="2370" spans="1:6" x14ac:dyDescent="0.2">
      <c r="A2370" s="325" t="s">
        <v>677</v>
      </c>
      <c r="B2370" s="325" t="s">
        <v>820</v>
      </c>
      <c r="C2370" s="325" t="s">
        <v>790</v>
      </c>
      <c r="D2370" s="325" t="s">
        <v>289</v>
      </c>
      <c r="E2370" s="325" t="s">
        <v>265</v>
      </c>
      <c r="F2370" s="325" t="s">
        <v>674</v>
      </c>
    </row>
    <row r="2371" spans="1:6" x14ac:dyDescent="0.2">
      <c r="A2371" s="325" t="s">
        <v>677</v>
      </c>
      <c r="B2371" s="325" t="s">
        <v>821</v>
      </c>
      <c r="C2371" s="325" t="s">
        <v>790</v>
      </c>
      <c r="D2371" s="325" t="s">
        <v>308</v>
      </c>
      <c r="E2371" s="325" t="s">
        <v>265</v>
      </c>
      <c r="F2371" s="325" t="s">
        <v>675</v>
      </c>
    </row>
    <row r="2372" spans="1:6" x14ac:dyDescent="0.2">
      <c r="A2372" s="325" t="s">
        <v>677</v>
      </c>
      <c r="B2372" s="325" t="s">
        <v>822</v>
      </c>
      <c r="C2372" s="325" t="s">
        <v>790</v>
      </c>
      <c r="D2372" s="325" t="s">
        <v>411</v>
      </c>
      <c r="E2372" s="325" t="s">
        <v>265</v>
      </c>
      <c r="F2372" s="325" t="s">
        <v>115</v>
      </c>
    </row>
    <row r="2373" spans="1:6" x14ac:dyDescent="0.2">
      <c r="A2373" s="325" t="s">
        <v>677</v>
      </c>
      <c r="B2373" s="325" t="s">
        <v>823</v>
      </c>
      <c r="C2373" s="325" t="s">
        <v>790</v>
      </c>
      <c r="D2373" s="325" t="s">
        <v>425</v>
      </c>
      <c r="E2373" s="325" t="s">
        <v>265</v>
      </c>
      <c r="F2373" s="325" t="s">
        <v>364</v>
      </c>
    </row>
    <row r="2374" spans="1:6" x14ac:dyDescent="0.2">
      <c r="A2374" s="325" t="s">
        <v>677</v>
      </c>
      <c r="B2374" s="325" t="s">
        <v>824</v>
      </c>
      <c r="C2374" s="325" t="s">
        <v>790</v>
      </c>
      <c r="D2374" s="325" t="s">
        <v>431</v>
      </c>
      <c r="E2374" s="325" t="s">
        <v>265</v>
      </c>
      <c r="F2374" s="325" t="s">
        <v>464</v>
      </c>
    </row>
    <row r="2375" spans="1:6" x14ac:dyDescent="0.2">
      <c r="A2375" s="325" t="s">
        <v>677</v>
      </c>
      <c r="B2375" s="325" t="s">
        <v>825</v>
      </c>
      <c r="C2375" s="325" t="s">
        <v>790</v>
      </c>
      <c r="D2375" s="325" t="s">
        <v>696</v>
      </c>
      <c r="E2375" s="325" t="s">
        <v>265</v>
      </c>
      <c r="F2375" s="325" t="s">
        <v>1010</v>
      </c>
    </row>
    <row r="2376" spans="1:6" x14ac:dyDescent="0.2">
      <c r="A2376" s="325" t="s">
        <v>677</v>
      </c>
      <c r="B2376" s="325" t="s">
        <v>826</v>
      </c>
      <c r="C2376" s="325" t="s">
        <v>790</v>
      </c>
      <c r="D2376" s="325" t="s">
        <v>15</v>
      </c>
      <c r="E2376" s="325" t="s">
        <v>265</v>
      </c>
      <c r="F2376" s="325" t="s">
        <v>446</v>
      </c>
    </row>
    <row r="2377" spans="1:6" x14ac:dyDescent="0.2">
      <c r="A2377" s="325" t="s">
        <v>677</v>
      </c>
      <c r="B2377" s="325" t="s">
        <v>827</v>
      </c>
      <c r="C2377" s="325" t="s">
        <v>790</v>
      </c>
      <c r="D2377" s="325" t="s">
        <v>551</v>
      </c>
      <c r="E2377" s="325" t="s">
        <v>265</v>
      </c>
      <c r="F2377" s="325" t="s">
        <v>10</v>
      </c>
    </row>
    <row r="2378" spans="1:6" x14ac:dyDescent="0.2">
      <c r="A2378" s="325" t="s">
        <v>677</v>
      </c>
      <c r="B2378" s="325" t="s">
        <v>828</v>
      </c>
      <c r="C2378" s="325" t="s">
        <v>790</v>
      </c>
      <c r="D2378" s="325" t="s">
        <v>9</v>
      </c>
      <c r="E2378" s="325" t="s">
        <v>265</v>
      </c>
      <c r="F2378" s="325" t="s">
        <v>189</v>
      </c>
    </row>
    <row r="2379" spans="1:6" x14ac:dyDescent="0.2">
      <c r="A2379" s="325" t="s">
        <v>677</v>
      </c>
      <c r="B2379" s="325" t="s">
        <v>829</v>
      </c>
      <c r="C2379" s="325" t="s">
        <v>790</v>
      </c>
      <c r="D2379" s="325" t="s">
        <v>566</v>
      </c>
      <c r="E2379" s="325" t="s">
        <v>265</v>
      </c>
      <c r="F2379" s="325" t="s">
        <v>135</v>
      </c>
    </row>
    <row r="2380" spans="1:6" x14ac:dyDescent="0.2">
      <c r="A2380" s="325" t="s">
        <v>677</v>
      </c>
      <c r="B2380" s="325" t="s">
        <v>830</v>
      </c>
      <c r="C2380" s="325" t="s">
        <v>790</v>
      </c>
      <c r="D2380" s="325" t="s">
        <v>412</v>
      </c>
      <c r="E2380" s="325" t="s">
        <v>456</v>
      </c>
      <c r="F2380" s="325" t="s">
        <v>128</v>
      </c>
    </row>
    <row r="2381" spans="1:6" x14ac:dyDescent="0.2">
      <c r="A2381" s="325" t="s">
        <v>677</v>
      </c>
      <c r="B2381" s="325" t="s">
        <v>831</v>
      </c>
      <c r="C2381" s="325" t="s">
        <v>790</v>
      </c>
      <c r="D2381" s="325" t="s">
        <v>369</v>
      </c>
      <c r="E2381" s="325" t="s">
        <v>456</v>
      </c>
      <c r="F2381" s="325" t="s">
        <v>496</v>
      </c>
    </row>
    <row r="2382" spans="1:6" x14ac:dyDescent="0.2">
      <c r="A2382" s="325" t="s">
        <v>677</v>
      </c>
      <c r="B2382" s="325" t="s">
        <v>832</v>
      </c>
      <c r="C2382" s="325" t="s">
        <v>790</v>
      </c>
      <c r="D2382" s="325" t="s">
        <v>348</v>
      </c>
      <c r="E2382" s="325" t="s">
        <v>265</v>
      </c>
      <c r="F2382" s="325" t="s">
        <v>293</v>
      </c>
    </row>
    <row r="2383" spans="1:6" x14ac:dyDescent="0.2">
      <c r="A2383" s="325" t="s">
        <v>677</v>
      </c>
      <c r="B2383" s="325" t="s">
        <v>833</v>
      </c>
      <c r="C2383" s="325" t="s">
        <v>790</v>
      </c>
      <c r="D2383" s="325" t="s">
        <v>244</v>
      </c>
      <c r="E2383" s="325" t="s">
        <v>265</v>
      </c>
      <c r="F2383" s="325" t="s">
        <v>543</v>
      </c>
    </row>
    <row r="2384" spans="1:6" x14ac:dyDescent="0.2">
      <c r="A2384" s="325" t="s">
        <v>677</v>
      </c>
      <c r="B2384" s="325" t="s">
        <v>834</v>
      </c>
      <c r="C2384" s="325" t="s">
        <v>790</v>
      </c>
      <c r="D2384" s="325" t="s">
        <v>488</v>
      </c>
      <c r="E2384" s="325" t="s">
        <v>265</v>
      </c>
      <c r="F2384" s="325" t="s">
        <v>545</v>
      </c>
    </row>
    <row r="2385" spans="1:6" x14ac:dyDescent="0.2">
      <c r="A2385" s="325" t="s">
        <v>677</v>
      </c>
      <c r="B2385" s="325" t="s">
        <v>835</v>
      </c>
      <c r="C2385" s="325" t="s">
        <v>790</v>
      </c>
      <c r="D2385" s="325" t="s">
        <v>397</v>
      </c>
      <c r="E2385" s="325" t="s">
        <v>265</v>
      </c>
      <c r="F2385" s="325" t="s">
        <v>88</v>
      </c>
    </row>
    <row r="2386" spans="1:6" x14ac:dyDescent="0.2">
      <c r="A2386" s="325" t="s">
        <v>677</v>
      </c>
      <c r="B2386" s="325" t="s">
        <v>836</v>
      </c>
      <c r="C2386" s="325" t="s">
        <v>790</v>
      </c>
      <c r="D2386" s="325" t="s">
        <v>440</v>
      </c>
      <c r="E2386" s="325" t="s">
        <v>265</v>
      </c>
      <c r="F2386" s="325" t="s">
        <v>368</v>
      </c>
    </row>
    <row r="2387" spans="1:6" x14ac:dyDescent="0.2">
      <c r="A2387" s="325" t="s">
        <v>677</v>
      </c>
      <c r="B2387" s="325" t="s">
        <v>837</v>
      </c>
      <c r="C2387" s="325" t="s">
        <v>790</v>
      </c>
      <c r="D2387" s="325" t="s">
        <v>445</v>
      </c>
      <c r="E2387" s="325" t="s">
        <v>265</v>
      </c>
      <c r="F2387" s="325" t="s">
        <v>238</v>
      </c>
    </row>
    <row r="2388" spans="1:6" x14ac:dyDescent="0.2">
      <c r="A2388" s="325" t="s">
        <v>677</v>
      </c>
      <c r="B2388" s="325" t="s">
        <v>838</v>
      </c>
      <c r="C2388" s="325" t="s">
        <v>790</v>
      </c>
      <c r="D2388" s="325" t="s">
        <v>119</v>
      </c>
      <c r="E2388" s="325" t="s">
        <v>265</v>
      </c>
      <c r="F2388" s="325" t="s">
        <v>557</v>
      </c>
    </row>
    <row r="2389" spans="1:6" x14ac:dyDescent="0.2">
      <c r="A2389" s="325" t="s">
        <v>677</v>
      </c>
      <c r="B2389" s="325" t="s">
        <v>839</v>
      </c>
      <c r="C2389" s="325" t="s">
        <v>790</v>
      </c>
      <c r="D2389" s="325" t="s">
        <v>580</v>
      </c>
      <c r="E2389" s="325" t="s">
        <v>265</v>
      </c>
      <c r="F2389" s="325" t="s">
        <v>120</v>
      </c>
    </row>
    <row r="2390" spans="1:6" x14ac:dyDescent="0.2">
      <c r="A2390" s="325" t="s">
        <v>677</v>
      </c>
      <c r="B2390" s="325" t="s">
        <v>840</v>
      </c>
      <c r="C2390" s="325" t="s">
        <v>790</v>
      </c>
      <c r="D2390" s="325" t="s">
        <v>64</v>
      </c>
      <c r="E2390" s="325" t="s">
        <v>265</v>
      </c>
      <c r="F2390" s="325" t="s">
        <v>197</v>
      </c>
    </row>
    <row r="2391" spans="1:6" x14ac:dyDescent="0.2">
      <c r="A2391" s="325" t="s">
        <v>677</v>
      </c>
      <c r="B2391" s="325" t="s">
        <v>841</v>
      </c>
      <c r="C2391" s="325" t="s">
        <v>790</v>
      </c>
      <c r="D2391" s="325" t="s">
        <v>471</v>
      </c>
      <c r="E2391" s="325" t="s">
        <v>265</v>
      </c>
      <c r="F2391" s="325" t="s">
        <v>466</v>
      </c>
    </row>
    <row r="2392" spans="1:6" x14ac:dyDescent="0.2">
      <c r="A2392" s="325" t="s">
        <v>677</v>
      </c>
      <c r="B2392" s="325" t="s">
        <v>842</v>
      </c>
      <c r="C2392" s="325" t="s">
        <v>790</v>
      </c>
      <c r="D2392" s="325" t="s">
        <v>539</v>
      </c>
      <c r="E2392" s="325" t="s">
        <v>265</v>
      </c>
      <c r="F2392" s="325" t="s">
        <v>394</v>
      </c>
    </row>
    <row r="2393" spans="1:6" x14ac:dyDescent="0.2">
      <c r="A2393" s="325" t="s">
        <v>677</v>
      </c>
      <c r="B2393" s="325" t="s">
        <v>843</v>
      </c>
      <c r="C2393" s="325" t="s">
        <v>790</v>
      </c>
      <c r="D2393" s="325" t="s">
        <v>318</v>
      </c>
      <c r="E2393" s="325" t="s">
        <v>265</v>
      </c>
      <c r="F2393" s="325" t="s">
        <v>478</v>
      </c>
    </row>
    <row r="2394" spans="1:6" x14ac:dyDescent="0.2">
      <c r="A2394" s="325" t="s">
        <v>677</v>
      </c>
      <c r="B2394" s="325" t="s">
        <v>844</v>
      </c>
      <c r="C2394" s="325" t="s">
        <v>790</v>
      </c>
      <c r="D2394" s="325" t="s">
        <v>257</v>
      </c>
      <c r="E2394" s="325" t="s">
        <v>265</v>
      </c>
      <c r="F2394" s="325" t="s">
        <v>338</v>
      </c>
    </row>
    <row r="2395" spans="1:6" x14ac:dyDescent="0.2">
      <c r="A2395" s="325" t="s">
        <v>677</v>
      </c>
      <c r="B2395" s="325" t="s">
        <v>845</v>
      </c>
      <c r="C2395" s="325" t="s">
        <v>790</v>
      </c>
      <c r="D2395" s="325" t="s">
        <v>751</v>
      </c>
      <c r="E2395" s="325" t="s">
        <v>265</v>
      </c>
      <c r="F2395" s="325" t="s">
        <v>753</v>
      </c>
    </row>
    <row r="2396" spans="1:6" x14ac:dyDescent="0.2">
      <c r="A2396" s="325" t="s">
        <v>677</v>
      </c>
      <c r="B2396" s="325" t="s">
        <v>846</v>
      </c>
      <c r="C2396" s="325" t="s">
        <v>790</v>
      </c>
      <c r="D2396" s="325" t="s">
        <v>55</v>
      </c>
      <c r="E2396" s="325" t="s">
        <v>265</v>
      </c>
      <c r="F2396" s="325" t="s">
        <v>305</v>
      </c>
    </row>
    <row r="2397" spans="1:6" x14ac:dyDescent="0.2">
      <c r="A2397" s="325" t="s">
        <v>677</v>
      </c>
      <c r="B2397" s="325" t="s">
        <v>847</v>
      </c>
      <c r="C2397" s="325" t="s">
        <v>790</v>
      </c>
      <c r="D2397" s="325" t="s">
        <v>522</v>
      </c>
      <c r="E2397" s="325" t="s">
        <v>265</v>
      </c>
      <c r="F2397" s="325" t="s">
        <v>602</v>
      </c>
    </row>
    <row r="2398" spans="1:6" x14ac:dyDescent="0.2">
      <c r="A2398" s="325" t="s">
        <v>677</v>
      </c>
      <c r="B2398" s="325" t="s">
        <v>848</v>
      </c>
      <c r="C2398" s="325" t="s">
        <v>790</v>
      </c>
      <c r="D2398" s="325" t="s">
        <v>370</v>
      </c>
      <c r="E2398" s="325" t="s">
        <v>265</v>
      </c>
      <c r="F2398" s="325" t="s">
        <v>484</v>
      </c>
    </row>
    <row r="2399" spans="1:6" x14ac:dyDescent="0.2">
      <c r="A2399" s="325" t="s">
        <v>677</v>
      </c>
      <c r="B2399" s="325" t="s">
        <v>849</v>
      </c>
      <c r="C2399" s="325" t="s">
        <v>790</v>
      </c>
      <c r="D2399" s="325" t="s">
        <v>752</v>
      </c>
      <c r="E2399" s="325" t="s">
        <v>265</v>
      </c>
      <c r="F2399" s="325" t="s">
        <v>754</v>
      </c>
    </row>
    <row r="2400" spans="1:6" x14ac:dyDescent="0.2">
      <c r="A2400" s="325" t="s">
        <v>677</v>
      </c>
      <c r="B2400" s="325" t="s">
        <v>850</v>
      </c>
      <c r="C2400" s="325" t="s">
        <v>790</v>
      </c>
      <c r="D2400" s="325" t="s">
        <v>585</v>
      </c>
      <c r="E2400" s="325" t="s">
        <v>265</v>
      </c>
      <c r="F2400" s="325" t="s">
        <v>564</v>
      </c>
    </row>
    <row r="2401" spans="1:6" x14ac:dyDescent="0.2">
      <c r="A2401" s="325" t="s">
        <v>677</v>
      </c>
      <c r="B2401" s="325" t="s">
        <v>851</v>
      </c>
      <c r="C2401" s="325" t="s">
        <v>790</v>
      </c>
      <c r="D2401" s="325" t="s">
        <v>603</v>
      </c>
      <c r="E2401" s="325" t="s">
        <v>265</v>
      </c>
      <c r="F2401" s="325" t="s">
        <v>703</v>
      </c>
    </row>
    <row r="2402" spans="1:6" x14ac:dyDescent="0.2">
      <c r="A2402" s="325" t="s">
        <v>677</v>
      </c>
      <c r="B2402" s="325" t="s">
        <v>852</v>
      </c>
      <c r="C2402" s="325" t="s">
        <v>790</v>
      </c>
      <c r="D2402" s="325" t="s">
        <v>604</v>
      </c>
      <c r="E2402" s="325" t="s">
        <v>265</v>
      </c>
      <c r="F2402" s="325" t="s">
        <v>702</v>
      </c>
    </row>
    <row r="2403" spans="1:6" x14ac:dyDescent="0.2">
      <c r="A2403" s="325" t="s">
        <v>677</v>
      </c>
      <c r="B2403" s="325" t="s">
        <v>853</v>
      </c>
      <c r="C2403" s="325" t="s">
        <v>790</v>
      </c>
      <c r="D2403" s="325" t="s">
        <v>565</v>
      </c>
      <c r="E2403" s="325" t="s">
        <v>265</v>
      </c>
      <c r="F2403" s="325" t="s">
        <v>306</v>
      </c>
    </row>
    <row r="2404" spans="1:6" x14ac:dyDescent="0.2">
      <c r="A2404" s="325" t="s">
        <v>677</v>
      </c>
      <c r="B2404" s="325" t="s">
        <v>854</v>
      </c>
      <c r="C2404" s="325" t="s">
        <v>790</v>
      </c>
      <c r="D2404" s="325" t="s">
        <v>354</v>
      </c>
      <c r="E2404" s="325" t="s">
        <v>265</v>
      </c>
      <c r="F2404" s="325" t="s">
        <v>390</v>
      </c>
    </row>
    <row r="2405" spans="1:6" x14ac:dyDescent="0.2">
      <c r="A2405" s="325" t="s">
        <v>677</v>
      </c>
      <c r="B2405" s="325" t="s">
        <v>855</v>
      </c>
      <c r="C2405" s="325" t="s">
        <v>790</v>
      </c>
      <c r="D2405" s="325" t="s">
        <v>93</v>
      </c>
      <c r="E2405" s="325" t="s">
        <v>265</v>
      </c>
      <c r="F2405" s="325" t="s">
        <v>170</v>
      </c>
    </row>
    <row r="2406" spans="1:6" x14ac:dyDescent="0.2">
      <c r="A2406" s="325" t="s">
        <v>677</v>
      </c>
      <c r="B2406" s="325" t="s">
        <v>856</v>
      </c>
      <c r="C2406" s="325" t="s">
        <v>790</v>
      </c>
      <c r="D2406" s="325" t="s">
        <v>198</v>
      </c>
      <c r="E2406" s="325" t="s">
        <v>265</v>
      </c>
      <c r="F2406" s="325" t="s">
        <v>139</v>
      </c>
    </row>
    <row r="2407" spans="1:6" x14ac:dyDescent="0.2">
      <c r="A2407" s="325" t="s">
        <v>677</v>
      </c>
      <c r="B2407" s="325" t="s">
        <v>857</v>
      </c>
      <c r="C2407" s="325" t="s">
        <v>790</v>
      </c>
      <c r="D2407" s="325" t="s">
        <v>249</v>
      </c>
      <c r="E2407" s="325" t="s">
        <v>442</v>
      </c>
      <c r="F2407" s="325" t="s">
        <v>27</v>
      </c>
    </row>
    <row r="2408" spans="1:6" x14ac:dyDescent="0.2">
      <c r="A2408" s="325" t="s">
        <v>677</v>
      </c>
      <c r="B2408" s="325" t="s">
        <v>858</v>
      </c>
      <c r="C2408" s="325" t="s">
        <v>790</v>
      </c>
      <c r="D2408" s="325" t="s">
        <v>152</v>
      </c>
      <c r="E2408" s="325" t="s">
        <v>265</v>
      </c>
      <c r="F2408" s="325" t="s">
        <v>555</v>
      </c>
    </row>
    <row r="2409" spans="1:6" x14ac:dyDescent="0.2">
      <c r="A2409" s="325" t="s">
        <v>677</v>
      </c>
      <c r="B2409" s="325" t="s">
        <v>859</v>
      </c>
      <c r="C2409" s="325" t="s">
        <v>790</v>
      </c>
      <c r="D2409" s="325" t="s">
        <v>547</v>
      </c>
      <c r="E2409" s="325" t="s">
        <v>265</v>
      </c>
      <c r="F2409" s="325" t="s">
        <v>374</v>
      </c>
    </row>
    <row r="2410" spans="1:6" x14ac:dyDescent="0.2">
      <c r="A2410" s="325" t="s">
        <v>677</v>
      </c>
      <c r="B2410" s="325" t="s">
        <v>860</v>
      </c>
      <c r="C2410" s="325" t="s">
        <v>790</v>
      </c>
      <c r="D2410" s="325" t="s">
        <v>490</v>
      </c>
      <c r="E2410" s="325" t="s">
        <v>265</v>
      </c>
      <c r="F2410" s="325" t="s">
        <v>177</v>
      </c>
    </row>
    <row r="2411" spans="1:6" x14ac:dyDescent="0.2">
      <c r="A2411" s="325" t="s">
        <v>677</v>
      </c>
      <c r="B2411" s="325" t="s">
        <v>861</v>
      </c>
      <c r="C2411" s="325" t="s">
        <v>790</v>
      </c>
      <c r="D2411" s="325" t="s">
        <v>209</v>
      </c>
      <c r="E2411" s="325" t="s">
        <v>265</v>
      </c>
      <c r="F2411" s="325" t="s">
        <v>41</v>
      </c>
    </row>
    <row r="2412" spans="1:6" x14ac:dyDescent="0.2">
      <c r="A2412" s="325" t="s">
        <v>677</v>
      </c>
      <c r="B2412" s="325" t="s">
        <v>862</v>
      </c>
      <c r="C2412" s="325" t="s">
        <v>790</v>
      </c>
      <c r="D2412" s="325" t="s">
        <v>163</v>
      </c>
      <c r="E2412" s="325" t="s">
        <v>265</v>
      </c>
      <c r="F2412" s="325" t="s">
        <v>98</v>
      </c>
    </row>
    <row r="2413" spans="1:6" x14ac:dyDescent="0.2">
      <c r="A2413" s="325" t="s">
        <v>677</v>
      </c>
      <c r="B2413" s="325" t="s">
        <v>863</v>
      </c>
      <c r="C2413" s="325" t="s">
        <v>790</v>
      </c>
      <c r="D2413" s="325" t="s">
        <v>200</v>
      </c>
      <c r="E2413" s="325" t="s">
        <v>265</v>
      </c>
      <c r="F2413" s="325" t="s">
        <v>230</v>
      </c>
    </row>
    <row r="2414" spans="1:6" x14ac:dyDescent="0.2">
      <c r="A2414" s="325" t="s">
        <v>677</v>
      </c>
      <c r="B2414" s="325" t="s">
        <v>864</v>
      </c>
      <c r="C2414" s="325" t="s">
        <v>790</v>
      </c>
      <c r="D2414" s="325" t="s">
        <v>54</v>
      </c>
      <c r="E2414" s="325" t="s">
        <v>265</v>
      </c>
      <c r="F2414" s="325" t="s">
        <v>192</v>
      </c>
    </row>
    <row r="2415" spans="1:6" x14ac:dyDescent="0.2">
      <c r="A2415" s="325" t="s">
        <v>677</v>
      </c>
      <c r="B2415" s="325" t="s">
        <v>865</v>
      </c>
      <c r="C2415" s="325" t="s">
        <v>790</v>
      </c>
      <c r="D2415" s="325" t="s">
        <v>133</v>
      </c>
      <c r="E2415" s="325" t="s">
        <v>265</v>
      </c>
      <c r="F2415" s="325" t="s">
        <v>349</v>
      </c>
    </row>
    <row r="2416" spans="1:6" x14ac:dyDescent="0.2">
      <c r="A2416" s="325" t="s">
        <v>677</v>
      </c>
      <c r="B2416" s="325" t="s">
        <v>866</v>
      </c>
      <c r="C2416" s="325" t="s">
        <v>790</v>
      </c>
      <c r="D2416" s="325" t="s">
        <v>232</v>
      </c>
      <c r="E2416" s="325" t="s">
        <v>265</v>
      </c>
      <c r="F2416" s="325" t="s">
        <v>16</v>
      </c>
    </row>
    <row r="2417" spans="1:6" x14ac:dyDescent="0.2">
      <c r="A2417" s="325" t="s">
        <v>677</v>
      </c>
      <c r="B2417" s="325" t="s">
        <v>867</v>
      </c>
      <c r="C2417" s="325" t="s">
        <v>790</v>
      </c>
      <c r="D2417" s="325" t="s">
        <v>56</v>
      </c>
      <c r="E2417" s="325" t="s">
        <v>265</v>
      </c>
      <c r="F2417" s="325" t="s">
        <v>199</v>
      </c>
    </row>
    <row r="2418" spans="1:6" x14ac:dyDescent="0.2">
      <c r="A2418" s="325" t="s">
        <v>677</v>
      </c>
      <c r="B2418" s="325" t="s">
        <v>868</v>
      </c>
      <c r="C2418" s="325" t="s">
        <v>790</v>
      </c>
      <c r="D2418" s="325" t="s">
        <v>434</v>
      </c>
      <c r="E2418" s="325" t="s">
        <v>265</v>
      </c>
      <c r="F2418" s="325" t="s">
        <v>514</v>
      </c>
    </row>
    <row r="2419" spans="1:6" x14ac:dyDescent="0.2">
      <c r="A2419" s="325" t="s">
        <v>677</v>
      </c>
      <c r="B2419" s="325" t="s">
        <v>869</v>
      </c>
      <c r="C2419" s="325" t="s">
        <v>790</v>
      </c>
      <c r="D2419" s="325" t="s">
        <v>108</v>
      </c>
      <c r="E2419" s="325" t="s">
        <v>265</v>
      </c>
      <c r="F2419" s="325" t="s">
        <v>362</v>
      </c>
    </row>
    <row r="2420" spans="1:6" x14ac:dyDescent="0.2">
      <c r="A2420" s="325" t="s">
        <v>677</v>
      </c>
      <c r="B2420" s="325" t="s">
        <v>870</v>
      </c>
      <c r="C2420" s="325" t="s">
        <v>790</v>
      </c>
      <c r="D2420" s="325" t="s">
        <v>657</v>
      </c>
      <c r="E2420" s="325" t="s">
        <v>265</v>
      </c>
      <c r="F2420" s="325" t="s">
        <v>658</v>
      </c>
    </row>
    <row r="2421" spans="1:6" x14ac:dyDescent="0.2">
      <c r="A2421" s="325" t="s">
        <v>677</v>
      </c>
      <c r="B2421" s="325" t="s">
        <v>871</v>
      </c>
      <c r="C2421" s="325" t="s">
        <v>790</v>
      </c>
      <c r="D2421" s="325" t="s">
        <v>659</v>
      </c>
      <c r="E2421" s="325" t="s">
        <v>265</v>
      </c>
      <c r="F2421" s="325" t="s">
        <v>660</v>
      </c>
    </row>
    <row r="2422" spans="1:6" x14ac:dyDescent="0.2">
      <c r="A2422" s="325" t="s">
        <v>677</v>
      </c>
      <c r="B2422" s="325" t="s">
        <v>872</v>
      </c>
      <c r="C2422" s="325" t="s">
        <v>790</v>
      </c>
      <c r="D2422" s="325" t="s">
        <v>661</v>
      </c>
      <c r="E2422" s="325" t="s">
        <v>265</v>
      </c>
      <c r="F2422" s="325" t="s">
        <v>662</v>
      </c>
    </row>
    <row r="2423" spans="1:6" x14ac:dyDescent="0.2">
      <c r="A2423" s="325" t="s">
        <v>677</v>
      </c>
      <c r="B2423" s="325" t="s">
        <v>873</v>
      </c>
      <c r="C2423" s="325" t="s">
        <v>790</v>
      </c>
      <c r="D2423" s="325" t="s">
        <v>648</v>
      </c>
      <c r="E2423" s="325" t="s">
        <v>265</v>
      </c>
      <c r="F2423" s="325" t="s">
        <v>651</v>
      </c>
    </row>
    <row r="2424" spans="1:6" x14ac:dyDescent="0.2">
      <c r="A2424" s="325" t="s">
        <v>677</v>
      </c>
      <c r="B2424" s="325" t="s">
        <v>874</v>
      </c>
      <c r="C2424" s="325" t="s">
        <v>790</v>
      </c>
      <c r="D2424" s="325" t="s">
        <v>649</v>
      </c>
      <c r="E2424" s="325" t="s">
        <v>265</v>
      </c>
      <c r="F2424" s="325" t="s">
        <v>652</v>
      </c>
    </row>
    <row r="2425" spans="1:6" x14ac:dyDescent="0.2">
      <c r="A2425" s="325" t="s">
        <v>677</v>
      </c>
      <c r="B2425" s="325" t="s">
        <v>875</v>
      </c>
      <c r="C2425" s="325" t="s">
        <v>790</v>
      </c>
      <c r="D2425" s="325" t="s">
        <v>650</v>
      </c>
      <c r="E2425" s="325" t="s">
        <v>265</v>
      </c>
      <c r="F2425" s="325" t="s">
        <v>653</v>
      </c>
    </row>
    <row r="2426" spans="1:6" x14ac:dyDescent="0.2">
      <c r="A2426" s="325" t="s">
        <v>677</v>
      </c>
      <c r="B2426" s="325" t="s">
        <v>876</v>
      </c>
      <c r="C2426" s="325" t="s">
        <v>790</v>
      </c>
      <c r="D2426" s="325" t="s">
        <v>327</v>
      </c>
      <c r="E2426" s="325" t="s">
        <v>265</v>
      </c>
      <c r="F2426" s="325" t="s">
        <v>102</v>
      </c>
    </row>
    <row r="2427" spans="1:6" x14ac:dyDescent="0.2">
      <c r="A2427" s="325" t="s">
        <v>677</v>
      </c>
      <c r="B2427" s="325" t="s">
        <v>877</v>
      </c>
      <c r="C2427" s="325" t="s">
        <v>790</v>
      </c>
      <c r="D2427" s="325" t="s">
        <v>356</v>
      </c>
      <c r="E2427" s="325" t="s">
        <v>265</v>
      </c>
      <c r="F2427" s="325" t="s">
        <v>1011</v>
      </c>
    </row>
    <row r="2428" spans="1:6" x14ac:dyDescent="0.2">
      <c r="A2428" s="325" t="s">
        <v>677</v>
      </c>
      <c r="B2428" s="325" t="s">
        <v>878</v>
      </c>
      <c r="C2428" s="325" t="s">
        <v>790</v>
      </c>
      <c r="D2428" s="325" t="s">
        <v>513</v>
      </c>
      <c r="E2428" s="325" t="s">
        <v>442</v>
      </c>
      <c r="F2428" s="325" t="s">
        <v>264</v>
      </c>
    </row>
    <row r="2429" spans="1:6" x14ac:dyDescent="0.2">
      <c r="A2429" s="325" t="s">
        <v>677</v>
      </c>
      <c r="B2429" s="325" t="s">
        <v>879</v>
      </c>
      <c r="C2429" s="325" t="s">
        <v>790</v>
      </c>
      <c r="D2429" s="325" t="s">
        <v>554</v>
      </c>
      <c r="E2429" s="325" t="s">
        <v>442</v>
      </c>
      <c r="F2429" s="325" t="s">
        <v>229</v>
      </c>
    </row>
    <row r="2430" spans="1:6" x14ac:dyDescent="0.2">
      <c r="A2430" s="325" t="s">
        <v>677</v>
      </c>
      <c r="B2430" s="325" t="s">
        <v>880</v>
      </c>
      <c r="C2430" s="325" t="s">
        <v>790</v>
      </c>
      <c r="D2430" s="325" t="s">
        <v>409</v>
      </c>
      <c r="E2430" s="325" t="s">
        <v>442</v>
      </c>
      <c r="F2430" s="325" t="s">
        <v>336</v>
      </c>
    </row>
    <row r="2431" spans="1:6" x14ac:dyDescent="0.2">
      <c r="A2431" s="325" t="s">
        <v>677</v>
      </c>
      <c r="B2431" s="325" t="s">
        <v>881</v>
      </c>
      <c r="C2431" s="325" t="s">
        <v>790</v>
      </c>
      <c r="D2431" s="325" t="s">
        <v>72</v>
      </c>
      <c r="E2431" s="325" t="s">
        <v>265</v>
      </c>
      <c r="F2431" s="325" t="s">
        <v>451</v>
      </c>
    </row>
    <row r="2432" spans="1:6" x14ac:dyDescent="0.2">
      <c r="A2432" s="325" t="s">
        <v>677</v>
      </c>
      <c r="B2432" s="325" t="s">
        <v>882</v>
      </c>
      <c r="C2432" s="325" t="s">
        <v>790</v>
      </c>
      <c r="D2432" s="325" t="s">
        <v>35</v>
      </c>
      <c r="E2432" s="325" t="s">
        <v>265</v>
      </c>
      <c r="F2432" s="325" t="s">
        <v>414</v>
      </c>
    </row>
    <row r="2433" spans="1:6" x14ac:dyDescent="0.2">
      <c r="A2433" s="325" t="s">
        <v>677</v>
      </c>
      <c r="B2433" s="325" t="s">
        <v>883</v>
      </c>
      <c r="C2433" s="325" t="s">
        <v>790</v>
      </c>
      <c r="D2433" s="325" t="s">
        <v>453</v>
      </c>
      <c r="E2433" s="325" t="s">
        <v>456</v>
      </c>
      <c r="F2433" s="325" t="s">
        <v>62</v>
      </c>
    </row>
    <row r="2434" spans="1:6" x14ac:dyDescent="0.2">
      <c r="A2434" s="325" t="s">
        <v>677</v>
      </c>
      <c r="B2434" s="325" t="s">
        <v>884</v>
      </c>
      <c r="C2434" s="325" t="s">
        <v>790</v>
      </c>
      <c r="D2434" s="325" t="s">
        <v>84</v>
      </c>
      <c r="E2434" s="325" t="s">
        <v>456</v>
      </c>
      <c r="F2434" s="325" t="s">
        <v>148</v>
      </c>
    </row>
    <row r="2435" spans="1:6" x14ac:dyDescent="0.2">
      <c r="A2435" s="325" t="s">
        <v>677</v>
      </c>
      <c r="B2435" s="325" t="s">
        <v>885</v>
      </c>
      <c r="C2435" s="325" t="s">
        <v>790</v>
      </c>
      <c r="D2435" s="325" t="s">
        <v>534</v>
      </c>
      <c r="E2435" s="325" t="s">
        <v>456</v>
      </c>
      <c r="F2435" s="325" t="s">
        <v>8</v>
      </c>
    </row>
    <row r="2436" spans="1:6" x14ac:dyDescent="0.2">
      <c r="A2436" s="325" t="s">
        <v>677</v>
      </c>
      <c r="B2436" s="325" t="s">
        <v>886</v>
      </c>
      <c r="C2436" s="325" t="s">
        <v>790</v>
      </c>
      <c r="D2436" s="325" t="s">
        <v>583</v>
      </c>
      <c r="E2436" s="325" t="s">
        <v>456</v>
      </c>
      <c r="F2436" s="325" t="s">
        <v>475</v>
      </c>
    </row>
    <row r="2437" spans="1:6" x14ac:dyDescent="0.2">
      <c r="A2437" s="325" t="s">
        <v>677</v>
      </c>
      <c r="B2437" s="325" t="s">
        <v>887</v>
      </c>
      <c r="C2437" s="325" t="s">
        <v>790</v>
      </c>
      <c r="D2437" s="325" t="s">
        <v>481</v>
      </c>
      <c r="E2437" s="325" t="s">
        <v>456</v>
      </c>
      <c r="F2437" s="325" t="s">
        <v>245</v>
      </c>
    </row>
    <row r="2438" spans="1:6" x14ac:dyDescent="0.2">
      <c r="A2438" s="325" t="s">
        <v>677</v>
      </c>
      <c r="B2438" s="325" t="s">
        <v>888</v>
      </c>
      <c r="C2438" s="325" t="s">
        <v>790</v>
      </c>
      <c r="D2438" s="325" t="s">
        <v>398</v>
      </c>
      <c r="E2438" s="325" t="s">
        <v>456</v>
      </c>
      <c r="F2438" s="325" t="s">
        <v>181</v>
      </c>
    </row>
    <row r="2439" spans="1:6" x14ac:dyDescent="0.2">
      <c r="A2439" s="325" t="s">
        <v>677</v>
      </c>
      <c r="B2439" s="325" t="s">
        <v>889</v>
      </c>
      <c r="C2439" s="325" t="s">
        <v>790</v>
      </c>
      <c r="D2439" s="325" t="s">
        <v>712</v>
      </c>
      <c r="E2439" s="325" t="s">
        <v>456</v>
      </c>
      <c r="F2439" s="325" t="s">
        <v>713</v>
      </c>
    </row>
    <row r="2440" spans="1:6" x14ac:dyDescent="0.2">
      <c r="A2440" s="325" t="s">
        <v>677</v>
      </c>
      <c r="B2440" s="325" t="s">
        <v>890</v>
      </c>
      <c r="C2440" s="325" t="s">
        <v>790</v>
      </c>
      <c r="D2440" s="325" t="s">
        <v>97</v>
      </c>
      <c r="E2440" s="325" t="s">
        <v>456</v>
      </c>
      <c r="F2440" s="325" t="s">
        <v>63</v>
      </c>
    </row>
    <row r="2441" spans="1:6" x14ac:dyDescent="0.2">
      <c r="A2441" s="325" t="s">
        <v>677</v>
      </c>
      <c r="B2441" s="325" t="s">
        <v>891</v>
      </c>
      <c r="C2441" s="325" t="s">
        <v>790</v>
      </c>
      <c r="D2441" s="325" t="s">
        <v>190</v>
      </c>
      <c r="E2441" s="325" t="s">
        <v>456</v>
      </c>
      <c r="F2441" s="325" t="s">
        <v>1012</v>
      </c>
    </row>
    <row r="2442" spans="1:6" x14ac:dyDescent="0.2">
      <c r="A2442" s="325" t="s">
        <v>677</v>
      </c>
      <c r="B2442" s="325" t="s">
        <v>892</v>
      </c>
      <c r="C2442" s="325" t="s">
        <v>790</v>
      </c>
      <c r="D2442" s="325" t="s">
        <v>699</v>
      </c>
      <c r="E2442" s="325" t="s">
        <v>265</v>
      </c>
      <c r="F2442" s="325" t="s">
        <v>994</v>
      </c>
    </row>
    <row r="2443" spans="1:6" x14ac:dyDescent="0.2">
      <c r="A2443" s="325" t="s">
        <v>677</v>
      </c>
      <c r="B2443" s="325" t="s">
        <v>893</v>
      </c>
      <c r="C2443" s="325" t="s">
        <v>790</v>
      </c>
      <c r="D2443" s="325" t="s">
        <v>380</v>
      </c>
      <c r="E2443" s="325" t="s">
        <v>456</v>
      </c>
      <c r="F2443" s="325" t="s">
        <v>74</v>
      </c>
    </row>
    <row r="2444" spans="1:6" x14ac:dyDescent="0.2">
      <c r="A2444" s="325" t="s">
        <v>677</v>
      </c>
      <c r="B2444" s="325" t="s">
        <v>894</v>
      </c>
      <c r="C2444" s="325" t="s">
        <v>790</v>
      </c>
      <c r="D2444" s="325" t="s">
        <v>579</v>
      </c>
      <c r="E2444" s="325" t="s">
        <v>456</v>
      </c>
      <c r="F2444" s="325" t="s">
        <v>236</v>
      </c>
    </row>
    <row r="2445" spans="1:6" x14ac:dyDescent="0.2">
      <c r="A2445" s="325" t="s">
        <v>677</v>
      </c>
      <c r="B2445" s="325" t="s">
        <v>895</v>
      </c>
      <c r="C2445" s="325" t="s">
        <v>790</v>
      </c>
      <c r="D2445" s="325" t="s">
        <v>155</v>
      </c>
      <c r="E2445" s="325" t="s">
        <v>456</v>
      </c>
      <c r="F2445" s="325" t="s">
        <v>74</v>
      </c>
    </row>
    <row r="2446" spans="1:6" x14ac:dyDescent="0.2">
      <c r="A2446" s="325" t="s">
        <v>677</v>
      </c>
      <c r="B2446" s="325" t="s">
        <v>896</v>
      </c>
      <c r="C2446" s="325" t="s">
        <v>790</v>
      </c>
      <c r="D2446" s="325" t="s">
        <v>581</v>
      </c>
      <c r="E2446" s="325" t="s">
        <v>456</v>
      </c>
      <c r="F2446" s="325" t="s">
        <v>236</v>
      </c>
    </row>
    <row r="2447" spans="1:6" x14ac:dyDescent="0.2">
      <c r="A2447" s="325" t="s">
        <v>677</v>
      </c>
      <c r="B2447" s="325" t="s">
        <v>897</v>
      </c>
      <c r="C2447" s="325" t="s">
        <v>790</v>
      </c>
      <c r="D2447" s="325" t="s">
        <v>357</v>
      </c>
      <c r="E2447" s="325" t="s">
        <v>456</v>
      </c>
      <c r="F2447" s="325" t="s">
        <v>342</v>
      </c>
    </row>
    <row r="2448" spans="1:6" x14ac:dyDescent="0.2">
      <c r="A2448" s="325" t="s">
        <v>677</v>
      </c>
      <c r="B2448" s="325" t="s">
        <v>898</v>
      </c>
      <c r="C2448" s="325" t="s">
        <v>790</v>
      </c>
      <c r="D2448" s="325" t="s">
        <v>171</v>
      </c>
      <c r="E2448" s="325" t="s">
        <v>456</v>
      </c>
      <c r="F2448" s="325" t="s">
        <v>559</v>
      </c>
    </row>
    <row r="2449" spans="1:6" x14ac:dyDescent="0.2">
      <c r="A2449" s="325" t="s">
        <v>677</v>
      </c>
      <c r="B2449" s="325" t="s">
        <v>899</v>
      </c>
      <c r="C2449" s="325" t="s">
        <v>790</v>
      </c>
      <c r="D2449" s="325" t="s">
        <v>424</v>
      </c>
      <c r="E2449" s="325" t="s">
        <v>456</v>
      </c>
      <c r="F2449" s="325" t="s">
        <v>256</v>
      </c>
    </row>
    <row r="2450" spans="1:6" x14ac:dyDescent="0.2">
      <c r="A2450" s="325" t="s">
        <v>677</v>
      </c>
      <c r="B2450" s="325" t="s">
        <v>901</v>
      </c>
      <c r="C2450" s="325" t="s">
        <v>790</v>
      </c>
      <c r="D2450" s="325" t="s">
        <v>21</v>
      </c>
      <c r="E2450" s="325" t="s">
        <v>265</v>
      </c>
      <c r="F2450" s="325" t="s">
        <v>47</v>
      </c>
    </row>
    <row r="2451" spans="1:6" x14ac:dyDescent="0.2">
      <c r="A2451" s="325" t="s">
        <v>677</v>
      </c>
      <c r="B2451" s="325" t="s">
        <v>902</v>
      </c>
      <c r="C2451" s="325" t="s">
        <v>790</v>
      </c>
      <c r="D2451" s="325" t="s">
        <v>323</v>
      </c>
      <c r="E2451" s="325" t="s">
        <v>265</v>
      </c>
      <c r="F2451" s="325" t="s">
        <v>20</v>
      </c>
    </row>
    <row r="2452" spans="1:6" x14ac:dyDescent="0.2">
      <c r="A2452" s="325" t="s">
        <v>677</v>
      </c>
      <c r="B2452" s="325" t="s">
        <v>903</v>
      </c>
      <c r="C2452" s="325" t="s">
        <v>790</v>
      </c>
      <c r="D2452" s="325" t="s">
        <v>447</v>
      </c>
      <c r="E2452" s="325" t="s">
        <v>265</v>
      </c>
      <c r="F2452" s="325" t="s">
        <v>741</v>
      </c>
    </row>
    <row r="2453" spans="1:6" x14ac:dyDescent="0.2">
      <c r="A2453" s="325" t="s">
        <v>677</v>
      </c>
      <c r="B2453" s="325" t="s">
        <v>904</v>
      </c>
      <c r="C2453" s="325" t="s">
        <v>790</v>
      </c>
      <c r="D2453" s="325" t="s">
        <v>742</v>
      </c>
      <c r="E2453" s="325" t="s">
        <v>456</v>
      </c>
      <c r="F2453" s="325" t="s">
        <v>743</v>
      </c>
    </row>
    <row r="2454" spans="1:6" x14ac:dyDescent="0.2">
      <c r="A2454" s="325" t="s">
        <v>677</v>
      </c>
      <c r="B2454" s="325" t="s">
        <v>905</v>
      </c>
      <c r="C2454" s="325" t="s">
        <v>790</v>
      </c>
      <c r="D2454" s="325" t="s">
        <v>42</v>
      </c>
      <c r="E2454" s="325" t="s">
        <v>456</v>
      </c>
      <c r="F2454" s="325" t="s">
        <v>995</v>
      </c>
    </row>
    <row r="2455" spans="1:6" x14ac:dyDescent="0.2">
      <c r="A2455" s="325" t="s">
        <v>677</v>
      </c>
      <c r="B2455" s="325" t="s">
        <v>906</v>
      </c>
      <c r="C2455" s="325" t="s">
        <v>790</v>
      </c>
      <c r="D2455" s="325" t="s">
        <v>679</v>
      </c>
      <c r="E2455" s="325" t="s">
        <v>265</v>
      </c>
      <c r="F2455" s="325" t="s">
        <v>682</v>
      </c>
    </row>
    <row r="2456" spans="1:6" x14ac:dyDescent="0.2">
      <c r="A2456" s="325" t="s">
        <v>677</v>
      </c>
      <c r="B2456" s="325" t="s">
        <v>907</v>
      </c>
      <c r="C2456" s="325" t="s">
        <v>790</v>
      </c>
      <c r="D2456" s="325" t="s">
        <v>45</v>
      </c>
      <c r="E2456" s="325" t="s">
        <v>456</v>
      </c>
      <c r="F2456" s="325" t="s">
        <v>165</v>
      </c>
    </row>
    <row r="2457" spans="1:6" x14ac:dyDescent="0.2">
      <c r="A2457" s="325" t="s">
        <v>677</v>
      </c>
      <c r="B2457" s="325" t="s">
        <v>908</v>
      </c>
      <c r="C2457" s="325" t="s">
        <v>790</v>
      </c>
      <c r="D2457" s="325" t="s">
        <v>151</v>
      </c>
      <c r="E2457" s="325" t="s">
        <v>456</v>
      </c>
      <c r="F2457" s="325" t="s">
        <v>535</v>
      </c>
    </row>
    <row r="2458" spans="1:6" x14ac:dyDescent="0.2">
      <c r="A2458" s="325" t="s">
        <v>677</v>
      </c>
      <c r="B2458" s="325" t="s">
        <v>909</v>
      </c>
      <c r="C2458" s="325" t="s">
        <v>790</v>
      </c>
      <c r="D2458" s="325" t="s">
        <v>433</v>
      </c>
      <c r="E2458" s="325" t="s">
        <v>456</v>
      </c>
      <c r="F2458" s="325" t="s">
        <v>311</v>
      </c>
    </row>
    <row r="2459" spans="1:6" x14ac:dyDescent="0.2">
      <c r="A2459" s="325" t="s">
        <v>677</v>
      </c>
      <c r="B2459" s="325" t="s">
        <v>910</v>
      </c>
      <c r="C2459" s="325" t="s">
        <v>790</v>
      </c>
      <c r="D2459" s="325" t="s">
        <v>395</v>
      </c>
      <c r="E2459" s="325" t="s">
        <v>456</v>
      </c>
      <c r="F2459" s="325" t="s">
        <v>588</v>
      </c>
    </row>
    <row r="2460" spans="1:6" x14ac:dyDescent="0.2">
      <c r="A2460" s="325" t="s">
        <v>677</v>
      </c>
      <c r="B2460" s="325" t="s">
        <v>911</v>
      </c>
      <c r="C2460" s="325" t="s">
        <v>790</v>
      </c>
      <c r="D2460" s="325" t="s">
        <v>499</v>
      </c>
      <c r="E2460" s="325" t="s">
        <v>456</v>
      </c>
      <c r="F2460" s="325" t="s">
        <v>314</v>
      </c>
    </row>
    <row r="2461" spans="1:6" x14ac:dyDescent="0.2">
      <c r="A2461" s="325" t="s">
        <v>677</v>
      </c>
      <c r="B2461" s="325" t="s">
        <v>912</v>
      </c>
      <c r="C2461" s="325" t="s">
        <v>790</v>
      </c>
      <c r="D2461" s="325" t="s">
        <v>65</v>
      </c>
      <c r="E2461" s="325" t="s">
        <v>456</v>
      </c>
      <c r="F2461" s="325" t="s">
        <v>33</v>
      </c>
    </row>
    <row r="2462" spans="1:6" x14ac:dyDescent="0.2">
      <c r="A2462" s="325" t="s">
        <v>677</v>
      </c>
      <c r="B2462" s="325" t="s">
        <v>913</v>
      </c>
      <c r="C2462" s="325" t="s">
        <v>790</v>
      </c>
      <c r="D2462" s="325" t="s">
        <v>267</v>
      </c>
      <c r="E2462" s="325" t="s">
        <v>456</v>
      </c>
      <c r="F2462" s="325" t="s">
        <v>22</v>
      </c>
    </row>
    <row r="2463" spans="1:6" x14ac:dyDescent="0.2">
      <c r="A2463" s="325" t="s">
        <v>677</v>
      </c>
      <c r="B2463" s="325" t="s">
        <v>914</v>
      </c>
      <c r="C2463" s="325" t="s">
        <v>790</v>
      </c>
      <c r="D2463" s="325" t="s">
        <v>13</v>
      </c>
      <c r="E2463" s="325" t="s">
        <v>456</v>
      </c>
      <c r="F2463" s="325" t="s">
        <v>222</v>
      </c>
    </row>
    <row r="2464" spans="1:6" x14ac:dyDescent="0.2">
      <c r="A2464" s="325" t="s">
        <v>677</v>
      </c>
      <c r="B2464" s="325" t="s">
        <v>915</v>
      </c>
      <c r="C2464" s="325" t="s">
        <v>790</v>
      </c>
      <c r="D2464" s="325" t="s">
        <v>463</v>
      </c>
      <c r="E2464" s="325" t="s">
        <v>456</v>
      </c>
      <c r="F2464" s="325" t="s">
        <v>536</v>
      </c>
    </row>
    <row r="2465" spans="1:6" x14ac:dyDescent="0.2">
      <c r="A2465" s="325" t="s">
        <v>677</v>
      </c>
      <c r="B2465" s="325" t="s">
        <v>916</v>
      </c>
      <c r="C2465" s="325" t="s">
        <v>790</v>
      </c>
      <c r="D2465" s="325" t="s">
        <v>11</v>
      </c>
      <c r="E2465" s="325" t="s">
        <v>456</v>
      </c>
      <c r="F2465" s="325" t="s">
        <v>573</v>
      </c>
    </row>
    <row r="2466" spans="1:6" x14ac:dyDescent="0.2">
      <c r="A2466" s="325" t="s">
        <v>677</v>
      </c>
      <c r="B2466" s="325" t="s">
        <v>917</v>
      </c>
      <c r="C2466" s="325" t="s">
        <v>790</v>
      </c>
      <c r="D2466" s="325" t="s">
        <v>577</v>
      </c>
      <c r="E2466" s="325" t="s">
        <v>456</v>
      </c>
      <c r="F2466" s="325" t="s">
        <v>343</v>
      </c>
    </row>
    <row r="2467" spans="1:6" x14ac:dyDescent="0.2">
      <c r="A2467" s="325" t="s">
        <v>677</v>
      </c>
      <c r="B2467" s="325" t="s">
        <v>974</v>
      </c>
      <c r="C2467" s="325" t="s">
        <v>790</v>
      </c>
      <c r="D2467" s="325" t="s">
        <v>51</v>
      </c>
      <c r="E2467" s="325" t="s">
        <v>265</v>
      </c>
      <c r="F2467" s="325" t="s">
        <v>266</v>
      </c>
    </row>
    <row r="2468" spans="1:6" x14ac:dyDescent="0.2">
      <c r="A2468" s="325" t="s">
        <v>677</v>
      </c>
      <c r="B2468" s="325" t="s">
        <v>975</v>
      </c>
      <c r="C2468" s="325" t="s">
        <v>790</v>
      </c>
      <c r="D2468" s="325" t="s">
        <v>283</v>
      </c>
      <c r="E2468" s="325" t="s">
        <v>265</v>
      </c>
      <c r="F2468" s="325" t="s">
        <v>53</v>
      </c>
    </row>
    <row r="2469" spans="1:6" x14ac:dyDescent="0.2">
      <c r="A2469" s="325" t="s">
        <v>677</v>
      </c>
      <c r="B2469" s="325" t="s">
        <v>976</v>
      </c>
      <c r="C2469" s="325" t="s">
        <v>790</v>
      </c>
      <c r="D2469" s="325" t="s">
        <v>542</v>
      </c>
      <c r="E2469" s="325" t="s">
        <v>265</v>
      </c>
      <c r="F2469" s="325" t="s">
        <v>372</v>
      </c>
    </row>
    <row r="2470" spans="1:6" x14ac:dyDescent="0.2">
      <c r="A2470" s="325" t="s">
        <v>677</v>
      </c>
      <c r="B2470" s="325" t="s">
        <v>977</v>
      </c>
      <c r="C2470" s="325" t="s">
        <v>790</v>
      </c>
      <c r="D2470" s="325" t="s">
        <v>576</v>
      </c>
      <c r="E2470" s="325" t="s">
        <v>265</v>
      </c>
      <c r="F2470" s="325" t="s">
        <v>333</v>
      </c>
    </row>
    <row r="2471" spans="1:6" x14ac:dyDescent="0.2">
      <c r="A2471" s="325" t="s">
        <v>677</v>
      </c>
      <c r="B2471" s="325" t="s">
        <v>793</v>
      </c>
      <c r="C2471" s="325" t="s">
        <v>565</v>
      </c>
      <c r="D2471" s="325" t="s">
        <v>654</v>
      </c>
      <c r="E2471" s="325" t="s">
        <v>265</v>
      </c>
      <c r="F2471" s="325" t="s">
        <v>998</v>
      </c>
    </row>
    <row r="2472" spans="1:6" x14ac:dyDescent="0.2">
      <c r="A2472" s="325" t="s">
        <v>677</v>
      </c>
      <c r="B2472" s="325" t="s">
        <v>794</v>
      </c>
      <c r="C2472" s="325" t="s">
        <v>565</v>
      </c>
      <c r="D2472" s="325" t="s">
        <v>510</v>
      </c>
      <c r="E2472" s="325" t="s">
        <v>265</v>
      </c>
      <c r="F2472" s="325" t="s">
        <v>999</v>
      </c>
    </row>
    <row r="2473" spans="1:6" x14ac:dyDescent="0.2">
      <c r="A2473" s="325" t="s">
        <v>677</v>
      </c>
      <c r="B2473" s="325" t="s">
        <v>795</v>
      </c>
      <c r="C2473" s="325" t="s">
        <v>565</v>
      </c>
      <c r="D2473" s="325" t="s">
        <v>400</v>
      </c>
      <c r="E2473" s="325" t="s">
        <v>265</v>
      </c>
      <c r="F2473" s="325" t="s">
        <v>1001</v>
      </c>
    </row>
    <row r="2474" spans="1:6" x14ac:dyDescent="0.2">
      <c r="A2474" s="325" t="s">
        <v>677</v>
      </c>
      <c r="B2474" s="325" t="s">
        <v>796</v>
      </c>
      <c r="C2474" s="325" t="s">
        <v>565</v>
      </c>
      <c r="D2474" s="325" t="s">
        <v>302</v>
      </c>
      <c r="E2474" s="325" t="s">
        <v>265</v>
      </c>
      <c r="F2474" s="325" t="s">
        <v>1000</v>
      </c>
    </row>
    <row r="2475" spans="1:6" x14ac:dyDescent="0.2">
      <c r="A2475" s="325" t="s">
        <v>677</v>
      </c>
      <c r="B2475" s="325" t="s">
        <v>797</v>
      </c>
      <c r="C2475" s="325" t="s">
        <v>565</v>
      </c>
      <c r="D2475" s="325" t="s">
        <v>28</v>
      </c>
      <c r="E2475" s="325" t="s">
        <v>442</v>
      </c>
      <c r="F2475" s="325" t="s">
        <v>1008</v>
      </c>
    </row>
    <row r="2476" spans="1:6" x14ac:dyDescent="0.2">
      <c r="A2476" s="325" t="s">
        <v>677</v>
      </c>
      <c r="B2476" s="325" t="s">
        <v>798</v>
      </c>
      <c r="C2476" s="325" t="s">
        <v>565</v>
      </c>
      <c r="D2476" s="325" t="s">
        <v>67</v>
      </c>
      <c r="E2476" s="325" t="s">
        <v>556</v>
      </c>
      <c r="F2476" s="325" t="s">
        <v>1009</v>
      </c>
    </row>
    <row r="2477" spans="1:6" x14ac:dyDescent="0.2">
      <c r="A2477" s="325" t="s">
        <v>677</v>
      </c>
      <c r="B2477" s="325" t="s">
        <v>799</v>
      </c>
      <c r="C2477" s="325" t="s">
        <v>565</v>
      </c>
      <c r="D2477" s="325" t="s">
        <v>168</v>
      </c>
      <c r="E2477" s="325" t="s">
        <v>265</v>
      </c>
      <c r="F2477" s="325" t="s">
        <v>145</v>
      </c>
    </row>
    <row r="2478" spans="1:6" x14ac:dyDescent="0.2">
      <c r="A2478" s="325" t="s">
        <v>677</v>
      </c>
      <c r="B2478" s="325" t="s">
        <v>800</v>
      </c>
      <c r="C2478" s="325" t="s">
        <v>565</v>
      </c>
      <c r="D2478" s="325" t="s">
        <v>310</v>
      </c>
      <c r="E2478" s="325" t="s">
        <v>265</v>
      </c>
      <c r="F2478" s="325" t="s">
        <v>350</v>
      </c>
    </row>
    <row r="2479" spans="1:6" x14ac:dyDescent="0.2">
      <c r="A2479" s="325" t="s">
        <v>677</v>
      </c>
      <c r="B2479" s="325" t="s">
        <v>801</v>
      </c>
      <c r="C2479" s="325" t="s">
        <v>565</v>
      </c>
      <c r="D2479" s="325" t="s">
        <v>87</v>
      </c>
      <c r="E2479" s="325" t="s">
        <v>265</v>
      </c>
      <c r="F2479" s="325" t="s">
        <v>79</v>
      </c>
    </row>
    <row r="2480" spans="1:6" x14ac:dyDescent="0.2">
      <c r="A2480" s="325" t="s">
        <v>677</v>
      </c>
      <c r="B2480" s="325" t="s">
        <v>802</v>
      </c>
      <c r="C2480" s="325" t="s">
        <v>565</v>
      </c>
      <c r="D2480" s="325" t="s">
        <v>228</v>
      </c>
      <c r="E2480" s="325" t="s">
        <v>265</v>
      </c>
      <c r="F2480" s="325" t="s">
        <v>331</v>
      </c>
    </row>
    <row r="2481" spans="1:6" x14ac:dyDescent="0.2">
      <c r="A2481" s="325" t="s">
        <v>677</v>
      </c>
      <c r="B2481" s="325" t="s">
        <v>803</v>
      </c>
      <c r="C2481" s="325" t="s">
        <v>565</v>
      </c>
      <c r="D2481" s="325" t="s">
        <v>144</v>
      </c>
      <c r="E2481" s="325" t="s">
        <v>265</v>
      </c>
      <c r="F2481" s="325" t="s">
        <v>340</v>
      </c>
    </row>
    <row r="2482" spans="1:6" x14ac:dyDescent="0.2">
      <c r="A2482" s="325" t="s">
        <v>677</v>
      </c>
      <c r="B2482" s="325" t="s">
        <v>804</v>
      </c>
      <c r="C2482" s="325" t="s">
        <v>565</v>
      </c>
      <c r="D2482" s="325" t="s">
        <v>429</v>
      </c>
      <c r="E2482" s="325" t="s">
        <v>265</v>
      </c>
      <c r="F2482" s="325" t="s">
        <v>263</v>
      </c>
    </row>
    <row r="2483" spans="1:6" x14ac:dyDescent="0.2">
      <c r="A2483" s="325" t="s">
        <v>677</v>
      </c>
      <c r="B2483" s="325" t="s">
        <v>805</v>
      </c>
      <c r="C2483" s="325" t="s">
        <v>565</v>
      </c>
      <c r="D2483" s="325" t="s">
        <v>182</v>
      </c>
      <c r="E2483" s="325" t="s">
        <v>265</v>
      </c>
      <c r="F2483" s="325" t="s">
        <v>223</v>
      </c>
    </row>
    <row r="2484" spans="1:6" x14ac:dyDescent="0.2">
      <c r="A2484" s="325" t="s">
        <v>677</v>
      </c>
      <c r="B2484" s="325" t="s">
        <v>806</v>
      </c>
      <c r="C2484" s="325" t="s">
        <v>565</v>
      </c>
      <c r="D2484" s="325" t="s">
        <v>298</v>
      </c>
      <c r="E2484" s="325" t="s">
        <v>265</v>
      </c>
      <c r="F2484" s="325" t="s">
        <v>423</v>
      </c>
    </row>
    <row r="2485" spans="1:6" x14ac:dyDescent="0.2">
      <c r="A2485" s="325" t="s">
        <v>677</v>
      </c>
      <c r="B2485" s="325" t="s">
        <v>807</v>
      </c>
      <c r="C2485" s="325" t="s">
        <v>565</v>
      </c>
      <c r="D2485" s="325" t="s">
        <v>571</v>
      </c>
      <c r="E2485" s="325" t="s">
        <v>265</v>
      </c>
      <c r="F2485" s="325" t="s">
        <v>258</v>
      </c>
    </row>
    <row r="2486" spans="1:6" x14ac:dyDescent="0.2">
      <c r="A2486" s="325" t="s">
        <v>677</v>
      </c>
      <c r="B2486" s="325" t="s">
        <v>808</v>
      </c>
      <c r="C2486" s="325" t="s">
        <v>565</v>
      </c>
      <c r="D2486" s="325" t="s">
        <v>156</v>
      </c>
      <c r="E2486" s="325" t="s">
        <v>265</v>
      </c>
      <c r="F2486" s="325" t="s">
        <v>226</v>
      </c>
    </row>
    <row r="2487" spans="1:6" x14ac:dyDescent="0.2">
      <c r="A2487" s="325" t="s">
        <v>677</v>
      </c>
      <c r="B2487" s="325" t="s">
        <v>809</v>
      </c>
      <c r="C2487" s="325" t="s">
        <v>565</v>
      </c>
      <c r="D2487" s="325" t="s">
        <v>299</v>
      </c>
      <c r="E2487" s="325" t="s">
        <v>265</v>
      </c>
      <c r="F2487" s="325" t="s">
        <v>3</v>
      </c>
    </row>
    <row r="2488" spans="1:6" x14ac:dyDescent="0.2">
      <c r="A2488" s="325" t="s">
        <v>677</v>
      </c>
      <c r="B2488" s="325" t="s">
        <v>810</v>
      </c>
      <c r="C2488" s="325" t="s">
        <v>565</v>
      </c>
      <c r="D2488" s="325" t="s">
        <v>164</v>
      </c>
      <c r="E2488" s="325" t="s">
        <v>265</v>
      </c>
      <c r="F2488" s="325" t="s">
        <v>524</v>
      </c>
    </row>
    <row r="2489" spans="1:6" x14ac:dyDescent="0.2">
      <c r="A2489" s="325" t="s">
        <v>677</v>
      </c>
      <c r="B2489" s="325" t="s">
        <v>811</v>
      </c>
      <c r="C2489" s="325" t="s">
        <v>565</v>
      </c>
      <c r="D2489" s="325" t="s">
        <v>403</v>
      </c>
      <c r="E2489" s="325" t="s">
        <v>265</v>
      </c>
      <c r="F2489" s="325" t="s">
        <v>195</v>
      </c>
    </row>
    <row r="2490" spans="1:6" x14ac:dyDescent="0.2">
      <c r="A2490" s="325" t="s">
        <v>677</v>
      </c>
      <c r="B2490" s="325" t="s">
        <v>812</v>
      </c>
      <c r="C2490" s="325" t="s">
        <v>565</v>
      </c>
      <c r="D2490" s="325" t="s">
        <v>367</v>
      </c>
      <c r="E2490" s="325" t="s">
        <v>265</v>
      </c>
      <c r="F2490" s="325" t="s">
        <v>461</v>
      </c>
    </row>
    <row r="2491" spans="1:6" x14ac:dyDescent="0.2">
      <c r="A2491" s="325" t="s">
        <v>677</v>
      </c>
      <c r="B2491" s="325" t="s">
        <v>813</v>
      </c>
      <c r="C2491" s="325" t="s">
        <v>565</v>
      </c>
      <c r="D2491" s="325" t="s">
        <v>105</v>
      </c>
      <c r="E2491" s="325" t="s">
        <v>265</v>
      </c>
      <c r="F2491" s="325" t="s">
        <v>393</v>
      </c>
    </row>
    <row r="2492" spans="1:6" x14ac:dyDescent="0.2">
      <c r="A2492" s="325" t="s">
        <v>677</v>
      </c>
      <c r="B2492" s="325" t="s">
        <v>814</v>
      </c>
      <c r="C2492" s="325" t="s">
        <v>565</v>
      </c>
      <c r="D2492" s="325" t="s">
        <v>520</v>
      </c>
      <c r="E2492" s="325" t="s">
        <v>265</v>
      </c>
      <c r="F2492" s="325" t="s">
        <v>277</v>
      </c>
    </row>
    <row r="2493" spans="1:6" x14ac:dyDescent="0.2">
      <c r="A2493" s="325" t="s">
        <v>677</v>
      </c>
      <c r="B2493" s="325" t="s">
        <v>815</v>
      </c>
      <c r="C2493" s="325" t="s">
        <v>565</v>
      </c>
      <c r="D2493" s="325" t="s">
        <v>469</v>
      </c>
      <c r="E2493" s="325" t="s">
        <v>265</v>
      </c>
      <c r="F2493" s="325" t="s">
        <v>452</v>
      </c>
    </row>
    <row r="2494" spans="1:6" x14ac:dyDescent="0.2">
      <c r="A2494" s="325" t="s">
        <v>677</v>
      </c>
      <c r="B2494" s="325" t="s">
        <v>816</v>
      </c>
      <c r="C2494" s="325" t="s">
        <v>565</v>
      </c>
      <c r="D2494" s="325" t="s">
        <v>432</v>
      </c>
      <c r="E2494" s="325" t="s">
        <v>265</v>
      </c>
      <c r="F2494" s="325" t="s">
        <v>489</v>
      </c>
    </row>
    <row r="2495" spans="1:6" x14ac:dyDescent="0.2">
      <c r="A2495" s="325" t="s">
        <v>677</v>
      </c>
      <c r="B2495" s="325" t="s">
        <v>817</v>
      </c>
      <c r="C2495" s="325" t="s">
        <v>565</v>
      </c>
      <c r="D2495" s="325" t="s">
        <v>75</v>
      </c>
      <c r="E2495" s="325" t="s">
        <v>442</v>
      </c>
      <c r="F2495" s="325" t="s">
        <v>288</v>
      </c>
    </row>
    <row r="2496" spans="1:6" x14ac:dyDescent="0.2">
      <c r="A2496" s="325" t="s">
        <v>677</v>
      </c>
      <c r="B2496" s="325" t="s">
        <v>818</v>
      </c>
      <c r="C2496" s="325" t="s">
        <v>565</v>
      </c>
      <c r="D2496" s="325" t="s">
        <v>666</v>
      </c>
      <c r="E2496" s="325" t="s">
        <v>556</v>
      </c>
      <c r="F2496" s="325" t="s">
        <v>665</v>
      </c>
    </row>
    <row r="2497" spans="1:6" x14ac:dyDescent="0.2">
      <c r="A2497" s="325" t="s">
        <v>677</v>
      </c>
      <c r="B2497" s="325" t="s">
        <v>819</v>
      </c>
      <c r="C2497" s="325" t="s">
        <v>565</v>
      </c>
      <c r="D2497" s="325" t="s">
        <v>111</v>
      </c>
      <c r="E2497" s="325" t="s">
        <v>265</v>
      </c>
      <c r="F2497" s="325" t="s">
        <v>261</v>
      </c>
    </row>
    <row r="2498" spans="1:6" x14ac:dyDescent="0.2">
      <c r="A2498" s="325" t="s">
        <v>677</v>
      </c>
      <c r="B2498" s="325" t="s">
        <v>820</v>
      </c>
      <c r="C2498" s="325" t="s">
        <v>565</v>
      </c>
      <c r="D2498" s="325" t="s">
        <v>289</v>
      </c>
      <c r="E2498" s="325" t="s">
        <v>265</v>
      </c>
      <c r="F2498" s="325" t="s">
        <v>674</v>
      </c>
    </row>
    <row r="2499" spans="1:6" x14ac:dyDescent="0.2">
      <c r="A2499" s="325" t="s">
        <v>677</v>
      </c>
      <c r="B2499" s="325" t="s">
        <v>821</v>
      </c>
      <c r="C2499" s="325" t="s">
        <v>565</v>
      </c>
      <c r="D2499" s="325" t="s">
        <v>308</v>
      </c>
      <c r="E2499" s="325" t="s">
        <v>265</v>
      </c>
      <c r="F2499" s="325" t="s">
        <v>675</v>
      </c>
    </row>
    <row r="2500" spans="1:6" x14ac:dyDescent="0.2">
      <c r="A2500" s="325" t="s">
        <v>677</v>
      </c>
      <c r="B2500" s="325" t="s">
        <v>822</v>
      </c>
      <c r="C2500" s="325" t="s">
        <v>565</v>
      </c>
      <c r="D2500" s="325" t="s">
        <v>411</v>
      </c>
      <c r="E2500" s="325" t="s">
        <v>265</v>
      </c>
      <c r="F2500" s="325" t="s">
        <v>115</v>
      </c>
    </row>
    <row r="2501" spans="1:6" x14ac:dyDescent="0.2">
      <c r="A2501" s="325" t="s">
        <v>677</v>
      </c>
      <c r="B2501" s="325" t="s">
        <v>823</v>
      </c>
      <c r="C2501" s="325" t="s">
        <v>565</v>
      </c>
      <c r="D2501" s="325" t="s">
        <v>425</v>
      </c>
      <c r="E2501" s="325" t="s">
        <v>265</v>
      </c>
      <c r="F2501" s="325" t="s">
        <v>364</v>
      </c>
    </row>
    <row r="2502" spans="1:6" x14ac:dyDescent="0.2">
      <c r="A2502" s="325" t="s">
        <v>677</v>
      </c>
      <c r="B2502" s="325" t="s">
        <v>824</v>
      </c>
      <c r="C2502" s="325" t="s">
        <v>565</v>
      </c>
      <c r="D2502" s="325" t="s">
        <v>431</v>
      </c>
      <c r="E2502" s="325" t="s">
        <v>265</v>
      </c>
      <c r="F2502" s="325" t="s">
        <v>464</v>
      </c>
    </row>
    <row r="2503" spans="1:6" x14ac:dyDescent="0.2">
      <c r="A2503" s="325" t="s">
        <v>677</v>
      </c>
      <c r="B2503" s="325" t="s">
        <v>825</v>
      </c>
      <c r="C2503" s="325" t="s">
        <v>565</v>
      </c>
      <c r="D2503" s="325" t="s">
        <v>696</v>
      </c>
      <c r="E2503" s="325" t="s">
        <v>265</v>
      </c>
      <c r="F2503" s="325" t="s">
        <v>1010</v>
      </c>
    </row>
    <row r="2504" spans="1:6" x14ac:dyDescent="0.2">
      <c r="A2504" s="325" t="s">
        <v>677</v>
      </c>
      <c r="B2504" s="325" t="s">
        <v>826</v>
      </c>
      <c r="C2504" s="325" t="s">
        <v>565</v>
      </c>
      <c r="D2504" s="325" t="s">
        <v>15</v>
      </c>
      <c r="E2504" s="325" t="s">
        <v>265</v>
      </c>
      <c r="F2504" s="325" t="s">
        <v>446</v>
      </c>
    </row>
    <row r="2505" spans="1:6" x14ac:dyDescent="0.2">
      <c r="A2505" s="325" t="s">
        <v>677</v>
      </c>
      <c r="B2505" s="325" t="s">
        <v>827</v>
      </c>
      <c r="C2505" s="325" t="s">
        <v>565</v>
      </c>
      <c r="D2505" s="325" t="s">
        <v>551</v>
      </c>
      <c r="E2505" s="325" t="s">
        <v>265</v>
      </c>
      <c r="F2505" s="325" t="s">
        <v>10</v>
      </c>
    </row>
    <row r="2506" spans="1:6" x14ac:dyDescent="0.2">
      <c r="A2506" s="325" t="s">
        <v>677</v>
      </c>
      <c r="B2506" s="325" t="s">
        <v>828</v>
      </c>
      <c r="C2506" s="325" t="s">
        <v>565</v>
      </c>
      <c r="D2506" s="325" t="s">
        <v>9</v>
      </c>
      <c r="E2506" s="325" t="s">
        <v>265</v>
      </c>
      <c r="F2506" s="325" t="s">
        <v>189</v>
      </c>
    </row>
    <row r="2507" spans="1:6" x14ac:dyDescent="0.2">
      <c r="A2507" s="325" t="s">
        <v>677</v>
      </c>
      <c r="B2507" s="325" t="s">
        <v>829</v>
      </c>
      <c r="C2507" s="325" t="s">
        <v>565</v>
      </c>
      <c r="D2507" s="325" t="s">
        <v>566</v>
      </c>
      <c r="E2507" s="325" t="s">
        <v>265</v>
      </c>
      <c r="F2507" s="325" t="s">
        <v>135</v>
      </c>
    </row>
    <row r="2508" spans="1:6" x14ac:dyDescent="0.2">
      <c r="A2508" s="325" t="s">
        <v>677</v>
      </c>
      <c r="B2508" s="325" t="s">
        <v>830</v>
      </c>
      <c r="C2508" s="325" t="s">
        <v>565</v>
      </c>
      <c r="D2508" s="325" t="s">
        <v>412</v>
      </c>
      <c r="E2508" s="325" t="s">
        <v>456</v>
      </c>
      <c r="F2508" s="325" t="s">
        <v>128</v>
      </c>
    </row>
    <row r="2509" spans="1:6" x14ac:dyDescent="0.2">
      <c r="A2509" s="325" t="s">
        <v>677</v>
      </c>
      <c r="B2509" s="325" t="s">
        <v>831</v>
      </c>
      <c r="C2509" s="325" t="s">
        <v>565</v>
      </c>
      <c r="D2509" s="325" t="s">
        <v>369</v>
      </c>
      <c r="E2509" s="325" t="s">
        <v>456</v>
      </c>
      <c r="F2509" s="325" t="s">
        <v>496</v>
      </c>
    </row>
    <row r="2510" spans="1:6" x14ac:dyDescent="0.2">
      <c r="A2510" s="325" t="s">
        <v>677</v>
      </c>
      <c r="B2510" s="325" t="s">
        <v>832</v>
      </c>
      <c r="C2510" s="325" t="s">
        <v>565</v>
      </c>
      <c r="D2510" s="325" t="s">
        <v>348</v>
      </c>
      <c r="E2510" s="325" t="s">
        <v>265</v>
      </c>
      <c r="F2510" s="325" t="s">
        <v>293</v>
      </c>
    </row>
    <row r="2511" spans="1:6" x14ac:dyDescent="0.2">
      <c r="A2511" s="325" t="s">
        <v>677</v>
      </c>
      <c r="B2511" s="325" t="s">
        <v>833</v>
      </c>
      <c r="C2511" s="325" t="s">
        <v>565</v>
      </c>
      <c r="D2511" s="325" t="s">
        <v>244</v>
      </c>
      <c r="E2511" s="325" t="s">
        <v>265</v>
      </c>
      <c r="F2511" s="325" t="s">
        <v>543</v>
      </c>
    </row>
    <row r="2512" spans="1:6" x14ac:dyDescent="0.2">
      <c r="A2512" s="325" t="s">
        <v>677</v>
      </c>
      <c r="B2512" s="325" t="s">
        <v>834</v>
      </c>
      <c r="C2512" s="325" t="s">
        <v>565</v>
      </c>
      <c r="D2512" s="325" t="s">
        <v>488</v>
      </c>
      <c r="E2512" s="325" t="s">
        <v>265</v>
      </c>
      <c r="F2512" s="325" t="s">
        <v>545</v>
      </c>
    </row>
    <row r="2513" spans="1:6" x14ac:dyDescent="0.2">
      <c r="A2513" s="325" t="s">
        <v>677</v>
      </c>
      <c r="B2513" s="325" t="s">
        <v>835</v>
      </c>
      <c r="C2513" s="325" t="s">
        <v>565</v>
      </c>
      <c r="D2513" s="325" t="s">
        <v>397</v>
      </c>
      <c r="E2513" s="325" t="s">
        <v>265</v>
      </c>
      <c r="F2513" s="325" t="s">
        <v>88</v>
      </c>
    </row>
    <row r="2514" spans="1:6" x14ac:dyDescent="0.2">
      <c r="A2514" s="325" t="s">
        <v>677</v>
      </c>
      <c r="B2514" s="325" t="s">
        <v>836</v>
      </c>
      <c r="C2514" s="325" t="s">
        <v>565</v>
      </c>
      <c r="D2514" s="325" t="s">
        <v>440</v>
      </c>
      <c r="E2514" s="325" t="s">
        <v>265</v>
      </c>
      <c r="F2514" s="325" t="s">
        <v>368</v>
      </c>
    </row>
    <row r="2515" spans="1:6" x14ac:dyDescent="0.2">
      <c r="A2515" s="325" t="s">
        <v>677</v>
      </c>
      <c r="B2515" s="325" t="s">
        <v>837</v>
      </c>
      <c r="C2515" s="325" t="s">
        <v>565</v>
      </c>
      <c r="D2515" s="325" t="s">
        <v>445</v>
      </c>
      <c r="E2515" s="325" t="s">
        <v>265</v>
      </c>
      <c r="F2515" s="325" t="s">
        <v>238</v>
      </c>
    </row>
    <row r="2516" spans="1:6" x14ac:dyDescent="0.2">
      <c r="A2516" s="325" t="s">
        <v>677</v>
      </c>
      <c r="B2516" s="325" t="s">
        <v>838</v>
      </c>
      <c r="C2516" s="325" t="s">
        <v>565</v>
      </c>
      <c r="D2516" s="325" t="s">
        <v>119</v>
      </c>
      <c r="E2516" s="325" t="s">
        <v>265</v>
      </c>
      <c r="F2516" s="325" t="s">
        <v>557</v>
      </c>
    </row>
    <row r="2517" spans="1:6" x14ac:dyDescent="0.2">
      <c r="A2517" s="325" t="s">
        <v>677</v>
      </c>
      <c r="B2517" s="325" t="s">
        <v>839</v>
      </c>
      <c r="C2517" s="325" t="s">
        <v>565</v>
      </c>
      <c r="D2517" s="325" t="s">
        <v>580</v>
      </c>
      <c r="E2517" s="325" t="s">
        <v>265</v>
      </c>
      <c r="F2517" s="325" t="s">
        <v>120</v>
      </c>
    </row>
    <row r="2518" spans="1:6" x14ac:dyDescent="0.2">
      <c r="A2518" s="325" t="s">
        <v>677</v>
      </c>
      <c r="B2518" s="325" t="s">
        <v>840</v>
      </c>
      <c r="C2518" s="325" t="s">
        <v>565</v>
      </c>
      <c r="D2518" s="325" t="s">
        <v>64</v>
      </c>
      <c r="E2518" s="325" t="s">
        <v>265</v>
      </c>
      <c r="F2518" s="325" t="s">
        <v>197</v>
      </c>
    </row>
    <row r="2519" spans="1:6" x14ac:dyDescent="0.2">
      <c r="A2519" s="325" t="s">
        <v>677</v>
      </c>
      <c r="B2519" s="325" t="s">
        <v>841</v>
      </c>
      <c r="C2519" s="325" t="s">
        <v>565</v>
      </c>
      <c r="D2519" s="325" t="s">
        <v>471</v>
      </c>
      <c r="E2519" s="325" t="s">
        <v>265</v>
      </c>
      <c r="F2519" s="325" t="s">
        <v>466</v>
      </c>
    </row>
    <row r="2520" spans="1:6" x14ac:dyDescent="0.2">
      <c r="A2520" s="325" t="s">
        <v>677</v>
      </c>
      <c r="B2520" s="325" t="s">
        <v>842</v>
      </c>
      <c r="C2520" s="325" t="s">
        <v>565</v>
      </c>
      <c r="D2520" s="325" t="s">
        <v>539</v>
      </c>
      <c r="E2520" s="325" t="s">
        <v>265</v>
      </c>
      <c r="F2520" s="325" t="s">
        <v>394</v>
      </c>
    </row>
    <row r="2521" spans="1:6" x14ac:dyDescent="0.2">
      <c r="A2521" s="325" t="s">
        <v>677</v>
      </c>
      <c r="B2521" s="325" t="s">
        <v>843</v>
      </c>
      <c r="C2521" s="325" t="s">
        <v>565</v>
      </c>
      <c r="D2521" s="325" t="s">
        <v>318</v>
      </c>
      <c r="E2521" s="325" t="s">
        <v>265</v>
      </c>
      <c r="F2521" s="325" t="s">
        <v>478</v>
      </c>
    </row>
    <row r="2522" spans="1:6" x14ac:dyDescent="0.2">
      <c r="A2522" s="325" t="s">
        <v>677</v>
      </c>
      <c r="B2522" s="325" t="s">
        <v>844</v>
      </c>
      <c r="C2522" s="325" t="s">
        <v>565</v>
      </c>
      <c r="D2522" s="325" t="s">
        <v>257</v>
      </c>
      <c r="E2522" s="325" t="s">
        <v>265</v>
      </c>
      <c r="F2522" s="325" t="s">
        <v>338</v>
      </c>
    </row>
    <row r="2523" spans="1:6" x14ac:dyDescent="0.2">
      <c r="A2523" s="325" t="s">
        <v>677</v>
      </c>
      <c r="B2523" s="325" t="s">
        <v>845</v>
      </c>
      <c r="C2523" s="325" t="s">
        <v>565</v>
      </c>
      <c r="D2523" s="325" t="s">
        <v>751</v>
      </c>
      <c r="E2523" s="325" t="s">
        <v>265</v>
      </c>
      <c r="F2523" s="325" t="s">
        <v>753</v>
      </c>
    </row>
    <row r="2524" spans="1:6" x14ac:dyDescent="0.2">
      <c r="A2524" s="325" t="s">
        <v>677</v>
      </c>
      <c r="B2524" s="325" t="s">
        <v>846</v>
      </c>
      <c r="C2524" s="325" t="s">
        <v>565</v>
      </c>
      <c r="D2524" s="325" t="s">
        <v>55</v>
      </c>
      <c r="E2524" s="325" t="s">
        <v>265</v>
      </c>
      <c r="F2524" s="325" t="s">
        <v>305</v>
      </c>
    </row>
    <row r="2525" spans="1:6" x14ac:dyDescent="0.2">
      <c r="A2525" s="325" t="s">
        <v>677</v>
      </c>
      <c r="B2525" s="325" t="s">
        <v>847</v>
      </c>
      <c r="C2525" s="325" t="s">
        <v>565</v>
      </c>
      <c r="D2525" s="325" t="s">
        <v>522</v>
      </c>
      <c r="E2525" s="325" t="s">
        <v>265</v>
      </c>
      <c r="F2525" s="325" t="s">
        <v>602</v>
      </c>
    </row>
    <row r="2526" spans="1:6" x14ac:dyDescent="0.2">
      <c r="A2526" s="325" t="s">
        <v>677</v>
      </c>
      <c r="B2526" s="325" t="s">
        <v>848</v>
      </c>
      <c r="C2526" s="325" t="s">
        <v>565</v>
      </c>
      <c r="D2526" s="325" t="s">
        <v>370</v>
      </c>
      <c r="E2526" s="325" t="s">
        <v>265</v>
      </c>
      <c r="F2526" s="325" t="s">
        <v>484</v>
      </c>
    </row>
    <row r="2527" spans="1:6" x14ac:dyDescent="0.2">
      <c r="A2527" s="325" t="s">
        <v>677</v>
      </c>
      <c r="B2527" s="325" t="s">
        <v>849</v>
      </c>
      <c r="C2527" s="325" t="s">
        <v>565</v>
      </c>
      <c r="D2527" s="325" t="s">
        <v>752</v>
      </c>
      <c r="E2527" s="325" t="s">
        <v>265</v>
      </c>
      <c r="F2527" s="325" t="s">
        <v>754</v>
      </c>
    </row>
    <row r="2528" spans="1:6" x14ac:dyDescent="0.2">
      <c r="A2528" s="325" t="s">
        <v>677</v>
      </c>
      <c r="B2528" s="325" t="s">
        <v>850</v>
      </c>
      <c r="C2528" s="325" t="s">
        <v>565</v>
      </c>
      <c r="D2528" s="325" t="s">
        <v>585</v>
      </c>
      <c r="E2528" s="325" t="s">
        <v>265</v>
      </c>
      <c r="F2528" s="325" t="s">
        <v>564</v>
      </c>
    </row>
    <row r="2529" spans="1:6" x14ac:dyDescent="0.2">
      <c r="A2529" s="325" t="s">
        <v>677</v>
      </c>
      <c r="B2529" s="325" t="s">
        <v>851</v>
      </c>
      <c r="C2529" s="325" t="s">
        <v>565</v>
      </c>
      <c r="D2529" s="325" t="s">
        <v>603</v>
      </c>
      <c r="E2529" s="325" t="s">
        <v>265</v>
      </c>
      <c r="F2529" s="325" t="s">
        <v>703</v>
      </c>
    </row>
    <row r="2530" spans="1:6" x14ac:dyDescent="0.2">
      <c r="A2530" s="325" t="s">
        <v>677</v>
      </c>
      <c r="B2530" s="325" t="s">
        <v>852</v>
      </c>
      <c r="C2530" s="325" t="s">
        <v>565</v>
      </c>
      <c r="D2530" s="325" t="s">
        <v>604</v>
      </c>
      <c r="E2530" s="325" t="s">
        <v>265</v>
      </c>
      <c r="F2530" s="325" t="s">
        <v>702</v>
      </c>
    </row>
    <row r="2531" spans="1:6" x14ac:dyDescent="0.2">
      <c r="A2531" s="325" t="s">
        <v>677</v>
      </c>
      <c r="B2531" s="325" t="s">
        <v>853</v>
      </c>
      <c r="C2531" s="325" t="s">
        <v>565</v>
      </c>
      <c r="D2531" s="325" t="s">
        <v>565</v>
      </c>
      <c r="E2531" s="325" t="s">
        <v>265</v>
      </c>
      <c r="F2531" s="325" t="s">
        <v>306</v>
      </c>
    </row>
    <row r="2532" spans="1:6" x14ac:dyDescent="0.2">
      <c r="A2532" s="325" t="s">
        <v>677</v>
      </c>
      <c r="B2532" s="325" t="s">
        <v>854</v>
      </c>
      <c r="C2532" s="325" t="s">
        <v>565</v>
      </c>
      <c r="D2532" s="325" t="s">
        <v>354</v>
      </c>
      <c r="E2532" s="325" t="s">
        <v>265</v>
      </c>
      <c r="F2532" s="325" t="s">
        <v>390</v>
      </c>
    </row>
    <row r="2533" spans="1:6" x14ac:dyDescent="0.2">
      <c r="A2533" s="325" t="s">
        <v>677</v>
      </c>
      <c r="B2533" s="325" t="s">
        <v>855</v>
      </c>
      <c r="C2533" s="325" t="s">
        <v>565</v>
      </c>
      <c r="D2533" s="325" t="s">
        <v>93</v>
      </c>
      <c r="E2533" s="325" t="s">
        <v>265</v>
      </c>
      <c r="F2533" s="325" t="s">
        <v>170</v>
      </c>
    </row>
    <row r="2534" spans="1:6" x14ac:dyDescent="0.2">
      <c r="A2534" s="325" t="s">
        <v>677</v>
      </c>
      <c r="B2534" s="325" t="s">
        <v>856</v>
      </c>
      <c r="C2534" s="325" t="s">
        <v>565</v>
      </c>
      <c r="D2534" s="325" t="s">
        <v>198</v>
      </c>
      <c r="E2534" s="325" t="s">
        <v>265</v>
      </c>
      <c r="F2534" s="325" t="s">
        <v>139</v>
      </c>
    </row>
    <row r="2535" spans="1:6" x14ac:dyDescent="0.2">
      <c r="A2535" s="325" t="s">
        <v>677</v>
      </c>
      <c r="B2535" s="325" t="s">
        <v>857</v>
      </c>
      <c r="C2535" s="325" t="s">
        <v>565</v>
      </c>
      <c r="D2535" s="325" t="s">
        <v>249</v>
      </c>
      <c r="E2535" s="325" t="s">
        <v>442</v>
      </c>
      <c r="F2535" s="325" t="s">
        <v>27</v>
      </c>
    </row>
    <row r="2536" spans="1:6" x14ac:dyDescent="0.2">
      <c r="A2536" s="325" t="s">
        <v>677</v>
      </c>
      <c r="B2536" s="325" t="s">
        <v>858</v>
      </c>
      <c r="C2536" s="325" t="s">
        <v>565</v>
      </c>
      <c r="D2536" s="325" t="s">
        <v>152</v>
      </c>
      <c r="E2536" s="325" t="s">
        <v>265</v>
      </c>
      <c r="F2536" s="325" t="s">
        <v>555</v>
      </c>
    </row>
    <row r="2537" spans="1:6" x14ac:dyDescent="0.2">
      <c r="A2537" s="325" t="s">
        <v>677</v>
      </c>
      <c r="B2537" s="325" t="s">
        <v>859</v>
      </c>
      <c r="C2537" s="325" t="s">
        <v>565</v>
      </c>
      <c r="D2537" s="325" t="s">
        <v>547</v>
      </c>
      <c r="E2537" s="325" t="s">
        <v>265</v>
      </c>
      <c r="F2537" s="325" t="s">
        <v>374</v>
      </c>
    </row>
    <row r="2538" spans="1:6" x14ac:dyDescent="0.2">
      <c r="A2538" s="325" t="s">
        <v>677</v>
      </c>
      <c r="B2538" s="325" t="s">
        <v>860</v>
      </c>
      <c r="C2538" s="325" t="s">
        <v>565</v>
      </c>
      <c r="D2538" s="325" t="s">
        <v>490</v>
      </c>
      <c r="E2538" s="325" t="s">
        <v>265</v>
      </c>
      <c r="F2538" s="325" t="s">
        <v>177</v>
      </c>
    </row>
    <row r="2539" spans="1:6" x14ac:dyDescent="0.2">
      <c r="A2539" s="325" t="s">
        <v>677</v>
      </c>
      <c r="B2539" s="325" t="s">
        <v>861</v>
      </c>
      <c r="C2539" s="325" t="s">
        <v>565</v>
      </c>
      <c r="D2539" s="325" t="s">
        <v>209</v>
      </c>
      <c r="E2539" s="325" t="s">
        <v>265</v>
      </c>
      <c r="F2539" s="325" t="s">
        <v>41</v>
      </c>
    </row>
    <row r="2540" spans="1:6" x14ac:dyDescent="0.2">
      <c r="A2540" s="325" t="s">
        <v>677</v>
      </c>
      <c r="B2540" s="325" t="s">
        <v>862</v>
      </c>
      <c r="C2540" s="325" t="s">
        <v>565</v>
      </c>
      <c r="D2540" s="325" t="s">
        <v>163</v>
      </c>
      <c r="E2540" s="325" t="s">
        <v>265</v>
      </c>
      <c r="F2540" s="325" t="s">
        <v>98</v>
      </c>
    </row>
    <row r="2541" spans="1:6" x14ac:dyDescent="0.2">
      <c r="A2541" s="325" t="s">
        <v>677</v>
      </c>
      <c r="B2541" s="325" t="s">
        <v>863</v>
      </c>
      <c r="C2541" s="325" t="s">
        <v>565</v>
      </c>
      <c r="D2541" s="325" t="s">
        <v>200</v>
      </c>
      <c r="E2541" s="325" t="s">
        <v>265</v>
      </c>
      <c r="F2541" s="325" t="s">
        <v>230</v>
      </c>
    </row>
    <row r="2542" spans="1:6" x14ac:dyDescent="0.2">
      <c r="A2542" s="325" t="s">
        <v>677</v>
      </c>
      <c r="B2542" s="325" t="s">
        <v>864</v>
      </c>
      <c r="C2542" s="325" t="s">
        <v>565</v>
      </c>
      <c r="D2542" s="325" t="s">
        <v>54</v>
      </c>
      <c r="E2542" s="325" t="s">
        <v>265</v>
      </c>
      <c r="F2542" s="325" t="s">
        <v>192</v>
      </c>
    </row>
    <row r="2543" spans="1:6" x14ac:dyDescent="0.2">
      <c r="A2543" s="325" t="s">
        <v>677</v>
      </c>
      <c r="B2543" s="325" t="s">
        <v>865</v>
      </c>
      <c r="C2543" s="325" t="s">
        <v>565</v>
      </c>
      <c r="D2543" s="325" t="s">
        <v>133</v>
      </c>
      <c r="E2543" s="325" t="s">
        <v>265</v>
      </c>
      <c r="F2543" s="325" t="s">
        <v>349</v>
      </c>
    </row>
    <row r="2544" spans="1:6" x14ac:dyDescent="0.2">
      <c r="A2544" s="325" t="s">
        <v>677</v>
      </c>
      <c r="B2544" s="325" t="s">
        <v>866</v>
      </c>
      <c r="C2544" s="325" t="s">
        <v>565</v>
      </c>
      <c r="D2544" s="325" t="s">
        <v>232</v>
      </c>
      <c r="E2544" s="325" t="s">
        <v>265</v>
      </c>
      <c r="F2544" s="325" t="s">
        <v>16</v>
      </c>
    </row>
    <row r="2545" spans="1:6" x14ac:dyDescent="0.2">
      <c r="A2545" s="325" t="s">
        <v>677</v>
      </c>
      <c r="B2545" s="325" t="s">
        <v>867</v>
      </c>
      <c r="C2545" s="325" t="s">
        <v>565</v>
      </c>
      <c r="D2545" s="325" t="s">
        <v>56</v>
      </c>
      <c r="E2545" s="325" t="s">
        <v>265</v>
      </c>
      <c r="F2545" s="325" t="s">
        <v>199</v>
      </c>
    </row>
    <row r="2546" spans="1:6" x14ac:dyDescent="0.2">
      <c r="A2546" s="325" t="s">
        <v>677</v>
      </c>
      <c r="B2546" s="325" t="s">
        <v>868</v>
      </c>
      <c r="C2546" s="325" t="s">
        <v>565</v>
      </c>
      <c r="D2546" s="325" t="s">
        <v>434</v>
      </c>
      <c r="E2546" s="325" t="s">
        <v>456</v>
      </c>
      <c r="F2546" s="325" t="s">
        <v>514</v>
      </c>
    </row>
    <row r="2547" spans="1:6" x14ac:dyDescent="0.2">
      <c r="A2547" s="325" t="s">
        <v>677</v>
      </c>
      <c r="B2547" s="325" t="s">
        <v>869</v>
      </c>
      <c r="C2547" s="325" t="s">
        <v>565</v>
      </c>
      <c r="D2547" s="325" t="s">
        <v>108</v>
      </c>
      <c r="E2547" s="325" t="s">
        <v>456</v>
      </c>
      <c r="F2547" s="325" t="s">
        <v>362</v>
      </c>
    </row>
    <row r="2548" spans="1:6" x14ac:dyDescent="0.2">
      <c r="A2548" s="325" t="s">
        <v>677</v>
      </c>
      <c r="B2548" s="325" t="s">
        <v>870</v>
      </c>
      <c r="C2548" s="325" t="s">
        <v>565</v>
      </c>
      <c r="D2548" s="325" t="s">
        <v>657</v>
      </c>
      <c r="E2548" s="325" t="s">
        <v>265</v>
      </c>
      <c r="F2548" s="325" t="s">
        <v>658</v>
      </c>
    </row>
    <row r="2549" spans="1:6" x14ac:dyDescent="0.2">
      <c r="A2549" s="325" t="s">
        <v>677</v>
      </c>
      <c r="B2549" s="325" t="s">
        <v>871</v>
      </c>
      <c r="C2549" s="325" t="s">
        <v>565</v>
      </c>
      <c r="D2549" s="325" t="s">
        <v>659</v>
      </c>
      <c r="E2549" s="325" t="s">
        <v>265</v>
      </c>
      <c r="F2549" s="325" t="s">
        <v>660</v>
      </c>
    </row>
    <row r="2550" spans="1:6" x14ac:dyDescent="0.2">
      <c r="A2550" s="325" t="s">
        <v>677</v>
      </c>
      <c r="B2550" s="325" t="s">
        <v>872</v>
      </c>
      <c r="C2550" s="325" t="s">
        <v>565</v>
      </c>
      <c r="D2550" s="325" t="s">
        <v>661</v>
      </c>
      <c r="E2550" s="325" t="s">
        <v>265</v>
      </c>
      <c r="F2550" s="325" t="s">
        <v>662</v>
      </c>
    </row>
    <row r="2551" spans="1:6" x14ac:dyDescent="0.2">
      <c r="A2551" s="325" t="s">
        <v>677</v>
      </c>
      <c r="B2551" s="325" t="s">
        <v>873</v>
      </c>
      <c r="C2551" s="325" t="s">
        <v>565</v>
      </c>
      <c r="D2551" s="325" t="s">
        <v>648</v>
      </c>
      <c r="E2551" s="325" t="s">
        <v>265</v>
      </c>
      <c r="F2551" s="325" t="s">
        <v>651</v>
      </c>
    </row>
    <row r="2552" spans="1:6" x14ac:dyDescent="0.2">
      <c r="A2552" s="325" t="s">
        <v>677</v>
      </c>
      <c r="B2552" s="325" t="s">
        <v>874</v>
      </c>
      <c r="C2552" s="325" t="s">
        <v>565</v>
      </c>
      <c r="D2552" s="325" t="s">
        <v>649</v>
      </c>
      <c r="E2552" s="325" t="s">
        <v>265</v>
      </c>
      <c r="F2552" s="325" t="s">
        <v>652</v>
      </c>
    </row>
    <row r="2553" spans="1:6" x14ac:dyDescent="0.2">
      <c r="A2553" s="325" t="s">
        <v>677</v>
      </c>
      <c r="B2553" s="325" t="s">
        <v>875</v>
      </c>
      <c r="C2553" s="325" t="s">
        <v>565</v>
      </c>
      <c r="D2553" s="325" t="s">
        <v>650</v>
      </c>
      <c r="E2553" s="325" t="s">
        <v>265</v>
      </c>
      <c r="F2553" s="325" t="s">
        <v>653</v>
      </c>
    </row>
    <row r="2554" spans="1:6" x14ac:dyDescent="0.2">
      <c r="A2554" s="325" t="s">
        <v>677</v>
      </c>
      <c r="B2554" s="325" t="s">
        <v>876</v>
      </c>
      <c r="C2554" s="325" t="s">
        <v>565</v>
      </c>
      <c r="D2554" s="325" t="s">
        <v>327</v>
      </c>
      <c r="E2554" s="325" t="s">
        <v>265</v>
      </c>
      <c r="F2554" s="325" t="s">
        <v>102</v>
      </c>
    </row>
    <row r="2555" spans="1:6" x14ac:dyDescent="0.2">
      <c r="A2555" s="325" t="s">
        <v>677</v>
      </c>
      <c r="B2555" s="325" t="s">
        <v>877</v>
      </c>
      <c r="C2555" s="325" t="s">
        <v>565</v>
      </c>
      <c r="D2555" s="325" t="s">
        <v>356</v>
      </c>
      <c r="E2555" s="325" t="s">
        <v>265</v>
      </c>
      <c r="F2555" s="325" t="s">
        <v>1011</v>
      </c>
    </row>
    <row r="2556" spans="1:6" x14ac:dyDescent="0.2">
      <c r="A2556" s="325" t="s">
        <v>677</v>
      </c>
      <c r="B2556" s="325" t="s">
        <v>878</v>
      </c>
      <c r="C2556" s="325" t="s">
        <v>565</v>
      </c>
      <c r="D2556" s="325" t="s">
        <v>513</v>
      </c>
      <c r="E2556" s="325" t="s">
        <v>456</v>
      </c>
      <c r="F2556" s="325" t="s">
        <v>264</v>
      </c>
    </row>
    <row r="2557" spans="1:6" x14ac:dyDescent="0.2">
      <c r="A2557" s="325" t="s">
        <v>677</v>
      </c>
      <c r="B2557" s="325" t="s">
        <v>879</v>
      </c>
      <c r="C2557" s="325" t="s">
        <v>565</v>
      </c>
      <c r="D2557" s="325" t="s">
        <v>554</v>
      </c>
      <c r="E2557" s="325" t="s">
        <v>456</v>
      </c>
      <c r="F2557" s="325" t="s">
        <v>229</v>
      </c>
    </row>
    <row r="2558" spans="1:6" x14ac:dyDescent="0.2">
      <c r="A2558" s="325" t="s">
        <v>677</v>
      </c>
      <c r="B2558" s="325" t="s">
        <v>880</v>
      </c>
      <c r="C2558" s="325" t="s">
        <v>565</v>
      </c>
      <c r="D2558" s="325" t="s">
        <v>409</v>
      </c>
      <c r="E2558" s="325" t="s">
        <v>456</v>
      </c>
      <c r="F2558" s="325" t="s">
        <v>336</v>
      </c>
    </row>
    <row r="2559" spans="1:6" x14ac:dyDescent="0.2">
      <c r="A2559" s="325" t="s">
        <v>677</v>
      </c>
      <c r="B2559" s="325" t="s">
        <v>881</v>
      </c>
      <c r="C2559" s="325" t="s">
        <v>565</v>
      </c>
      <c r="D2559" s="325" t="s">
        <v>72</v>
      </c>
      <c r="E2559" s="325" t="s">
        <v>265</v>
      </c>
      <c r="F2559" s="325" t="s">
        <v>451</v>
      </c>
    </row>
    <row r="2560" spans="1:6" x14ac:dyDescent="0.2">
      <c r="A2560" s="325" t="s">
        <v>677</v>
      </c>
      <c r="B2560" s="325" t="s">
        <v>882</v>
      </c>
      <c r="C2560" s="325" t="s">
        <v>565</v>
      </c>
      <c r="D2560" s="325" t="s">
        <v>35</v>
      </c>
      <c r="E2560" s="325" t="s">
        <v>265</v>
      </c>
      <c r="F2560" s="325" t="s">
        <v>414</v>
      </c>
    </row>
    <row r="2561" spans="1:6" x14ac:dyDescent="0.2">
      <c r="A2561" s="325" t="s">
        <v>677</v>
      </c>
      <c r="B2561" s="325" t="s">
        <v>883</v>
      </c>
      <c r="C2561" s="325" t="s">
        <v>565</v>
      </c>
      <c r="D2561" s="325" t="s">
        <v>453</v>
      </c>
      <c r="E2561" s="325" t="s">
        <v>456</v>
      </c>
      <c r="F2561" s="325" t="s">
        <v>62</v>
      </c>
    </row>
    <row r="2562" spans="1:6" x14ac:dyDescent="0.2">
      <c r="A2562" s="325" t="s">
        <v>677</v>
      </c>
      <c r="B2562" s="325" t="s">
        <v>884</v>
      </c>
      <c r="C2562" s="325" t="s">
        <v>565</v>
      </c>
      <c r="D2562" s="325" t="s">
        <v>84</v>
      </c>
      <c r="E2562" s="325" t="s">
        <v>456</v>
      </c>
      <c r="F2562" s="325" t="s">
        <v>148</v>
      </c>
    </row>
    <row r="2563" spans="1:6" x14ac:dyDescent="0.2">
      <c r="A2563" s="325" t="s">
        <v>677</v>
      </c>
      <c r="B2563" s="325" t="s">
        <v>885</v>
      </c>
      <c r="C2563" s="325" t="s">
        <v>565</v>
      </c>
      <c r="D2563" s="325" t="s">
        <v>534</v>
      </c>
      <c r="E2563" s="325" t="s">
        <v>456</v>
      </c>
      <c r="F2563" s="325" t="s">
        <v>8</v>
      </c>
    </row>
    <row r="2564" spans="1:6" x14ac:dyDescent="0.2">
      <c r="A2564" s="325" t="s">
        <v>677</v>
      </c>
      <c r="B2564" s="325" t="s">
        <v>886</v>
      </c>
      <c r="C2564" s="325" t="s">
        <v>565</v>
      </c>
      <c r="D2564" s="325" t="s">
        <v>583</v>
      </c>
      <c r="E2564" s="325" t="s">
        <v>456</v>
      </c>
      <c r="F2564" s="325" t="s">
        <v>475</v>
      </c>
    </row>
    <row r="2565" spans="1:6" x14ac:dyDescent="0.2">
      <c r="A2565" s="325" t="s">
        <v>677</v>
      </c>
      <c r="B2565" s="325" t="s">
        <v>887</v>
      </c>
      <c r="C2565" s="325" t="s">
        <v>565</v>
      </c>
      <c r="D2565" s="325" t="s">
        <v>481</v>
      </c>
      <c r="E2565" s="325" t="s">
        <v>456</v>
      </c>
      <c r="F2565" s="325" t="s">
        <v>245</v>
      </c>
    </row>
    <row r="2566" spans="1:6" x14ac:dyDescent="0.2">
      <c r="A2566" s="325" t="s">
        <v>677</v>
      </c>
      <c r="B2566" s="325" t="s">
        <v>888</v>
      </c>
      <c r="C2566" s="325" t="s">
        <v>565</v>
      </c>
      <c r="D2566" s="325" t="s">
        <v>398</v>
      </c>
      <c r="E2566" s="325" t="s">
        <v>456</v>
      </c>
      <c r="F2566" s="325" t="s">
        <v>181</v>
      </c>
    </row>
    <row r="2567" spans="1:6" x14ac:dyDescent="0.2">
      <c r="A2567" s="325" t="s">
        <v>677</v>
      </c>
      <c r="B2567" s="325" t="s">
        <v>889</v>
      </c>
      <c r="C2567" s="325" t="s">
        <v>565</v>
      </c>
      <c r="D2567" s="325" t="s">
        <v>712</v>
      </c>
      <c r="E2567" s="325" t="s">
        <v>456</v>
      </c>
      <c r="F2567" s="325" t="s">
        <v>713</v>
      </c>
    </row>
    <row r="2568" spans="1:6" x14ac:dyDescent="0.2">
      <c r="A2568" s="325" t="s">
        <v>677</v>
      </c>
      <c r="B2568" s="325" t="s">
        <v>890</v>
      </c>
      <c r="C2568" s="325" t="s">
        <v>565</v>
      </c>
      <c r="D2568" s="325" t="s">
        <v>97</v>
      </c>
      <c r="E2568" s="325" t="s">
        <v>456</v>
      </c>
      <c r="F2568" s="325" t="s">
        <v>63</v>
      </c>
    </row>
    <row r="2569" spans="1:6" x14ac:dyDescent="0.2">
      <c r="A2569" s="325" t="s">
        <v>677</v>
      </c>
      <c r="B2569" s="325" t="s">
        <v>891</v>
      </c>
      <c r="C2569" s="325" t="s">
        <v>565</v>
      </c>
      <c r="D2569" s="325" t="s">
        <v>190</v>
      </c>
      <c r="E2569" s="325" t="s">
        <v>456</v>
      </c>
      <c r="F2569" s="325" t="s">
        <v>1012</v>
      </c>
    </row>
    <row r="2570" spans="1:6" x14ac:dyDescent="0.2">
      <c r="A2570" s="325" t="s">
        <v>677</v>
      </c>
      <c r="B2570" s="325" t="s">
        <v>892</v>
      </c>
      <c r="C2570" s="325" t="s">
        <v>565</v>
      </c>
      <c r="D2570" s="325" t="s">
        <v>699</v>
      </c>
      <c r="E2570" s="325" t="s">
        <v>265</v>
      </c>
      <c r="F2570" s="325" t="s">
        <v>994</v>
      </c>
    </row>
    <row r="2571" spans="1:6" x14ac:dyDescent="0.2">
      <c r="A2571" s="325" t="s">
        <v>677</v>
      </c>
      <c r="B2571" s="325" t="s">
        <v>893</v>
      </c>
      <c r="C2571" s="325" t="s">
        <v>565</v>
      </c>
      <c r="D2571" s="325" t="s">
        <v>380</v>
      </c>
      <c r="E2571" s="325" t="s">
        <v>456</v>
      </c>
      <c r="F2571" s="325" t="s">
        <v>74</v>
      </c>
    </row>
    <row r="2572" spans="1:6" x14ac:dyDescent="0.2">
      <c r="A2572" s="325" t="s">
        <v>677</v>
      </c>
      <c r="B2572" s="325" t="s">
        <v>894</v>
      </c>
      <c r="C2572" s="325" t="s">
        <v>565</v>
      </c>
      <c r="D2572" s="325" t="s">
        <v>579</v>
      </c>
      <c r="E2572" s="325" t="s">
        <v>456</v>
      </c>
      <c r="F2572" s="325" t="s">
        <v>236</v>
      </c>
    </row>
    <row r="2573" spans="1:6" x14ac:dyDescent="0.2">
      <c r="A2573" s="325" t="s">
        <v>677</v>
      </c>
      <c r="B2573" s="325" t="s">
        <v>895</v>
      </c>
      <c r="C2573" s="325" t="s">
        <v>565</v>
      </c>
      <c r="D2573" s="325" t="s">
        <v>155</v>
      </c>
      <c r="E2573" s="325" t="s">
        <v>456</v>
      </c>
      <c r="F2573" s="325" t="s">
        <v>74</v>
      </c>
    </row>
    <row r="2574" spans="1:6" x14ac:dyDescent="0.2">
      <c r="A2574" s="325" t="s">
        <v>677</v>
      </c>
      <c r="B2574" s="325" t="s">
        <v>896</v>
      </c>
      <c r="C2574" s="325" t="s">
        <v>565</v>
      </c>
      <c r="D2574" s="325" t="s">
        <v>581</v>
      </c>
      <c r="E2574" s="325" t="s">
        <v>456</v>
      </c>
      <c r="F2574" s="325" t="s">
        <v>236</v>
      </c>
    </row>
    <row r="2575" spans="1:6" x14ac:dyDescent="0.2">
      <c r="A2575" s="325" t="s">
        <v>677</v>
      </c>
      <c r="B2575" s="325" t="s">
        <v>897</v>
      </c>
      <c r="C2575" s="325" t="s">
        <v>565</v>
      </c>
      <c r="D2575" s="325" t="s">
        <v>357</v>
      </c>
      <c r="E2575" s="325" t="s">
        <v>456</v>
      </c>
      <c r="F2575" s="325" t="s">
        <v>342</v>
      </c>
    </row>
    <row r="2576" spans="1:6" x14ac:dyDescent="0.2">
      <c r="A2576" s="325" t="s">
        <v>677</v>
      </c>
      <c r="B2576" s="325" t="s">
        <v>898</v>
      </c>
      <c r="C2576" s="325" t="s">
        <v>565</v>
      </c>
      <c r="D2576" s="325" t="s">
        <v>171</v>
      </c>
      <c r="E2576" s="325" t="s">
        <v>456</v>
      </c>
      <c r="F2576" s="325" t="s">
        <v>559</v>
      </c>
    </row>
    <row r="2577" spans="1:6" x14ac:dyDescent="0.2">
      <c r="A2577" s="325" t="s">
        <v>677</v>
      </c>
      <c r="B2577" s="325" t="s">
        <v>899</v>
      </c>
      <c r="C2577" s="325" t="s">
        <v>565</v>
      </c>
      <c r="D2577" s="325" t="s">
        <v>424</v>
      </c>
      <c r="E2577" s="325" t="s">
        <v>456</v>
      </c>
      <c r="F2577" s="325" t="s">
        <v>256</v>
      </c>
    </row>
    <row r="2578" spans="1:6" x14ac:dyDescent="0.2">
      <c r="A2578" s="325" t="s">
        <v>677</v>
      </c>
      <c r="B2578" s="325" t="s">
        <v>901</v>
      </c>
      <c r="C2578" s="325" t="s">
        <v>565</v>
      </c>
      <c r="D2578" s="325" t="s">
        <v>21</v>
      </c>
      <c r="E2578" s="325" t="s">
        <v>265</v>
      </c>
      <c r="F2578" s="325" t="s">
        <v>47</v>
      </c>
    </row>
    <row r="2579" spans="1:6" x14ac:dyDescent="0.2">
      <c r="A2579" s="325" t="s">
        <v>677</v>
      </c>
      <c r="B2579" s="325" t="s">
        <v>902</v>
      </c>
      <c r="C2579" s="325" t="s">
        <v>565</v>
      </c>
      <c r="D2579" s="325" t="s">
        <v>323</v>
      </c>
      <c r="E2579" s="325" t="s">
        <v>265</v>
      </c>
      <c r="F2579" s="325" t="s">
        <v>20</v>
      </c>
    </row>
    <row r="2580" spans="1:6" x14ac:dyDescent="0.2">
      <c r="A2580" s="325" t="s">
        <v>677</v>
      </c>
      <c r="B2580" s="325" t="s">
        <v>903</v>
      </c>
      <c r="C2580" s="325" t="s">
        <v>565</v>
      </c>
      <c r="D2580" s="325" t="s">
        <v>447</v>
      </c>
      <c r="E2580" s="325" t="s">
        <v>265</v>
      </c>
      <c r="F2580" s="325" t="s">
        <v>741</v>
      </c>
    </row>
    <row r="2581" spans="1:6" x14ac:dyDescent="0.2">
      <c r="A2581" s="325" t="s">
        <v>677</v>
      </c>
      <c r="B2581" s="325" t="s">
        <v>904</v>
      </c>
      <c r="C2581" s="325" t="s">
        <v>565</v>
      </c>
      <c r="D2581" s="325" t="s">
        <v>742</v>
      </c>
      <c r="E2581" s="325" t="s">
        <v>456</v>
      </c>
      <c r="F2581" s="325" t="s">
        <v>743</v>
      </c>
    </row>
    <row r="2582" spans="1:6" x14ac:dyDescent="0.2">
      <c r="A2582" s="325" t="s">
        <v>677</v>
      </c>
      <c r="B2582" s="325" t="s">
        <v>905</v>
      </c>
      <c r="C2582" s="325" t="s">
        <v>565</v>
      </c>
      <c r="D2582" s="325" t="s">
        <v>85</v>
      </c>
      <c r="E2582" s="325" t="s">
        <v>456</v>
      </c>
      <c r="F2582" s="325" t="s">
        <v>995</v>
      </c>
    </row>
    <row r="2583" spans="1:6" x14ac:dyDescent="0.2">
      <c r="A2583" s="325" t="s">
        <v>677</v>
      </c>
      <c r="B2583" s="325" t="s">
        <v>906</v>
      </c>
      <c r="C2583" s="325" t="s">
        <v>565</v>
      </c>
      <c r="D2583" s="325" t="s">
        <v>679</v>
      </c>
      <c r="E2583" s="325" t="s">
        <v>265</v>
      </c>
      <c r="F2583" s="325" t="s">
        <v>682</v>
      </c>
    </row>
    <row r="2584" spans="1:6" x14ac:dyDescent="0.2">
      <c r="A2584" s="325" t="s">
        <v>677</v>
      </c>
      <c r="B2584" s="325" t="s">
        <v>907</v>
      </c>
      <c r="C2584" s="325" t="s">
        <v>565</v>
      </c>
      <c r="D2584" s="325" t="s">
        <v>45</v>
      </c>
      <c r="E2584" s="325" t="s">
        <v>456</v>
      </c>
      <c r="F2584" s="325" t="s">
        <v>165</v>
      </c>
    </row>
    <row r="2585" spans="1:6" x14ac:dyDescent="0.2">
      <c r="A2585" s="325" t="s">
        <v>677</v>
      </c>
      <c r="B2585" s="325" t="s">
        <v>908</v>
      </c>
      <c r="C2585" s="325" t="s">
        <v>565</v>
      </c>
      <c r="D2585" s="325" t="s">
        <v>151</v>
      </c>
      <c r="E2585" s="325" t="s">
        <v>456</v>
      </c>
      <c r="F2585" s="325" t="s">
        <v>535</v>
      </c>
    </row>
    <row r="2586" spans="1:6" x14ac:dyDescent="0.2">
      <c r="A2586" s="325" t="s">
        <v>677</v>
      </c>
      <c r="B2586" s="325" t="s">
        <v>909</v>
      </c>
      <c r="C2586" s="325" t="s">
        <v>565</v>
      </c>
      <c r="D2586" s="325" t="s">
        <v>433</v>
      </c>
      <c r="E2586" s="325" t="s">
        <v>456</v>
      </c>
      <c r="F2586" s="325" t="s">
        <v>311</v>
      </c>
    </row>
    <row r="2587" spans="1:6" x14ac:dyDescent="0.2">
      <c r="A2587" s="325" t="s">
        <v>677</v>
      </c>
      <c r="B2587" s="325" t="s">
        <v>910</v>
      </c>
      <c r="C2587" s="325" t="s">
        <v>565</v>
      </c>
      <c r="D2587" s="325" t="s">
        <v>395</v>
      </c>
      <c r="E2587" s="325" t="s">
        <v>456</v>
      </c>
      <c r="F2587" s="325" t="s">
        <v>588</v>
      </c>
    </row>
    <row r="2588" spans="1:6" x14ac:dyDescent="0.2">
      <c r="A2588" s="325" t="s">
        <v>677</v>
      </c>
      <c r="B2588" s="325" t="s">
        <v>911</v>
      </c>
      <c r="C2588" s="325" t="s">
        <v>565</v>
      </c>
      <c r="D2588" s="325" t="s">
        <v>499</v>
      </c>
      <c r="E2588" s="325" t="s">
        <v>456</v>
      </c>
      <c r="F2588" s="325" t="s">
        <v>314</v>
      </c>
    </row>
    <row r="2589" spans="1:6" x14ac:dyDescent="0.2">
      <c r="A2589" s="325" t="s">
        <v>677</v>
      </c>
      <c r="B2589" s="325" t="s">
        <v>912</v>
      </c>
      <c r="C2589" s="325" t="s">
        <v>565</v>
      </c>
      <c r="D2589" s="325" t="s">
        <v>65</v>
      </c>
      <c r="E2589" s="325" t="s">
        <v>456</v>
      </c>
      <c r="F2589" s="325" t="s">
        <v>33</v>
      </c>
    </row>
    <row r="2590" spans="1:6" x14ac:dyDescent="0.2">
      <c r="A2590" s="325" t="s">
        <v>677</v>
      </c>
      <c r="B2590" s="325" t="s">
        <v>913</v>
      </c>
      <c r="C2590" s="325" t="s">
        <v>565</v>
      </c>
      <c r="D2590" s="325" t="s">
        <v>267</v>
      </c>
      <c r="E2590" s="325" t="s">
        <v>456</v>
      </c>
      <c r="F2590" s="325" t="s">
        <v>22</v>
      </c>
    </row>
    <row r="2591" spans="1:6" x14ac:dyDescent="0.2">
      <c r="A2591" s="325" t="s">
        <v>677</v>
      </c>
      <c r="B2591" s="325" t="s">
        <v>914</v>
      </c>
      <c r="C2591" s="325" t="s">
        <v>565</v>
      </c>
      <c r="D2591" s="325" t="s">
        <v>13</v>
      </c>
      <c r="E2591" s="325" t="s">
        <v>456</v>
      </c>
      <c r="F2591" s="325" t="s">
        <v>222</v>
      </c>
    </row>
    <row r="2592" spans="1:6" x14ac:dyDescent="0.2">
      <c r="A2592" s="325" t="s">
        <v>677</v>
      </c>
      <c r="B2592" s="325" t="s">
        <v>915</v>
      </c>
      <c r="C2592" s="325" t="s">
        <v>565</v>
      </c>
      <c r="D2592" s="325" t="s">
        <v>463</v>
      </c>
      <c r="E2592" s="325" t="s">
        <v>456</v>
      </c>
      <c r="F2592" s="325" t="s">
        <v>536</v>
      </c>
    </row>
    <row r="2593" spans="1:6" x14ac:dyDescent="0.2">
      <c r="A2593" s="325" t="s">
        <v>677</v>
      </c>
      <c r="B2593" s="325" t="s">
        <v>916</v>
      </c>
      <c r="C2593" s="325" t="s">
        <v>565</v>
      </c>
      <c r="D2593" s="325" t="s">
        <v>11</v>
      </c>
      <c r="E2593" s="325" t="s">
        <v>456</v>
      </c>
      <c r="F2593" s="325" t="s">
        <v>573</v>
      </c>
    </row>
    <row r="2594" spans="1:6" x14ac:dyDescent="0.2">
      <c r="A2594" s="325" t="s">
        <v>677</v>
      </c>
      <c r="B2594" s="325" t="s">
        <v>917</v>
      </c>
      <c r="C2594" s="325" t="s">
        <v>565</v>
      </c>
      <c r="D2594" s="325" t="s">
        <v>577</v>
      </c>
      <c r="E2594" s="325" t="s">
        <v>456</v>
      </c>
      <c r="F2594" s="325" t="s">
        <v>343</v>
      </c>
    </row>
    <row r="2595" spans="1:6" x14ac:dyDescent="0.2">
      <c r="A2595" s="325" t="s">
        <v>677</v>
      </c>
      <c r="B2595" s="325" t="s">
        <v>918</v>
      </c>
      <c r="C2595" s="325" t="s">
        <v>565</v>
      </c>
      <c r="D2595" s="325" t="s">
        <v>113</v>
      </c>
      <c r="E2595" s="325" t="s">
        <v>456</v>
      </c>
      <c r="F2595" s="325" t="s">
        <v>219</v>
      </c>
    </row>
    <row r="2596" spans="1:6" x14ac:dyDescent="0.2">
      <c r="A2596" s="325" t="s">
        <v>677</v>
      </c>
      <c r="B2596" s="325" t="s">
        <v>919</v>
      </c>
      <c r="C2596" s="325" t="s">
        <v>565</v>
      </c>
      <c r="D2596" s="325" t="s">
        <v>294</v>
      </c>
      <c r="E2596" s="325" t="s">
        <v>456</v>
      </c>
      <c r="F2596" s="325" t="s">
        <v>498</v>
      </c>
    </row>
    <row r="2597" spans="1:6" x14ac:dyDescent="0.2">
      <c r="A2597" s="325" t="s">
        <v>677</v>
      </c>
      <c r="B2597" s="325" t="s">
        <v>920</v>
      </c>
      <c r="C2597" s="325" t="s">
        <v>565</v>
      </c>
      <c r="D2597" s="325" t="s">
        <v>131</v>
      </c>
      <c r="E2597" s="325" t="s">
        <v>456</v>
      </c>
      <c r="F2597" s="325" t="s">
        <v>407</v>
      </c>
    </row>
    <row r="2598" spans="1:6" x14ac:dyDescent="0.2">
      <c r="A2598" s="325" t="s">
        <v>677</v>
      </c>
      <c r="B2598" s="325" t="s">
        <v>921</v>
      </c>
      <c r="C2598" s="325" t="s">
        <v>565</v>
      </c>
      <c r="D2598" s="325" t="s">
        <v>450</v>
      </c>
      <c r="E2598" s="325" t="s">
        <v>456</v>
      </c>
      <c r="F2598" s="325" t="s">
        <v>416</v>
      </c>
    </row>
    <row r="2599" spans="1:6" x14ac:dyDescent="0.2">
      <c r="A2599" s="325" t="s">
        <v>677</v>
      </c>
      <c r="B2599" s="325" t="s">
        <v>922</v>
      </c>
      <c r="C2599" s="325" t="s">
        <v>565</v>
      </c>
      <c r="D2599" s="325" t="s">
        <v>437</v>
      </c>
      <c r="E2599" s="325" t="s">
        <v>456</v>
      </c>
      <c r="F2599" s="325" t="s">
        <v>455</v>
      </c>
    </row>
    <row r="2600" spans="1:6" x14ac:dyDescent="0.2">
      <c r="A2600" s="325" t="s">
        <v>677</v>
      </c>
      <c r="B2600" s="325" t="s">
        <v>923</v>
      </c>
      <c r="C2600" s="325" t="s">
        <v>565</v>
      </c>
      <c r="D2600" s="325" t="s">
        <v>14</v>
      </c>
      <c r="E2600" s="325" t="s">
        <v>456</v>
      </c>
      <c r="F2600" s="325" t="s">
        <v>430</v>
      </c>
    </row>
    <row r="2601" spans="1:6" x14ac:dyDescent="0.2">
      <c r="A2601" s="325" t="s">
        <v>677</v>
      </c>
      <c r="B2601" s="325" t="s">
        <v>924</v>
      </c>
      <c r="C2601" s="325" t="s">
        <v>565</v>
      </c>
      <c r="D2601" s="325" t="s">
        <v>172</v>
      </c>
      <c r="E2601" s="325" t="s">
        <v>456</v>
      </c>
      <c r="F2601" s="325" t="s">
        <v>89</v>
      </c>
    </row>
    <row r="2602" spans="1:6" x14ac:dyDescent="0.2">
      <c r="A2602" s="325" t="s">
        <v>677</v>
      </c>
      <c r="B2602" s="325" t="s">
        <v>925</v>
      </c>
      <c r="C2602" s="325" t="s">
        <v>565</v>
      </c>
      <c r="D2602" s="325" t="s">
        <v>670</v>
      </c>
      <c r="E2602" s="325" t="s">
        <v>265</v>
      </c>
      <c r="F2602" s="325" t="s">
        <v>689</v>
      </c>
    </row>
    <row r="2603" spans="1:6" x14ac:dyDescent="0.2">
      <c r="A2603" s="325" t="s">
        <v>677</v>
      </c>
      <c r="B2603" s="325" t="s">
        <v>926</v>
      </c>
      <c r="C2603" s="325" t="s">
        <v>565</v>
      </c>
      <c r="D2603" s="325" t="s">
        <v>250</v>
      </c>
      <c r="E2603" s="325" t="s">
        <v>265</v>
      </c>
      <c r="F2603" s="325" t="s">
        <v>589</v>
      </c>
    </row>
    <row r="2604" spans="1:6" x14ac:dyDescent="0.2">
      <c r="A2604" s="325" t="s">
        <v>677</v>
      </c>
      <c r="B2604" s="325" t="s">
        <v>927</v>
      </c>
      <c r="C2604" s="325" t="s">
        <v>565</v>
      </c>
      <c r="D2604" s="325" t="s">
        <v>663</v>
      </c>
      <c r="E2604" s="325" t="s">
        <v>456</v>
      </c>
      <c r="F2604" s="325" t="s">
        <v>468</v>
      </c>
    </row>
    <row r="2605" spans="1:6" x14ac:dyDescent="0.2">
      <c r="A2605" s="325" t="s">
        <v>677</v>
      </c>
      <c r="B2605" s="325" t="s">
        <v>928</v>
      </c>
      <c r="C2605" s="325" t="s">
        <v>565</v>
      </c>
      <c r="D2605" s="325" t="s">
        <v>711</v>
      </c>
      <c r="E2605" s="325" t="s">
        <v>456</v>
      </c>
      <c r="F2605" s="325" t="s">
        <v>1013</v>
      </c>
    </row>
    <row r="2606" spans="1:6" x14ac:dyDescent="0.2">
      <c r="A2606" s="325" t="s">
        <v>677</v>
      </c>
      <c r="B2606" s="325" t="s">
        <v>929</v>
      </c>
      <c r="C2606" s="325" t="s">
        <v>565</v>
      </c>
      <c r="D2606" s="325" t="s">
        <v>704</v>
      </c>
      <c r="E2606" s="325" t="s">
        <v>456</v>
      </c>
      <c r="F2606" s="325" t="s">
        <v>715</v>
      </c>
    </row>
    <row r="2607" spans="1:6" x14ac:dyDescent="0.2">
      <c r="A2607" s="325" t="s">
        <v>677</v>
      </c>
      <c r="B2607" s="325" t="s">
        <v>930</v>
      </c>
      <c r="C2607" s="325" t="s">
        <v>565</v>
      </c>
      <c r="D2607" s="325" t="s">
        <v>0</v>
      </c>
      <c r="E2607" s="325" t="s">
        <v>456</v>
      </c>
      <c r="F2607" s="325" t="s">
        <v>584</v>
      </c>
    </row>
    <row r="2608" spans="1:6" x14ac:dyDescent="0.2">
      <c r="A2608" s="325" t="s">
        <v>677</v>
      </c>
      <c r="B2608" s="325" t="s">
        <v>931</v>
      </c>
      <c r="C2608" s="325" t="s">
        <v>565</v>
      </c>
      <c r="D2608" s="325" t="s">
        <v>344</v>
      </c>
      <c r="E2608" s="325" t="s">
        <v>456</v>
      </c>
      <c r="F2608" s="325" t="s">
        <v>114</v>
      </c>
    </row>
    <row r="2609" spans="1:6" x14ac:dyDescent="0.2">
      <c r="A2609" s="325" t="s">
        <v>677</v>
      </c>
      <c r="B2609" s="325" t="s">
        <v>934</v>
      </c>
      <c r="C2609" s="325" t="s">
        <v>565</v>
      </c>
      <c r="D2609" s="325" t="s">
        <v>681</v>
      </c>
      <c r="E2609" s="325" t="s">
        <v>265</v>
      </c>
      <c r="F2609" s="325" t="s">
        <v>684</v>
      </c>
    </row>
    <row r="2610" spans="1:6" x14ac:dyDescent="0.2">
      <c r="A2610" s="325" t="s">
        <v>677</v>
      </c>
      <c r="B2610" s="325" t="s">
        <v>959</v>
      </c>
      <c r="C2610" s="325" t="s">
        <v>565</v>
      </c>
      <c r="D2610" s="325" t="s">
        <v>491</v>
      </c>
      <c r="E2610" s="325" t="s">
        <v>265</v>
      </c>
      <c r="F2610" s="325" t="s">
        <v>373</v>
      </c>
    </row>
    <row r="2611" spans="1:6" x14ac:dyDescent="0.2">
      <c r="A2611" s="325" t="s">
        <v>677</v>
      </c>
      <c r="B2611" s="325" t="s">
        <v>960</v>
      </c>
      <c r="C2611" s="325" t="s">
        <v>565</v>
      </c>
      <c r="D2611" s="325" t="s">
        <v>567</v>
      </c>
      <c r="E2611" s="325" t="s">
        <v>265</v>
      </c>
      <c r="F2611" s="325" t="s">
        <v>473</v>
      </c>
    </row>
    <row r="2612" spans="1:6" x14ac:dyDescent="0.2">
      <c r="A2612" s="325" t="s">
        <v>677</v>
      </c>
      <c r="B2612" s="325" t="s">
        <v>961</v>
      </c>
      <c r="C2612" s="325" t="s">
        <v>565</v>
      </c>
      <c r="D2612" s="325" t="s">
        <v>126</v>
      </c>
      <c r="E2612" s="325" t="s">
        <v>265</v>
      </c>
      <c r="F2612" s="325" t="s">
        <v>81</v>
      </c>
    </row>
    <row r="2613" spans="1:6" x14ac:dyDescent="0.2">
      <c r="A2613" s="325" t="s">
        <v>677</v>
      </c>
      <c r="B2613" s="325" t="s">
        <v>962</v>
      </c>
      <c r="C2613" s="325" t="s">
        <v>565</v>
      </c>
      <c r="D2613" s="325" t="s">
        <v>528</v>
      </c>
      <c r="E2613" s="325" t="s">
        <v>456</v>
      </c>
      <c r="F2613" s="325" t="s">
        <v>281</v>
      </c>
    </row>
    <row r="2614" spans="1:6" x14ac:dyDescent="0.2">
      <c r="A2614" s="325" t="s">
        <v>677</v>
      </c>
      <c r="B2614" s="325" t="s">
        <v>963</v>
      </c>
      <c r="C2614" s="325" t="s">
        <v>565</v>
      </c>
      <c r="D2614" s="325" t="s">
        <v>483</v>
      </c>
      <c r="E2614" s="325" t="s">
        <v>456</v>
      </c>
      <c r="F2614" s="325" t="s">
        <v>587</v>
      </c>
    </row>
    <row r="2615" spans="1:6" x14ac:dyDescent="0.2">
      <c r="A2615" s="325" t="s">
        <v>677</v>
      </c>
      <c r="B2615" s="325" t="s">
        <v>964</v>
      </c>
      <c r="C2615" s="325" t="s">
        <v>565</v>
      </c>
      <c r="D2615" s="325" t="s">
        <v>531</v>
      </c>
      <c r="E2615" s="325" t="s">
        <v>556</v>
      </c>
      <c r="F2615" s="325" t="s">
        <v>247</v>
      </c>
    </row>
    <row r="2616" spans="1:6" x14ac:dyDescent="0.2">
      <c r="A2616" s="325" t="s">
        <v>677</v>
      </c>
      <c r="B2616" s="325" t="s">
        <v>967</v>
      </c>
      <c r="C2616" s="325" t="s">
        <v>565</v>
      </c>
      <c r="D2616" s="325" t="s">
        <v>707</v>
      </c>
      <c r="E2616" s="325" t="s">
        <v>265</v>
      </c>
      <c r="F2616" s="325" t="s">
        <v>705</v>
      </c>
    </row>
    <row r="2617" spans="1:6" x14ac:dyDescent="0.2">
      <c r="A2617" s="325" t="s">
        <v>677</v>
      </c>
      <c r="B2617" s="325" t="s">
        <v>968</v>
      </c>
      <c r="C2617" s="325" t="s">
        <v>565</v>
      </c>
      <c r="D2617" s="325" t="s">
        <v>708</v>
      </c>
      <c r="E2617" s="325" t="s">
        <v>265</v>
      </c>
      <c r="F2617" s="325" t="s">
        <v>706</v>
      </c>
    </row>
    <row r="2618" spans="1:6" x14ac:dyDescent="0.2">
      <c r="A2618" s="325" t="s">
        <v>677</v>
      </c>
      <c r="B2618" s="325" t="s">
        <v>969</v>
      </c>
      <c r="C2618" s="325" t="s">
        <v>565</v>
      </c>
      <c r="D2618" s="325" t="s">
        <v>710</v>
      </c>
      <c r="E2618" s="325" t="s">
        <v>456</v>
      </c>
      <c r="F2618" s="325" t="s">
        <v>747</v>
      </c>
    </row>
    <row r="2619" spans="1:6" x14ac:dyDescent="0.2">
      <c r="A2619" s="325" t="s">
        <v>677</v>
      </c>
      <c r="B2619" s="325" t="s">
        <v>974</v>
      </c>
      <c r="C2619" s="325" t="s">
        <v>565</v>
      </c>
      <c r="D2619" s="325" t="s">
        <v>51</v>
      </c>
      <c r="E2619" s="325" t="s">
        <v>265</v>
      </c>
      <c r="F2619" s="325" t="s">
        <v>266</v>
      </c>
    </row>
    <row r="2620" spans="1:6" x14ac:dyDescent="0.2">
      <c r="A2620" s="325" t="s">
        <v>677</v>
      </c>
      <c r="B2620" s="325" t="s">
        <v>975</v>
      </c>
      <c r="C2620" s="325" t="s">
        <v>565</v>
      </c>
      <c r="D2620" s="325" t="s">
        <v>283</v>
      </c>
      <c r="E2620" s="325" t="s">
        <v>265</v>
      </c>
      <c r="F2620" s="325" t="s">
        <v>53</v>
      </c>
    </row>
    <row r="2621" spans="1:6" x14ac:dyDescent="0.2">
      <c r="A2621" s="325" t="s">
        <v>677</v>
      </c>
      <c r="B2621" s="325" t="s">
        <v>976</v>
      </c>
      <c r="C2621" s="325" t="s">
        <v>565</v>
      </c>
      <c r="D2621" s="325" t="s">
        <v>542</v>
      </c>
      <c r="E2621" s="325" t="s">
        <v>265</v>
      </c>
      <c r="F2621" s="325" t="s">
        <v>372</v>
      </c>
    </row>
    <row r="2622" spans="1:6" x14ac:dyDescent="0.2">
      <c r="A2622" s="325" t="s">
        <v>677</v>
      </c>
      <c r="B2622" s="325" t="s">
        <v>977</v>
      </c>
      <c r="C2622" s="325" t="s">
        <v>565</v>
      </c>
      <c r="D2622" s="325" t="s">
        <v>576</v>
      </c>
      <c r="E2622" s="325" t="s">
        <v>265</v>
      </c>
      <c r="F2622" s="325" t="s">
        <v>333</v>
      </c>
    </row>
  </sheetData>
  <autoFilter ref="A1:F1" xr:uid="{F9D952D5-8C07-419A-960A-EC67D7EA412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58C4E-8366-4882-9EF0-8CFD3FC89EA9}">
  <sheetPr codeName="Sheet9"/>
  <dimension ref="A1:A49"/>
  <sheetViews>
    <sheetView workbookViewId="0"/>
  </sheetViews>
  <sheetFormatPr defaultRowHeight="12.75" x14ac:dyDescent="0.2"/>
  <cols>
    <col min="1" max="1" width="25" style="325" bestFit="1" customWidth="1"/>
  </cols>
  <sheetData>
    <row r="1" spans="1:1" s="183" customFormat="1" x14ac:dyDescent="0.2">
      <c r="A1" s="324" t="s">
        <v>1276</v>
      </c>
    </row>
    <row r="2" spans="1:1" x14ac:dyDescent="0.2">
      <c r="A2" s="325" t="s">
        <v>1239</v>
      </c>
    </row>
    <row r="3" spans="1:1" x14ac:dyDescent="0.2">
      <c r="A3" s="325" t="s">
        <v>1240</v>
      </c>
    </row>
    <row r="4" spans="1:1" x14ac:dyDescent="0.2">
      <c r="A4" s="325" t="s">
        <v>1241</v>
      </c>
    </row>
    <row r="5" spans="1:1" x14ac:dyDescent="0.2">
      <c r="A5" s="325" t="s">
        <v>401</v>
      </c>
    </row>
    <row r="6" spans="1:1" x14ac:dyDescent="0.2">
      <c r="A6" s="325" t="s">
        <v>176</v>
      </c>
    </row>
    <row r="7" spans="1:1" x14ac:dyDescent="0.2">
      <c r="A7" s="325" t="s">
        <v>1242</v>
      </c>
    </row>
    <row r="8" spans="1:1" x14ac:dyDescent="0.2">
      <c r="A8" s="325" t="s">
        <v>1015</v>
      </c>
    </row>
    <row r="9" spans="1:1" x14ac:dyDescent="0.2">
      <c r="A9" s="325" t="s">
        <v>1243</v>
      </c>
    </row>
    <row r="10" spans="1:1" x14ac:dyDescent="0.2">
      <c r="A10" s="325" t="s">
        <v>224</v>
      </c>
    </row>
    <row r="11" spans="1:1" x14ac:dyDescent="0.2">
      <c r="A11" s="325" t="s">
        <v>1244</v>
      </c>
    </row>
    <row r="12" spans="1:1" x14ac:dyDescent="0.2">
      <c r="A12" s="325" t="s">
        <v>1245</v>
      </c>
    </row>
    <row r="13" spans="1:1" x14ac:dyDescent="0.2">
      <c r="A13" s="325" t="s">
        <v>1246</v>
      </c>
    </row>
    <row r="14" spans="1:1" x14ac:dyDescent="0.2">
      <c r="A14" s="325" t="s">
        <v>1247</v>
      </c>
    </row>
    <row r="15" spans="1:1" x14ac:dyDescent="0.2">
      <c r="A15" s="325" t="s">
        <v>1248</v>
      </c>
    </row>
    <row r="16" spans="1:1" x14ac:dyDescent="0.2">
      <c r="A16" s="325" t="s">
        <v>1249</v>
      </c>
    </row>
    <row r="17" spans="1:1" x14ac:dyDescent="0.2">
      <c r="A17" s="325" t="s">
        <v>1250</v>
      </c>
    </row>
    <row r="18" spans="1:1" x14ac:dyDescent="0.2">
      <c r="A18" s="325" t="s">
        <v>578</v>
      </c>
    </row>
    <row r="19" spans="1:1" x14ac:dyDescent="0.2">
      <c r="A19" s="325" t="s">
        <v>1251</v>
      </c>
    </row>
    <row r="20" spans="1:1" x14ac:dyDescent="0.2">
      <c r="A20" s="325" t="s">
        <v>1252</v>
      </c>
    </row>
    <row r="21" spans="1:1" x14ac:dyDescent="0.2">
      <c r="A21" s="325" t="s">
        <v>1253</v>
      </c>
    </row>
    <row r="22" spans="1:1" x14ac:dyDescent="0.2">
      <c r="A22" s="325" t="s">
        <v>1016</v>
      </c>
    </row>
    <row r="23" spans="1:1" x14ac:dyDescent="0.2">
      <c r="A23" s="325" t="s">
        <v>1254</v>
      </c>
    </row>
    <row r="24" spans="1:1" x14ac:dyDescent="0.2">
      <c r="A24" s="325" t="s">
        <v>1255</v>
      </c>
    </row>
    <row r="25" spans="1:1" x14ac:dyDescent="0.2">
      <c r="A25" s="325" t="s">
        <v>1256</v>
      </c>
    </row>
    <row r="26" spans="1:1" x14ac:dyDescent="0.2">
      <c r="A26" s="325" t="s">
        <v>1257</v>
      </c>
    </row>
    <row r="27" spans="1:1" x14ac:dyDescent="0.2">
      <c r="A27" s="325" t="s">
        <v>1034</v>
      </c>
    </row>
    <row r="28" spans="1:1" x14ac:dyDescent="0.2">
      <c r="A28" s="325" t="s">
        <v>574</v>
      </c>
    </row>
    <row r="29" spans="1:1" x14ac:dyDescent="0.2">
      <c r="A29" s="325" t="s">
        <v>1258</v>
      </c>
    </row>
    <row r="30" spans="1:1" x14ac:dyDescent="0.2">
      <c r="A30" s="325" t="s">
        <v>1259</v>
      </c>
    </row>
    <row r="31" spans="1:1" x14ac:dyDescent="0.2">
      <c r="A31" s="325" t="s">
        <v>1260</v>
      </c>
    </row>
    <row r="32" spans="1:1" x14ac:dyDescent="0.2">
      <c r="A32" s="325" t="s">
        <v>295</v>
      </c>
    </row>
    <row r="33" spans="1:1" x14ac:dyDescent="0.2">
      <c r="A33" s="325" t="s">
        <v>1261</v>
      </c>
    </row>
    <row r="34" spans="1:1" x14ac:dyDescent="0.2">
      <c r="A34" s="325" t="s">
        <v>1262</v>
      </c>
    </row>
    <row r="35" spans="1:1" x14ac:dyDescent="0.2">
      <c r="A35" s="325" t="s">
        <v>1263</v>
      </c>
    </row>
    <row r="36" spans="1:1" x14ac:dyDescent="0.2">
      <c r="A36" s="325" t="s">
        <v>1264</v>
      </c>
    </row>
    <row r="37" spans="1:1" x14ac:dyDescent="0.2">
      <c r="A37" s="325" t="s">
        <v>1265</v>
      </c>
    </row>
    <row r="38" spans="1:1" x14ac:dyDescent="0.2">
      <c r="A38" s="325" t="s">
        <v>679</v>
      </c>
    </row>
    <row r="39" spans="1:1" x14ac:dyDescent="0.2">
      <c r="A39" s="325" t="s">
        <v>1266</v>
      </c>
    </row>
    <row r="40" spans="1:1" x14ac:dyDescent="0.2">
      <c r="A40" s="325" t="s">
        <v>1267</v>
      </c>
    </row>
    <row r="41" spans="1:1" x14ac:dyDescent="0.2">
      <c r="A41" s="325" t="s">
        <v>1268</v>
      </c>
    </row>
    <row r="42" spans="1:1" x14ac:dyDescent="0.2">
      <c r="A42" s="325" t="s">
        <v>1269</v>
      </c>
    </row>
    <row r="43" spans="1:1" x14ac:dyDescent="0.2">
      <c r="A43" s="325" t="s">
        <v>178</v>
      </c>
    </row>
    <row r="44" spans="1:1" x14ac:dyDescent="0.2">
      <c r="A44" s="325" t="s">
        <v>1270</v>
      </c>
    </row>
    <row r="45" spans="1:1" x14ac:dyDescent="0.2">
      <c r="A45" s="325" t="s">
        <v>1271</v>
      </c>
    </row>
    <row r="46" spans="1:1" x14ac:dyDescent="0.2">
      <c r="A46" s="325" t="s">
        <v>1272</v>
      </c>
    </row>
    <row r="47" spans="1:1" x14ac:dyDescent="0.2">
      <c r="A47" s="325" t="s">
        <v>1273</v>
      </c>
    </row>
    <row r="48" spans="1:1" x14ac:dyDescent="0.2">
      <c r="A48" s="325" t="s">
        <v>1274</v>
      </c>
    </row>
    <row r="49" spans="1:1" x14ac:dyDescent="0.2">
      <c r="A49" s="325" t="s">
        <v>1275</v>
      </c>
    </row>
  </sheetData>
  <autoFilter ref="A1:A49" xr:uid="{37258C4E-8366-4882-9EF0-8CFD3FC89EA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EEE00-1408-4309-82B1-A27000269D90}">
  <sheetPr codeName="Sheet10"/>
  <dimension ref="A1:C395"/>
  <sheetViews>
    <sheetView tabSelected="1" workbookViewId="0"/>
  </sheetViews>
  <sheetFormatPr defaultRowHeight="12.75" x14ac:dyDescent="0.2"/>
  <cols>
    <col min="1" max="1" width="17.7109375" style="325" bestFit="1" customWidth="1"/>
    <col min="2" max="2" width="15.7109375" style="325" bestFit="1" customWidth="1"/>
    <col min="3" max="3" width="255.7109375" style="325" bestFit="1" customWidth="1"/>
  </cols>
  <sheetData>
    <row r="1" spans="1:3" s="183" customFormat="1" x14ac:dyDescent="0.2">
      <c r="A1" s="324" t="s">
        <v>996</v>
      </c>
      <c r="B1" s="324" t="s">
        <v>791</v>
      </c>
      <c r="C1" s="324" t="s">
        <v>1017</v>
      </c>
    </row>
    <row r="2" spans="1:3" x14ac:dyDescent="0.2">
      <c r="A2" s="325" t="s">
        <v>178</v>
      </c>
      <c r="B2" s="325" t="s">
        <v>821</v>
      </c>
      <c r="C2" s="325" t="s">
        <v>1215</v>
      </c>
    </row>
    <row r="3" spans="1:3" x14ac:dyDescent="0.2">
      <c r="A3" s="325" t="s">
        <v>178</v>
      </c>
      <c r="B3" s="325" t="s">
        <v>822</v>
      </c>
      <c r="C3" s="325" t="s">
        <v>1216</v>
      </c>
    </row>
    <row r="4" spans="1:3" x14ac:dyDescent="0.2">
      <c r="A4" s="325" t="s">
        <v>178</v>
      </c>
      <c r="B4" s="325" t="s">
        <v>823</v>
      </c>
      <c r="C4" s="325" t="s">
        <v>1217</v>
      </c>
    </row>
    <row r="5" spans="1:3" x14ac:dyDescent="0.2">
      <c r="A5" s="325" t="s">
        <v>178</v>
      </c>
      <c r="B5" s="325" t="s">
        <v>824</v>
      </c>
      <c r="C5" s="325" t="s">
        <v>1164</v>
      </c>
    </row>
    <row r="6" spans="1:3" x14ac:dyDescent="0.2">
      <c r="A6" s="325" t="s">
        <v>178</v>
      </c>
      <c r="B6" s="325" t="s">
        <v>825</v>
      </c>
      <c r="C6" s="325" t="s">
        <v>1218</v>
      </c>
    </row>
    <row r="7" spans="1:3" x14ac:dyDescent="0.2">
      <c r="A7" s="325" t="s">
        <v>178</v>
      </c>
      <c r="B7" s="325" t="s">
        <v>826</v>
      </c>
      <c r="C7" s="325" t="s">
        <v>1165</v>
      </c>
    </row>
    <row r="8" spans="1:3" x14ac:dyDescent="0.2">
      <c r="A8" s="325" t="s">
        <v>178</v>
      </c>
      <c r="B8" s="325" t="s">
        <v>829</v>
      </c>
      <c r="C8" s="325" t="s">
        <v>1219</v>
      </c>
    </row>
    <row r="9" spans="1:3" x14ac:dyDescent="0.2">
      <c r="A9" s="325" t="s">
        <v>178</v>
      </c>
      <c r="B9" s="325" t="s">
        <v>833</v>
      </c>
      <c r="C9" s="325" t="s">
        <v>1166</v>
      </c>
    </row>
    <row r="10" spans="1:3" x14ac:dyDescent="0.2">
      <c r="A10" s="325" t="s">
        <v>178</v>
      </c>
      <c r="B10" s="325" t="s">
        <v>835</v>
      </c>
      <c r="C10" s="325" t="s">
        <v>825</v>
      </c>
    </row>
    <row r="11" spans="1:3" x14ac:dyDescent="0.2">
      <c r="A11" s="325" t="s">
        <v>178</v>
      </c>
      <c r="B11" s="325" t="s">
        <v>836</v>
      </c>
      <c r="C11" s="325" t="s">
        <v>1220</v>
      </c>
    </row>
    <row r="12" spans="1:3" x14ac:dyDescent="0.2">
      <c r="A12" s="325" t="s">
        <v>178</v>
      </c>
      <c r="B12" s="325" t="s">
        <v>837</v>
      </c>
      <c r="C12" s="325" t="s">
        <v>826</v>
      </c>
    </row>
    <row r="13" spans="1:3" x14ac:dyDescent="0.2">
      <c r="A13" s="325" t="s">
        <v>178</v>
      </c>
      <c r="B13" s="325" t="s">
        <v>838</v>
      </c>
      <c r="C13" s="325" t="s">
        <v>1018</v>
      </c>
    </row>
    <row r="14" spans="1:3" x14ac:dyDescent="0.2">
      <c r="A14" s="325" t="s">
        <v>178</v>
      </c>
      <c r="B14" s="325" t="s">
        <v>839</v>
      </c>
      <c r="C14" s="325" t="s">
        <v>1019</v>
      </c>
    </row>
    <row r="15" spans="1:3" x14ac:dyDescent="0.2">
      <c r="A15" s="325" t="s">
        <v>178</v>
      </c>
      <c r="B15" s="325" t="s">
        <v>840</v>
      </c>
      <c r="C15" s="325" t="s">
        <v>1020</v>
      </c>
    </row>
    <row r="16" spans="1:3" x14ac:dyDescent="0.2">
      <c r="A16" s="325" t="s">
        <v>178</v>
      </c>
      <c r="B16" s="325" t="s">
        <v>841</v>
      </c>
      <c r="C16" s="325" t="s">
        <v>1021</v>
      </c>
    </row>
    <row r="17" spans="1:3" x14ac:dyDescent="0.2">
      <c r="A17" s="325" t="s">
        <v>178</v>
      </c>
      <c r="B17" s="325" t="s">
        <v>844</v>
      </c>
      <c r="C17" s="325" t="s">
        <v>1167</v>
      </c>
    </row>
    <row r="18" spans="1:3" x14ac:dyDescent="0.2">
      <c r="A18" s="325" t="s">
        <v>178</v>
      </c>
      <c r="B18" s="325" t="s">
        <v>845</v>
      </c>
      <c r="C18" s="325" t="s">
        <v>1221</v>
      </c>
    </row>
    <row r="19" spans="1:3" x14ac:dyDescent="0.2">
      <c r="A19" s="325" t="s">
        <v>178</v>
      </c>
      <c r="B19" s="325" t="s">
        <v>846</v>
      </c>
      <c r="C19" s="325" t="s">
        <v>1168</v>
      </c>
    </row>
    <row r="20" spans="1:3" x14ac:dyDescent="0.2">
      <c r="A20" s="325" t="s">
        <v>178</v>
      </c>
      <c r="B20" s="325" t="s">
        <v>847</v>
      </c>
      <c r="C20" s="325" t="s">
        <v>1222</v>
      </c>
    </row>
    <row r="21" spans="1:3" x14ac:dyDescent="0.2">
      <c r="A21" s="325" t="s">
        <v>178</v>
      </c>
      <c r="B21" s="325" t="s">
        <v>848</v>
      </c>
      <c r="C21" s="325" t="s">
        <v>1169</v>
      </c>
    </row>
    <row r="22" spans="1:3" x14ac:dyDescent="0.2">
      <c r="A22" s="325" t="s">
        <v>178</v>
      </c>
      <c r="B22" s="325" t="s">
        <v>849</v>
      </c>
      <c r="C22" s="325" t="s">
        <v>1022</v>
      </c>
    </row>
    <row r="23" spans="1:3" x14ac:dyDescent="0.2">
      <c r="A23" s="325" t="s">
        <v>178</v>
      </c>
      <c r="B23" s="325" t="s">
        <v>850</v>
      </c>
      <c r="C23" s="325" t="s">
        <v>1023</v>
      </c>
    </row>
    <row r="24" spans="1:3" x14ac:dyDescent="0.2">
      <c r="A24" s="325" t="s">
        <v>178</v>
      </c>
      <c r="B24" s="325" t="s">
        <v>851</v>
      </c>
      <c r="C24" s="325" t="s">
        <v>1024</v>
      </c>
    </row>
    <row r="25" spans="1:3" x14ac:dyDescent="0.2">
      <c r="A25" s="325" t="s">
        <v>178</v>
      </c>
      <c r="B25" s="325" t="s">
        <v>852</v>
      </c>
      <c r="C25" s="325" t="s">
        <v>679</v>
      </c>
    </row>
    <row r="26" spans="1:3" x14ac:dyDescent="0.2">
      <c r="A26" s="325" t="s">
        <v>178</v>
      </c>
      <c r="B26" s="325" t="s">
        <v>853</v>
      </c>
      <c r="C26" s="325" t="s">
        <v>1025</v>
      </c>
    </row>
    <row r="27" spans="1:3" x14ac:dyDescent="0.2">
      <c r="A27" s="325" t="s">
        <v>178</v>
      </c>
      <c r="B27" s="325" t="s">
        <v>854</v>
      </c>
      <c r="C27" s="325" t="s">
        <v>1026</v>
      </c>
    </row>
    <row r="28" spans="1:3" x14ac:dyDescent="0.2">
      <c r="A28" s="325" t="s">
        <v>178</v>
      </c>
      <c r="B28" s="325" t="s">
        <v>855</v>
      </c>
      <c r="C28" s="325" t="s">
        <v>854</v>
      </c>
    </row>
    <row r="29" spans="1:3" x14ac:dyDescent="0.2">
      <c r="A29" s="325" t="s">
        <v>178</v>
      </c>
      <c r="B29" s="325" t="s">
        <v>856</v>
      </c>
      <c r="C29" s="325" t="s">
        <v>1027</v>
      </c>
    </row>
    <row r="30" spans="1:3" x14ac:dyDescent="0.2">
      <c r="A30" s="325" t="s">
        <v>178</v>
      </c>
      <c r="B30" s="325" t="s">
        <v>857</v>
      </c>
      <c r="C30" s="325" t="s">
        <v>1028</v>
      </c>
    </row>
    <row r="31" spans="1:3" x14ac:dyDescent="0.2">
      <c r="A31" s="325" t="s">
        <v>178</v>
      </c>
      <c r="B31" s="325" t="s">
        <v>858</v>
      </c>
      <c r="C31" s="325" t="s">
        <v>1170</v>
      </c>
    </row>
    <row r="32" spans="1:3" x14ac:dyDescent="0.2">
      <c r="A32" s="325" t="s">
        <v>178</v>
      </c>
      <c r="B32" s="325" t="s">
        <v>859</v>
      </c>
      <c r="C32" s="325" t="s">
        <v>858</v>
      </c>
    </row>
    <row r="33" spans="1:3" x14ac:dyDescent="0.2">
      <c r="A33" s="325" t="s">
        <v>178</v>
      </c>
      <c r="B33" s="325" t="s">
        <v>860</v>
      </c>
      <c r="C33" s="325" t="s">
        <v>1171</v>
      </c>
    </row>
    <row r="34" spans="1:3" x14ac:dyDescent="0.2">
      <c r="A34" s="325" t="s">
        <v>178</v>
      </c>
      <c r="B34" s="325" t="s">
        <v>861</v>
      </c>
      <c r="C34" s="325" t="s">
        <v>1029</v>
      </c>
    </row>
    <row r="35" spans="1:3" x14ac:dyDescent="0.2">
      <c r="A35" s="325" t="s">
        <v>178</v>
      </c>
      <c r="B35" s="325" t="s">
        <v>862</v>
      </c>
      <c r="C35" s="325" t="s">
        <v>1030</v>
      </c>
    </row>
    <row r="36" spans="1:3" x14ac:dyDescent="0.2">
      <c r="A36" s="325" t="s">
        <v>178</v>
      </c>
      <c r="B36" s="325" t="s">
        <v>863</v>
      </c>
      <c r="C36" s="325" t="s">
        <v>1031</v>
      </c>
    </row>
    <row r="37" spans="1:3" x14ac:dyDescent="0.2">
      <c r="A37" s="325" t="s">
        <v>178</v>
      </c>
      <c r="B37" s="325" t="s">
        <v>864</v>
      </c>
      <c r="C37" s="325" t="s">
        <v>1032</v>
      </c>
    </row>
    <row r="38" spans="1:3" x14ac:dyDescent="0.2">
      <c r="A38" s="325" t="s">
        <v>178</v>
      </c>
      <c r="B38" s="325" t="s">
        <v>865</v>
      </c>
      <c r="C38" s="325" t="s">
        <v>1033</v>
      </c>
    </row>
    <row r="39" spans="1:3" x14ac:dyDescent="0.2">
      <c r="A39" s="325" t="s">
        <v>178</v>
      </c>
      <c r="B39" s="325" t="s">
        <v>866</v>
      </c>
      <c r="C39" s="325" t="s">
        <v>1034</v>
      </c>
    </row>
    <row r="40" spans="1:3" x14ac:dyDescent="0.2">
      <c r="A40" s="325" t="s">
        <v>178</v>
      </c>
      <c r="B40" s="325" t="s">
        <v>867</v>
      </c>
      <c r="C40" s="325" t="s">
        <v>1035</v>
      </c>
    </row>
    <row r="41" spans="1:3" x14ac:dyDescent="0.2">
      <c r="A41" s="325" t="s">
        <v>178</v>
      </c>
      <c r="B41" s="325" t="s">
        <v>868</v>
      </c>
      <c r="C41" s="325" t="s">
        <v>1036</v>
      </c>
    </row>
    <row r="42" spans="1:3" x14ac:dyDescent="0.2">
      <c r="A42" s="325" t="s">
        <v>178</v>
      </c>
      <c r="B42" s="325" t="s">
        <v>869</v>
      </c>
      <c r="C42" s="325" t="s">
        <v>868</v>
      </c>
    </row>
    <row r="43" spans="1:3" x14ac:dyDescent="0.2">
      <c r="A43" s="325" t="s">
        <v>178</v>
      </c>
      <c r="B43" s="325" t="s">
        <v>870</v>
      </c>
      <c r="C43" s="325" t="s">
        <v>1037</v>
      </c>
    </row>
    <row r="44" spans="1:3" x14ac:dyDescent="0.2">
      <c r="A44" s="325" t="s">
        <v>178</v>
      </c>
      <c r="B44" s="325" t="s">
        <v>871</v>
      </c>
      <c r="C44" s="325" t="s">
        <v>1038</v>
      </c>
    </row>
    <row r="45" spans="1:3" x14ac:dyDescent="0.2">
      <c r="A45" s="325" t="s">
        <v>178</v>
      </c>
      <c r="B45" s="325" t="s">
        <v>872</v>
      </c>
      <c r="C45" s="325" t="s">
        <v>1039</v>
      </c>
    </row>
    <row r="46" spans="1:3" x14ac:dyDescent="0.2">
      <c r="A46" s="325" t="s">
        <v>178</v>
      </c>
      <c r="B46" s="325" t="s">
        <v>873</v>
      </c>
      <c r="C46" s="325" t="s">
        <v>1040</v>
      </c>
    </row>
    <row r="47" spans="1:3" x14ac:dyDescent="0.2">
      <c r="A47" s="325" t="s">
        <v>178</v>
      </c>
      <c r="B47" s="325" t="s">
        <v>874</v>
      </c>
      <c r="C47" s="325" t="s">
        <v>1041</v>
      </c>
    </row>
    <row r="48" spans="1:3" x14ac:dyDescent="0.2">
      <c r="A48" s="325" t="s">
        <v>178</v>
      </c>
      <c r="B48" s="325" t="s">
        <v>875</v>
      </c>
      <c r="C48" s="325" t="s">
        <v>874</v>
      </c>
    </row>
    <row r="49" spans="1:3" x14ac:dyDescent="0.2">
      <c r="A49" s="325" t="s">
        <v>178</v>
      </c>
      <c r="B49" s="325" t="s">
        <v>876</v>
      </c>
      <c r="C49" s="325" t="s">
        <v>1042</v>
      </c>
    </row>
    <row r="50" spans="1:3" x14ac:dyDescent="0.2">
      <c r="A50" s="325" t="s">
        <v>178</v>
      </c>
      <c r="B50" s="325" t="s">
        <v>877</v>
      </c>
      <c r="C50" s="325" t="s">
        <v>1043</v>
      </c>
    </row>
    <row r="51" spans="1:3" x14ac:dyDescent="0.2">
      <c r="A51" s="325" t="s">
        <v>178</v>
      </c>
      <c r="B51" s="325" t="s">
        <v>878</v>
      </c>
      <c r="C51" s="325" t="s">
        <v>1044</v>
      </c>
    </row>
    <row r="52" spans="1:3" x14ac:dyDescent="0.2">
      <c r="A52" s="325" t="s">
        <v>178</v>
      </c>
      <c r="B52" s="325" t="s">
        <v>879</v>
      </c>
      <c r="C52" s="325" t="s">
        <v>1172</v>
      </c>
    </row>
    <row r="53" spans="1:3" x14ac:dyDescent="0.2">
      <c r="A53" s="325" t="s">
        <v>178</v>
      </c>
      <c r="B53" s="325" t="s">
        <v>880</v>
      </c>
      <c r="C53" s="325" t="s">
        <v>1045</v>
      </c>
    </row>
    <row r="54" spans="1:3" x14ac:dyDescent="0.2">
      <c r="A54" s="325" t="s">
        <v>178</v>
      </c>
      <c r="B54" s="325" t="s">
        <v>881</v>
      </c>
      <c r="C54" s="325" t="s">
        <v>1173</v>
      </c>
    </row>
    <row r="55" spans="1:3" x14ac:dyDescent="0.2">
      <c r="A55" s="325" t="s">
        <v>178</v>
      </c>
      <c r="B55" s="325" t="s">
        <v>882</v>
      </c>
      <c r="C55" s="325" t="s">
        <v>1046</v>
      </c>
    </row>
    <row r="56" spans="1:3" x14ac:dyDescent="0.2">
      <c r="A56" s="325" t="s">
        <v>178</v>
      </c>
      <c r="B56" s="325" t="s">
        <v>885</v>
      </c>
      <c r="C56" s="325" t="s">
        <v>1047</v>
      </c>
    </row>
    <row r="57" spans="1:3" x14ac:dyDescent="0.2">
      <c r="A57" s="325" t="s">
        <v>178</v>
      </c>
      <c r="B57" s="325" t="s">
        <v>886</v>
      </c>
      <c r="C57" s="325" t="s">
        <v>1048</v>
      </c>
    </row>
    <row r="58" spans="1:3" x14ac:dyDescent="0.2">
      <c r="A58" s="325" t="s">
        <v>178</v>
      </c>
      <c r="B58" s="325" t="s">
        <v>887</v>
      </c>
      <c r="C58" s="325" t="s">
        <v>1048</v>
      </c>
    </row>
    <row r="59" spans="1:3" x14ac:dyDescent="0.2">
      <c r="A59" s="325" t="s">
        <v>178</v>
      </c>
      <c r="B59" s="325" t="s">
        <v>888</v>
      </c>
      <c r="C59" s="325" t="s">
        <v>1049</v>
      </c>
    </row>
    <row r="60" spans="1:3" x14ac:dyDescent="0.2">
      <c r="A60" s="325" t="s">
        <v>178</v>
      </c>
      <c r="B60" s="325" t="s">
        <v>889</v>
      </c>
      <c r="C60" s="325" t="s">
        <v>1050</v>
      </c>
    </row>
    <row r="61" spans="1:3" x14ac:dyDescent="0.2">
      <c r="A61" s="325" t="s">
        <v>178</v>
      </c>
      <c r="B61" s="325" t="s">
        <v>890</v>
      </c>
      <c r="C61" s="325" t="s">
        <v>1051</v>
      </c>
    </row>
    <row r="62" spans="1:3" x14ac:dyDescent="0.2">
      <c r="A62" s="325" t="s">
        <v>178</v>
      </c>
      <c r="B62" s="325" t="s">
        <v>891</v>
      </c>
      <c r="C62" s="325" t="s">
        <v>1052</v>
      </c>
    </row>
    <row r="63" spans="1:3" x14ac:dyDescent="0.2">
      <c r="A63" s="325" t="s">
        <v>178</v>
      </c>
      <c r="B63" s="325" t="s">
        <v>893</v>
      </c>
      <c r="C63" s="325" t="s">
        <v>1053</v>
      </c>
    </row>
    <row r="64" spans="1:3" x14ac:dyDescent="0.2">
      <c r="A64" s="325" t="s">
        <v>178</v>
      </c>
      <c r="B64" s="325" t="s">
        <v>894</v>
      </c>
      <c r="C64" s="325" t="s">
        <v>1054</v>
      </c>
    </row>
    <row r="65" spans="1:3" x14ac:dyDescent="0.2">
      <c r="A65" s="325" t="s">
        <v>178</v>
      </c>
      <c r="B65" s="325" t="s">
        <v>895</v>
      </c>
      <c r="C65" s="325" t="s">
        <v>1055</v>
      </c>
    </row>
    <row r="66" spans="1:3" x14ac:dyDescent="0.2">
      <c r="A66" s="325" t="s">
        <v>178</v>
      </c>
      <c r="B66" s="325" t="s">
        <v>896</v>
      </c>
      <c r="C66" s="325" t="s">
        <v>1056</v>
      </c>
    </row>
    <row r="67" spans="1:3" x14ac:dyDescent="0.2">
      <c r="A67" s="325" t="s">
        <v>178</v>
      </c>
      <c r="B67" s="325" t="s">
        <v>897</v>
      </c>
      <c r="C67" s="325" t="s">
        <v>1055</v>
      </c>
    </row>
    <row r="68" spans="1:3" x14ac:dyDescent="0.2">
      <c r="A68" s="325" t="s">
        <v>178</v>
      </c>
      <c r="B68" s="325" t="s">
        <v>898</v>
      </c>
      <c r="C68" s="325" t="s">
        <v>1056</v>
      </c>
    </row>
    <row r="69" spans="1:3" x14ac:dyDescent="0.2">
      <c r="A69" s="325" t="s">
        <v>178</v>
      </c>
      <c r="B69" s="325" t="s">
        <v>899</v>
      </c>
      <c r="C69" s="325" t="s">
        <v>1055</v>
      </c>
    </row>
    <row r="70" spans="1:3" x14ac:dyDescent="0.2">
      <c r="A70" s="325" t="s">
        <v>178</v>
      </c>
      <c r="B70" s="325" t="s">
        <v>900</v>
      </c>
      <c r="C70" s="325" t="s">
        <v>1057</v>
      </c>
    </row>
    <row r="71" spans="1:3" x14ac:dyDescent="0.2">
      <c r="A71" s="325" t="s">
        <v>765</v>
      </c>
      <c r="B71" s="325" t="s">
        <v>817</v>
      </c>
      <c r="C71" s="325" t="s">
        <v>1058</v>
      </c>
    </row>
    <row r="72" spans="1:3" x14ac:dyDescent="0.2">
      <c r="A72" s="325" t="s">
        <v>765</v>
      </c>
      <c r="B72" s="325" t="s">
        <v>818</v>
      </c>
      <c r="C72" s="325" t="s">
        <v>1059</v>
      </c>
    </row>
    <row r="73" spans="1:3" x14ac:dyDescent="0.2">
      <c r="A73" s="325" t="s">
        <v>765</v>
      </c>
      <c r="B73" s="325" t="s">
        <v>820</v>
      </c>
      <c r="C73" s="325" t="s">
        <v>1060</v>
      </c>
    </row>
    <row r="74" spans="1:3" x14ac:dyDescent="0.2">
      <c r="A74" s="325" t="s">
        <v>765</v>
      </c>
      <c r="B74" s="325" t="s">
        <v>821</v>
      </c>
      <c r="C74" s="325" t="s">
        <v>1061</v>
      </c>
    </row>
    <row r="75" spans="1:3" x14ac:dyDescent="0.2">
      <c r="A75" s="325" t="s">
        <v>765</v>
      </c>
      <c r="B75" s="325" t="s">
        <v>822</v>
      </c>
      <c r="C75" s="325" t="s">
        <v>1062</v>
      </c>
    </row>
    <row r="76" spans="1:3" x14ac:dyDescent="0.2">
      <c r="A76" s="325" t="s">
        <v>765</v>
      </c>
      <c r="B76" s="325" t="s">
        <v>823</v>
      </c>
      <c r="C76" s="325" t="s">
        <v>1223</v>
      </c>
    </row>
    <row r="77" spans="1:3" x14ac:dyDescent="0.2">
      <c r="A77" s="325" t="s">
        <v>765</v>
      </c>
      <c r="B77" s="325" t="s">
        <v>830</v>
      </c>
      <c r="C77" s="325" t="s">
        <v>1174</v>
      </c>
    </row>
    <row r="78" spans="1:3" x14ac:dyDescent="0.2">
      <c r="A78" s="325" t="s">
        <v>765</v>
      </c>
      <c r="B78" s="325" t="s">
        <v>831</v>
      </c>
      <c r="C78" s="325" t="s">
        <v>1224</v>
      </c>
    </row>
    <row r="79" spans="1:3" x14ac:dyDescent="0.2">
      <c r="A79" s="325" t="s">
        <v>765</v>
      </c>
      <c r="B79" s="325" t="s">
        <v>832</v>
      </c>
      <c r="C79" s="325" t="s">
        <v>1225</v>
      </c>
    </row>
    <row r="80" spans="1:3" x14ac:dyDescent="0.2">
      <c r="A80" s="325" t="s">
        <v>765</v>
      </c>
      <c r="B80" s="325" t="s">
        <v>834</v>
      </c>
      <c r="C80" s="325" t="s">
        <v>1226</v>
      </c>
    </row>
    <row r="81" spans="1:3" x14ac:dyDescent="0.2">
      <c r="A81" s="325" t="s">
        <v>765</v>
      </c>
      <c r="B81" s="325" t="s">
        <v>836</v>
      </c>
      <c r="C81" s="325" t="s">
        <v>835</v>
      </c>
    </row>
    <row r="82" spans="1:3" x14ac:dyDescent="0.2">
      <c r="A82" s="325" t="s">
        <v>765</v>
      </c>
      <c r="B82" s="325" t="s">
        <v>837</v>
      </c>
      <c r="C82" s="325" t="s">
        <v>1063</v>
      </c>
    </row>
    <row r="83" spans="1:3" x14ac:dyDescent="0.2">
      <c r="A83" s="325" t="s">
        <v>765</v>
      </c>
      <c r="B83" s="325" t="s">
        <v>838</v>
      </c>
      <c r="C83" s="325" t="s">
        <v>1227</v>
      </c>
    </row>
    <row r="84" spans="1:3" x14ac:dyDescent="0.2">
      <c r="A84" s="325" t="s">
        <v>765</v>
      </c>
      <c r="B84" s="325" t="s">
        <v>839</v>
      </c>
      <c r="C84" s="325" t="s">
        <v>1064</v>
      </c>
    </row>
    <row r="85" spans="1:3" x14ac:dyDescent="0.2">
      <c r="A85" s="325" t="s">
        <v>765</v>
      </c>
      <c r="B85" s="325" t="s">
        <v>840</v>
      </c>
      <c r="C85" s="325" t="s">
        <v>1065</v>
      </c>
    </row>
    <row r="86" spans="1:3" x14ac:dyDescent="0.2">
      <c r="A86" s="325" t="s">
        <v>765</v>
      </c>
      <c r="B86" s="325" t="s">
        <v>841</v>
      </c>
      <c r="C86" s="325" t="s">
        <v>1228</v>
      </c>
    </row>
    <row r="87" spans="1:3" x14ac:dyDescent="0.2">
      <c r="A87" s="325" t="s">
        <v>765</v>
      </c>
      <c r="B87" s="325" t="s">
        <v>842</v>
      </c>
      <c r="C87" s="325" t="s">
        <v>1175</v>
      </c>
    </row>
    <row r="88" spans="1:3" x14ac:dyDescent="0.2">
      <c r="A88" s="325" t="s">
        <v>765</v>
      </c>
      <c r="B88" s="325" t="s">
        <v>844</v>
      </c>
      <c r="C88" s="325" t="s">
        <v>1176</v>
      </c>
    </row>
    <row r="89" spans="1:3" x14ac:dyDescent="0.2">
      <c r="A89" s="325" t="s">
        <v>765</v>
      </c>
      <c r="B89" s="325" t="s">
        <v>845</v>
      </c>
      <c r="C89" s="325" t="s">
        <v>1177</v>
      </c>
    </row>
    <row r="90" spans="1:3" x14ac:dyDescent="0.2">
      <c r="A90" s="325" t="s">
        <v>765</v>
      </c>
      <c r="B90" s="325" t="s">
        <v>846</v>
      </c>
      <c r="C90" s="325" t="s">
        <v>1066</v>
      </c>
    </row>
    <row r="91" spans="1:3" x14ac:dyDescent="0.2">
      <c r="A91" s="325" t="s">
        <v>765</v>
      </c>
      <c r="B91" s="325" t="s">
        <v>847</v>
      </c>
      <c r="C91" s="325" t="s">
        <v>1229</v>
      </c>
    </row>
    <row r="92" spans="1:3" x14ac:dyDescent="0.2">
      <c r="A92" s="325" t="s">
        <v>765</v>
      </c>
      <c r="B92" s="325" t="s">
        <v>848</v>
      </c>
      <c r="C92" s="325" t="s">
        <v>1178</v>
      </c>
    </row>
    <row r="93" spans="1:3" x14ac:dyDescent="0.2">
      <c r="A93" s="325" t="s">
        <v>765</v>
      </c>
      <c r="B93" s="325" t="s">
        <v>849</v>
      </c>
      <c r="C93" s="325" t="s">
        <v>1179</v>
      </c>
    </row>
    <row r="94" spans="1:3" x14ac:dyDescent="0.2">
      <c r="A94" s="325" t="s">
        <v>765</v>
      </c>
      <c r="B94" s="325" t="s">
        <v>850</v>
      </c>
      <c r="C94" s="325" t="s">
        <v>1180</v>
      </c>
    </row>
    <row r="95" spans="1:3" x14ac:dyDescent="0.2">
      <c r="A95" s="325" t="s">
        <v>765</v>
      </c>
      <c r="B95" s="325" t="s">
        <v>852</v>
      </c>
      <c r="C95" s="325" t="s">
        <v>1067</v>
      </c>
    </row>
    <row r="96" spans="1:3" x14ac:dyDescent="0.2">
      <c r="A96" s="325" t="s">
        <v>765</v>
      </c>
      <c r="B96" s="325" t="s">
        <v>855</v>
      </c>
      <c r="C96" s="325" t="s">
        <v>1230</v>
      </c>
    </row>
    <row r="97" spans="1:3" x14ac:dyDescent="0.2">
      <c r="A97" s="325" t="s">
        <v>765</v>
      </c>
      <c r="B97" s="325" t="s">
        <v>856</v>
      </c>
      <c r="C97" s="325" t="s">
        <v>1231</v>
      </c>
    </row>
    <row r="98" spans="1:3" x14ac:dyDescent="0.2">
      <c r="A98" s="325" t="s">
        <v>765</v>
      </c>
      <c r="B98" s="325" t="s">
        <v>857</v>
      </c>
      <c r="C98" s="325" t="s">
        <v>1181</v>
      </c>
    </row>
    <row r="99" spans="1:3" x14ac:dyDescent="0.2">
      <c r="A99" s="325" t="s">
        <v>765</v>
      </c>
      <c r="B99" s="325" t="s">
        <v>858</v>
      </c>
      <c r="C99" s="325" t="s">
        <v>1182</v>
      </c>
    </row>
    <row r="100" spans="1:3" x14ac:dyDescent="0.2">
      <c r="A100" s="325" t="s">
        <v>765</v>
      </c>
      <c r="B100" s="325" t="s">
        <v>861</v>
      </c>
      <c r="C100" s="325" t="s">
        <v>387</v>
      </c>
    </row>
    <row r="101" spans="1:3" x14ac:dyDescent="0.2">
      <c r="A101" s="325" t="s">
        <v>765</v>
      </c>
      <c r="B101" s="325" t="s">
        <v>868</v>
      </c>
      <c r="C101" s="325" t="s">
        <v>1183</v>
      </c>
    </row>
    <row r="102" spans="1:3" x14ac:dyDescent="0.2">
      <c r="A102" s="325" t="s">
        <v>765</v>
      </c>
      <c r="B102" s="325" t="s">
        <v>869</v>
      </c>
      <c r="C102" s="325" t="s">
        <v>1184</v>
      </c>
    </row>
    <row r="103" spans="1:3" x14ac:dyDescent="0.2">
      <c r="A103" s="325" t="s">
        <v>765</v>
      </c>
      <c r="B103" s="325" t="s">
        <v>870</v>
      </c>
      <c r="C103" s="325" t="s">
        <v>1068</v>
      </c>
    </row>
    <row r="104" spans="1:3" x14ac:dyDescent="0.2">
      <c r="A104" s="325" t="s">
        <v>765</v>
      </c>
      <c r="B104" s="325" t="s">
        <v>871</v>
      </c>
      <c r="C104" s="325" t="s">
        <v>1069</v>
      </c>
    </row>
    <row r="105" spans="1:3" x14ac:dyDescent="0.2">
      <c r="A105" s="325" t="s">
        <v>765</v>
      </c>
      <c r="B105" s="325" t="s">
        <v>872</v>
      </c>
      <c r="C105" s="325" t="s">
        <v>1070</v>
      </c>
    </row>
    <row r="106" spans="1:3" x14ac:dyDescent="0.2">
      <c r="A106" s="325" t="s">
        <v>765</v>
      </c>
      <c r="B106" s="325" t="s">
        <v>874</v>
      </c>
      <c r="C106" s="325" t="s">
        <v>872</v>
      </c>
    </row>
    <row r="107" spans="1:3" x14ac:dyDescent="0.2">
      <c r="A107" s="325" t="s">
        <v>765</v>
      </c>
      <c r="B107" s="325" t="s">
        <v>875</v>
      </c>
      <c r="C107" s="325" t="s">
        <v>1071</v>
      </c>
    </row>
    <row r="108" spans="1:3" x14ac:dyDescent="0.2">
      <c r="A108" s="325" t="s">
        <v>765</v>
      </c>
      <c r="B108" s="325" t="s">
        <v>878</v>
      </c>
      <c r="C108" s="325" t="s">
        <v>1072</v>
      </c>
    </row>
    <row r="109" spans="1:3" x14ac:dyDescent="0.2">
      <c r="A109" s="325" t="s">
        <v>765</v>
      </c>
      <c r="B109" s="325" t="s">
        <v>879</v>
      </c>
      <c r="C109" s="325" t="s">
        <v>1073</v>
      </c>
    </row>
    <row r="110" spans="1:3" x14ac:dyDescent="0.2">
      <c r="A110" s="325" t="s">
        <v>765</v>
      </c>
      <c r="B110" s="325" t="s">
        <v>880</v>
      </c>
      <c r="C110" s="325" t="s">
        <v>1074</v>
      </c>
    </row>
    <row r="111" spans="1:3" x14ac:dyDescent="0.2">
      <c r="A111" s="325" t="s">
        <v>765</v>
      </c>
      <c r="B111" s="325" t="s">
        <v>881</v>
      </c>
      <c r="C111" s="325" t="s">
        <v>856</v>
      </c>
    </row>
    <row r="112" spans="1:3" x14ac:dyDescent="0.2">
      <c r="A112" s="325" t="s">
        <v>765</v>
      </c>
      <c r="B112" s="325" t="s">
        <v>883</v>
      </c>
      <c r="C112" s="325" t="s">
        <v>1185</v>
      </c>
    </row>
    <row r="113" spans="1:3" x14ac:dyDescent="0.2">
      <c r="A113" s="325" t="s">
        <v>765</v>
      </c>
      <c r="B113" s="325" t="s">
        <v>884</v>
      </c>
      <c r="C113" s="325" t="s">
        <v>1075</v>
      </c>
    </row>
    <row r="114" spans="1:3" x14ac:dyDescent="0.2">
      <c r="A114" s="325" t="s">
        <v>765</v>
      </c>
      <c r="B114" s="325" t="s">
        <v>885</v>
      </c>
      <c r="C114" s="325" t="s">
        <v>1232</v>
      </c>
    </row>
    <row r="115" spans="1:3" x14ac:dyDescent="0.2">
      <c r="A115" s="325" t="s">
        <v>765</v>
      </c>
      <c r="B115" s="325" t="s">
        <v>886</v>
      </c>
      <c r="C115" s="325" t="s">
        <v>1186</v>
      </c>
    </row>
    <row r="116" spans="1:3" x14ac:dyDescent="0.2">
      <c r="A116" s="325" t="s">
        <v>765</v>
      </c>
      <c r="B116" s="325" t="s">
        <v>887</v>
      </c>
      <c r="C116" s="325" t="s">
        <v>1187</v>
      </c>
    </row>
    <row r="117" spans="1:3" x14ac:dyDescent="0.2">
      <c r="A117" s="325" t="s">
        <v>765</v>
      </c>
      <c r="B117" s="325" t="s">
        <v>888</v>
      </c>
      <c r="C117" s="325" t="s">
        <v>1233</v>
      </c>
    </row>
    <row r="118" spans="1:3" x14ac:dyDescent="0.2">
      <c r="A118" s="325" t="s">
        <v>765</v>
      </c>
      <c r="B118" s="325" t="s">
        <v>889</v>
      </c>
      <c r="C118" s="325" t="s">
        <v>1188</v>
      </c>
    </row>
    <row r="119" spans="1:3" x14ac:dyDescent="0.2">
      <c r="A119" s="325" t="s">
        <v>765</v>
      </c>
      <c r="B119" s="325" t="s">
        <v>890</v>
      </c>
      <c r="C119" s="325" t="s">
        <v>1189</v>
      </c>
    </row>
    <row r="120" spans="1:3" x14ac:dyDescent="0.2">
      <c r="A120" s="325" t="s">
        <v>765</v>
      </c>
      <c r="B120" s="325" t="s">
        <v>891</v>
      </c>
      <c r="C120" s="325" t="s">
        <v>1076</v>
      </c>
    </row>
    <row r="121" spans="1:3" x14ac:dyDescent="0.2">
      <c r="A121" s="325" t="s">
        <v>765</v>
      </c>
      <c r="B121" s="325" t="s">
        <v>892</v>
      </c>
      <c r="C121" s="325" t="s">
        <v>1077</v>
      </c>
    </row>
    <row r="122" spans="1:3" x14ac:dyDescent="0.2">
      <c r="A122" s="325" t="s">
        <v>765</v>
      </c>
      <c r="B122" s="325" t="s">
        <v>893</v>
      </c>
      <c r="C122" s="325" t="s">
        <v>1190</v>
      </c>
    </row>
    <row r="123" spans="1:3" x14ac:dyDescent="0.2">
      <c r="A123" s="325" t="s">
        <v>765</v>
      </c>
      <c r="B123" s="325" t="s">
        <v>894</v>
      </c>
      <c r="C123" s="325" t="s">
        <v>1234</v>
      </c>
    </row>
    <row r="124" spans="1:3" x14ac:dyDescent="0.2">
      <c r="A124" s="325" t="s">
        <v>765</v>
      </c>
      <c r="B124" s="325" t="s">
        <v>895</v>
      </c>
      <c r="C124" s="325" t="s">
        <v>1191</v>
      </c>
    </row>
    <row r="125" spans="1:3" x14ac:dyDescent="0.2">
      <c r="A125" s="325" t="s">
        <v>765</v>
      </c>
      <c r="B125" s="325" t="s">
        <v>896</v>
      </c>
      <c r="C125" s="325" t="s">
        <v>1235</v>
      </c>
    </row>
    <row r="126" spans="1:3" x14ac:dyDescent="0.2">
      <c r="A126" s="325" t="s">
        <v>765</v>
      </c>
      <c r="B126" s="325" t="s">
        <v>897</v>
      </c>
      <c r="C126" s="325" t="s">
        <v>1192</v>
      </c>
    </row>
    <row r="127" spans="1:3" x14ac:dyDescent="0.2">
      <c r="A127" s="325" t="s">
        <v>765</v>
      </c>
      <c r="B127" s="325" t="s">
        <v>898</v>
      </c>
      <c r="C127" s="325" t="s">
        <v>1078</v>
      </c>
    </row>
    <row r="128" spans="1:3" x14ac:dyDescent="0.2">
      <c r="A128" s="325" t="s">
        <v>765</v>
      </c>
      <c r="B128" s="325" t="s">
        <v>899</v>
      </c>
      <c r="C128" s="325" t="s">
        <v>1079</v>
      </c>
    </row>
    <row r="129" spans="1:3" x14ac:dyDescent="0.2">
      <c r="A129" s="325" t="s">
        <v>765</v>
      </c>
      <c r="B129" s="325" t="s">
        <v>900</v>
      </c>
      <c r="C129" s="325" t="s">
        <v>1193</v>
      </c>
    </row>
    <row r="130" spans="1:3" x14ac:dyDescent="0.2">
      <c r="A130" s="325" t="s">
        <v>765</v>
      </c>
      <c r="B130" s="325" t="s">
        <v>901</v>
      </c>
      <c r="C130" s="325" t="s">
        <v>1194</v>
      </c>
    </row>
    <row r="131" spans="1:3" x14ac:dyDescent="0.2">
      <c r="A131" s="325" t="s">
        <v>765</v>
      </c>
      <c r="B131" s="325" t="s">
        <v>902</v>
      </c>
      <c r="C131" s="325" t="s">
        <v>1195</v>
      </c>
    </row>
    <row r="132" spans="1:3" x14ac:dyDescent="0.2">
      <c r="A132" s="325" t="s">
        <v>765</v>
      </c>
      <c r="B132" s="325" t="s">
        <v>903</v>
      </c>
      <c r="C132" s="325" t="s">
        <v>1080</v>
      </c>
    </row>
    <row r="133" spans="1:3" x14ac:dyDescent="0.2">
      <c r="A133" s="325" t="s">
        <v>765</v>
      </c>
      <c r="B133" s="325" t="s">
        <v>904</v>
      </c>
      <c r="C133" s="325" t="s">
        <v>1081</v>
      </c>
    </row>
    <row r="134" spans="1:3" x14ac:dyDescent="0.2">
      <c r="A134" s="325" t="s">
        <v>765</v>
      </c>
      <c r="B134" s="325" t="s">
        <v>905</v>
      </c>
      <c r="C134" s="325" t="s">
        <v>387</v>
      </c>
    </row>
    <row r="135" spans="1:3" x14ac:dyDescent="0.2">
      <c r="A135" s="325" t="s">
        <v>765</v>
      </c>
      <c r="B135" s="325" t="s">
        <v>906</v>
      </c>
      <c r="C135" s="325" t="s">
        <v>679</v>
      </c>
    </row>
    <row r="136" spans="1:3" x14ac:dyDescent="0.2">
      <c r="A136" s="325" t="s">
        <v>765</v>
      </c>
      <c r="B136" s="325" t="s">
        <v>907</v>
      </c>
      <c r="C136" s="325" t="s">
        <v>1082</v>
      </c>
    </row>
    <row r="137" spans="1:3" x14ac:dyDescent="0.2">
      <c r="A137" s="325" t="s">
        <v>765</v>
      </c>
      <c r="B137" s="325" t="s">
        <v>908</v>
      </c>
      <c r="C137" s="325" t="s">
        <v>1083</v>
      </c>
    </row>
    <row r="138" spans="1:3" x14ac:dyDescent="0.2">
      <c r="A138" s="325" t="s">
        <v>765</v>
      </c>
      <c r="B138" s="325" t="s">
        <v>909</v>
      </c>
      <c r="C138" s="325" t="s">
        <v>1084</v>
      </c>
    </row>
    <row r="139" spans="1:3" x14ac:dyDescent="0.2">
      <c r="A139" s="325" t="s">
        <v>765</v>
      </c>
      <c r="B139" s="325" t="s">
        <v>910</v>
      </c>
      <c r="C139" s="325" t="s">
        <v>1085</v>
      </c>
    </row>
    <row r="140" spans="1:3" x14ac:dyDescent="0.2">
      <c r="A140" s="325" t="s">
        <v>765</v>
      </c>
      <c r="B140" s="325" t="s">
        <v>911</v>
      </c>
      <c r="C140" s="325" t="s">
        <v>1086</v>
      </c>
    </row>
    <row r="141" spans="1:3" x14ac:dyDescent="0.2">
      <c r="A141" s="325" t="s">
        <v>765</v>
      </c>
      <c r="B141" s="325" t="s">
        <v>912</v>
      </c>
      <c r="C141" s="325" t="s">
        <v>1087</v>
      </c>
    </row>
    <row r="142" spans="1:3" x14ac:dyDescent="0.2">
      <c r="A142" s="325" t="s">
        <v>765</v>
      </c>
      <c r="B142" s="325" t="s">
        <v>913</v>
      </c>
      <c r="C142" s="325" t="s">
        <v>1196</v>
      </c>
    </row>
    <row r="143" spans="1:3" x14ac:dyDescent="0.2">
      <c r="A143" s="325" t="s">
        <v>765</v>
      </c>
      <c r="B143" s="325" t="s">
        <v>914</v>
      </c>
      <c r="C143" s="325" t="s">
        <v>1197</v>
      </c>
    </row>
    <row r="144" spans="1:3" x14ac:dyDescent="0.2">
      <c r="A144" s="325" t="s">
        <v>765</v>
      </c>
      <c r="B144" s="325" t="s">
        <v>915</v>
      </c>
      <c r="C144" s="325" t="s">
        <v>1198</v>
      </c>
    </row>
    <row r="145" spans="1:3" x14ac:dyDescent="0.2">
      <c r="A145" s="325" t="s">
        <v>765</v>
      </c>
      <c r="B145" s="325" t="s">
        <v>916</v>
      </c>
      <c r="C145" s="325" t="s">
        <v>1199</v>
      </c>
    </row>
    <row r="146" spans="1:3" x14ac:dyDescent="0.2">
      <c r="A146" s="325" t="s">
        <v>765</v>
      </c>
      <c r="B146" s="325" t="s">
        <v>917</v>
      </c>
      <c r="C146" s="325" t="s">
        <v>1200</v>
      </c>
    </row>
    <row r="147" spans="1:3" x14ac:dyDescent="0.2">
      <c r="A147" s="325" t="s">
        <v>765</v>
      </c>
      <c r="B147" s="325" t="s">
        <v>918</v>
      </c>
      <c r="C147" s="325" t="s">
        <v>1201</v>
      </c>
    </row>
    <row r="148" spans="1:3" x14ac:dyDescent="0.2">
      <c r="A148" s="325" t="s">
        <v>765</v>
      </c>
      <c r="B148" s="325" t="s">
        <v>919</v>
      </c>
      <c r="C148" s="325" t="s">
        <v>1202</v>
      </c>
    </row>
    <row r="149" spans="1:3" x14ac:dyDescent="0.2">
      <c r="A149" s="325" t="s">
        <v>765</v>
      </c>
      <c r="B149" s="325" t="s">
        <v>920</v>
      </c>
      <c r="C149" s="325" t="s">
        <v>1088</v>
      </c>
    </row>
    <row r="150" spans="1:3" x14ac:dyDescent="0.2">
      <c r="A150" s="325" t="s">
        <v>765</v>
      </c>
      <c r="B150" s="325" t="s">
        <v>921</v>
      </c>
      <c r="C150" s="325" t="s">
        <v>1203</v>
      </c>
    </row>
    <row r="151" spans="1:3" x14ac:dyDescent="0.2">
      <c r="A151" s="325" t="s">
        <v>765</v>
      </c>
      <c r="B151" s="325" t="s">
        <v>922</v>
      </c>
      <c r="C151" s="325" t="s">
        <v>1089</v>
      </c>
    </row>
    <row r="152" spans="1:3" x14ac:dyDescent="0.2">
      <c r="A152" s="325" t="s">
        <v>765</v>
      </c>
      <c r="B152" s="325" t="s">
        <v>923</v>
      </c>
      <c r="C152" s="325" t="s">
        <v>1204</v>
      </c>
    </row>
    <row r="153" spans="1:3" x14ac:dyDescent="0.2">
      <c r="A153" s="325" t="s">
        <v>765</v>
      </c>
      <c r="B153" s="325" t="s">
        <v>924</v>
      </c>
      <c r="C153" s="325" t="s">
        <v>1205</v>
      </c>
    </row>
    <row r="154" spans="1:3" x14ac:dyDescent="0.2">
      <c r="A154" s="325" t="s">
        <v>765</v>
      </c>
      <c r="B154" s="325" t="s">
        <v>927</v>
      </c>
      <c r="C154" s="325" t="s">
        <v>1090</v>
      </c>
    </row>
    <row r="155" spans="1:3" x14ac:dyDescent="0.2">
      <c r="A155" s="325" t="s">
        <v>765</v>
      </c>
      <c r="B155" s="325" t="s">
        <v>928</v>
      </c>
      <c r="C155" s="325" t="s">
        <v>1091</v>
      </c>
    </row>
    <row r="156" spans="1:3" x14ac:dyDescent="0.2">
      <c r="A156" s="325" t="s">
        <v>765</v>
      </c>
      <c r="B156" s="325" t="s">
        <v>929</v>
      </c>
      <c r="C156" s="325" t="s">
        <v>1092</v>
      </c>
    </row>
    <row r="157" spans="1:3" x14ac:dyDescent="0.2">
      <c r="A157" s="325" t="s">
        <v>765</v>
      </c>
      <c r="B157" s="325" t="s">
        <v>930</v>
      </c>
      <c r="C157" s="325" t="s">
        <v>1093</v>
      </c>
    </row>
    <row r="158" spans="1:3" x14ac:dyDescent="0.2">
      <c r="A158" s="325" t="s">
        <v>765</v>
      </c>
      <c r="B158" s="325" t="s">
        <v>931</v>
      </c>
      <c r="C158" s="325" t="s">
        <v>1094</v>
      </c>
    </row>
    <row r="159" spans="1:3" x14ac:dyDescent="0.2">
      <c r="A159" s="325" t="s">
        <v>765</v>
      </c>
      <c r="B159" s="325" t="s">
        <v>932</v>
      </c>
      <c r="C159" s="325" t="s">
        <v>1095</v>
      </c>
    </row>
    <row r="160" spans="1:3" x14ac:dyDescent="0.2">
      <c r="A160" s="325" t="s">
        <v>765</v>
      </c>
      <c r="B160" s="325" t="s">
        <v>933</v>
      </c>
      <c r="C160" s="325" t="s">
        <v>387</v>
      </c>
    </row>
    <row r="161" spans="1:3" x14ac:dyDescent="0.2">
      <c r="A161" s="325" t="s">
        <v>765</v>
      </c>
      <c r="B161" s="325" t="s">
        <v>934</v>
      </c>
      <c r="C161" s="325" t="s">
        <v>387</v>
      </c>
    </row>
    <row r="162" spans="1:3" x14ac:dyDescent="0.2">
      <c r="A162" s="325" t="s">
        <v>765</v>
      </c>
      <c r="B162" s="325" t="s">
        <v>935</v>
      </c>
      <c r="C162" s="325" t="s">
        <v>1096</v>
      </c>
    </row>
    <row r="163" spans="1:3" x14ac:dyDescent="0.2">
      <c r="A163" s="325" t="s">
        <v>765</v>
      </c>
      <c r="B163" s="325" t="s">
        <v>936</v>
      </c>
      <c r="C163" s="325" t="s">
        <v>1097</v>
      </c>
    </row>
    <row r="164" spans="1:3" x14ac:dyDescent="0.2">
      <c r="A164" s="325" t="s">
        <v>765</v>
      </c>
      <c r="B164" s="325" t="s">
        <v>937</v>
      </c>
      <c r="C164" s="325" t="s">
        <v>1098</v>
      </c>
    </row>
    <row r="165" spans="1:3" x14ac:dyDescent="0.2">
      <c r="A165" s="325" t="s">
        <v>765</v>
      </c>
      <c r="B165" s="325" t="s">
        <v>938</v>
      </c>
      <c r="C165" s="325" t="s">
        <v>1099</v>
      </c>
    </row>
    <row r="166" spans="1:3" x14ac:dyDescent="0.2">
      <c r="A166" s="325" t="s">
        <v>765</v>
      </c>
      <c r="B166" s="325" t="s">
        <v>939</v>
      </c>
      <c r="C166" s="325" t="s">
        <v>1100</v>
      </c>
    </row>
    <row r="167" spans="1:3" x14ac:dyDescent="0.2">
      <c r="A167" s="325" t="s">
        <v>765</v>
      </c>
      <c r="B167" s="325" t="s">
        <v>940</v>
      </c>
      <c r="C167" s="325" t="s">
        <v>387</v>
      </c>
    </row>
    <row r="168" spans="1:3" x14ac:dyDescent="0.2">
      <c r="A168" s="325" t="s">
        <v>765</v>
      </c>
      <c r="B168" s="325" t="s">
        <v>941</v>
      </c>
      <c r="C168" s="325" t="s">
        <v>1101</v>
      </c>
    </row>
    <row r="169" spans="1:3" x14ac:dyDescent="0.2">
      <c r="A169" s="325" t="s">
        <v>765</v>
      </c>
      <c r="B169" s="325" t="s">
        <v>942</v>
      </c>
      <c r="C169" s="325" t="s">
        <v>1102</v>
      </c>
    </row>
    <row r="170" spans="1:3" x14ac:dyDescent="0.2">
      <c r="A170" s="325" t="s">
        <v>765</v>
      </c>
      <c r="B170" s="325" t="s">
        <v>943</v>
      </c>
      <c r="C170" s="325" t="s">
        <v>903</v>
      </c>
    </row>
    <row r="171" spans="1:3" x14ac:dyDescent="0.2">
      <c r="A171" s="325" t="s">
        <v>765</v>
      </c>
      <c r="B171" s="325" t="s">
        <v>944</v>
      </c>
      <c r="C171" s="325" t="s">
        <v>1103</v>
      </c>
    </row>
    <row r="172" spans="1:3" x14ac:dyDescent="0.2">
      <c r="A172" s="325" t="s">
        <v>765</v>
      </c>
      <c r="B172" s="325" t="s">
        <v>945</v>
      </c>
      <c r="C172" s="325" t="s">
        <v>1104</v>
      </c>
    </row>
    <row r="173" spans="1:3" x14ac:dyDescent="0.2">
      <c r="A173" s="325" t="s">
        <v>765</v>
      </c>
      <c r="B173" s="325" t="s">
        <v>946</v>
      </c>
      <c r="C173" s="325" t="s">
        <v>1105</v>
      </c>
    </row>
    <row r="174" spans="1:3" x14ac:dyDescent="0.2">
      <c r="A174" s="325" t="s">
        <v>765</v>
      </c>
      <c r="B174" s="325" t="s">
        <v>947</v>
      </c>
      <c r="C174" s="325" t="s">
        <v>1034</v>
      </c>
    </row>
    <row r="175" spans="1:3" x14ac:dyDescent="0.2">
      <c r="A175" s="325" t="s">
        <v>765</v>
      </c>
      <c r="B175" s="325" t="s">
        <v>948</v>
      </c>
      <c r="C175" s="325" t="s">
        <v>1106</v>
      </c>
    </row>
    <row r="176" spans="1:3" x14ac:dyDescent="0.2">
      <c r="A176" s="325" t="s">
        <v>765</v>
      </c>
      <c r="B176" s="325" t="s">
        <v>949</v>
      </c>
      <c r="C176" s="325" t="s">
        <v>1107</v>
      </c>
    </row>
    <row r="177" spans="1:3" x14ac:dyDescent="0.2">
      <c r="A177" s="325" t="s">
        <v>765</v>
      </c>
      <c r="B177" s="325" t="s">
        <v>950</v>
      </c>
      <c r="C177" s="325" t="s">
        <v>949</v>
      </c>
    </row>
    <row r="178" spans="1:3" x14ac:dyDescent="0.2">
      <c r="A178" s="325" t="s">
        <v>765</v>
      </c>
      <c r="B178" s="325" t="s">
        <v>951</v>
      </c>
      <c r="C178" s="325" t="s">
        <v>1108</v>
      </c>
    </row>
    <row r="179" spans="1:3" x14ac:dyDescent="0.2">
      <c r="A179" s="325" t="s">
        <v>765</v>
      </c>
      <c r="B179" s="325" t="s">
        <v>952</v>
      </c>
      <c r="C179" s="325" t="s">
        <v>1109</v>
      </c>
    </row>
    <row r="180" spans="1:3" x14ac:dyDescent="0.2">
      <c r="A180" s="325" t="s">
        <v>765</v>
      </c>
      <c r="B180" s="325" t="s">
        <v>953</v>
      </c>
      <c r="C180" s="325" t="s">
        <v>1110</v>
      </c>
    </row>
    <row r="181" spans="1:3" x14ac:dyDescent="0.2">
      <c r="A181" s="325" t="s">
        <v>765</v>
      </c>
      <c r="B181" s="325" t="s">
        <v>954</v>
      </c>
      <c r="C181" s="325" t="s">
        <v>1111</v>
      </c>
    </row>
    <row r="182" spans="1:3" x14ac:dyDescent="0.2">
      <c r="A182" s="325" t="s">
        <v>765</v>
      </c>
      <c r="B182" s="325" t="s">
        <v>955</v>
      </c>
      <c r="C182" s="325" t="s">
        <v>1112</v>
      </c>
    </row>
    <row r="183" spans="1:3" x14ac:dyDescent="0.2">
      <c r="A183" s="325" t="s">
        <v>765</v>
      </c>
      <c r="B183" s="325" t="s">
        <v>956</v>
      </c>
      <c r="C183" s="325" t="s">
        <v>1113</v>
      </c>
    </row>
    <row r="184" spans="1:3" x14ac:dyDescent="0.2">
      <c r="A184" s="325" t="s">
        <v>765</v>
      </c>
      <c r="B184" s="325" t="s">
        <v>957</v>
      </c>
      <c r="C184" s="325" t="s">
        <v>1114</v>
      </c>
    </row>
    <row r="185" spans="1:3" x14ac:dyDescent="0.2">
      <c r="A185" s="325" t="s">
        <v>765</v>
      </c>
      <c r="B185" s="325" t="s">
        <v>958</v>
      </c>
      <c r="C185" s="325" t="s">
        <v>1115</v>
      </c>
    </row>
    <row r="186" spans="1:3" x14ac:dyDescent="0.2">
      <c r="A186" s="325" t="s">
        <v>765</v>
      </c>
      <c r="B186" s="325" t="s">
        <v>959</v>
      </c>
      <c r="C186" s="325" t="s">
        <v>1116</v>
      </c>
    </row>
    <row r="187" spans="1:3" x14ac:dyDescent="0.2">
      <c r="A187" s="325" t="s">
        <v>765</v>
      </c>
      <c r="B187" s="325" t="s">
        <v>960</v>
      </c>
      <c r="C187" s="325" t="s">
        <v>1206</v>
      </c>
    </row>
    <row r="188" spans="1:3" x14ac:dyDescent="0.2">
      <c r="A188" s="325" t="s">
        <v>765</v>
      </c>
      <c r="B188" s="325" t="s">
        <v>961</v>
      </c>
      <c r="C188" s="325" t="s">
        <v>1117</v>
      </c>
    </row>
    <row r="189" spans="1:3" x14ac:dyDescent="0.2">
      <c r="A189" s="325" t="s">
        <v>765</v>
      </c>
      <c r="B189" s="325" t="s">
        <v>962</v>
      </c>
      <c r="C189" s="325" t="s">
        <v>1118</v>
      </c>
    </row>
    <row r="190" spans="1:3" x14ac:dyDescent="0.2">
      <c r="A190" s="325" t="s">
        <v>765</v>
      </c>
      <c r="B190" s="325" t="s">
        <v>963</v>
      </c>
      <c r="C190" s="325" t="s">
        <v>1207</v>
      </c>
    </row>
    <row r="191" spans="1:3" x14ac:dyDescent="0.2">
      <c r="A191" s="325" t="s">
        <v>765</v>
      </c>
      <c r="B191" s="325" t="s">
        <v>964</v>
      </c>
      <c r="C191" s="325" t="s">
        <v>1119</v>
      </c>
    </row>
    <row r="192" spans="1:3" x14ac:dyDescent="0.2">
      <c r="A192" s="325" t="s">
        <v>765</v>
      </c>
      <c r="B192" s="325" t="s">
        <v>965</v>
      </c>
      <c r="C192" s="325" t="s">
        <v>1208</v>
      </c>
    </row>
    <row r="193" spans="1:3" x14ac:dyDescent="0.2">
      <c r="A193" s="325" t="s">
        <v>765</v>
      </c>
      <c r="B193" s="325" t="s">
        <v>966</v>
      </c>
      <c r="C193" s="325" t="s">
        <v>1120</v>
      </c>
    </row>
    <row r="194" spans="1:3" x14ac:dyDescent="0.2">
      <c r="A194" s="325" t="s">
        <v>765</v>
      </c>
      <c r="B194" s="325" t="s">
        <v>969</v>
      </c>
      <c r="C194" s="325" t="s">
        <v>1121</v>
      </c>
    </row>
    <row r="195" spans="1:3" x14ac:dyDescent="0.2">
      <c r="A195" s="325" t="s">
        <v>765</v>
      </c>
      <c r="B195" s="325" t="s">
        <v>970</v>
      </c>
      <c r="C195" s="325" t="s">
        <v>1122</v>
      </c>
    </row>
    <row r="196" spans="1:3" x14ac:dyDescent="0.2">
      <c r="A196" s="325" t="s">
        <v>765</v>
      </c>
      <c r="B196" s="325" t="s">
        <v>971</v>
      </c>
      <c r="C196" s="325" t="s">
        <v>1123</v>
      </c>
    </row>
    <row r="197" spans="1:3" x14ac:dyDescent="0.2">
      <c r="A197" s="325" t="s">
        <v>765</v>
      </c>
      <c r="B197" s="325" t="s">
        <v>972</v>
      </c>
      <c r="C197" s="325" t="s">
        <v>1124</v>
      </c>
    </row>
    <row r="198" spans="1:3" x14ac:dyDescent="0.2">
      <c r="A198" s="325" t="s">
        <v>765</v>
      </c>
      <c r="B198" s="325" t="s">
        <v>973</v>
      </c>
      <c r="C198" s="325" t="s">
        <v>1125</v>
      </c>
    </row>
    <row r="199" spans="1:3" x14ac:dyDescent="0.2">
      <c r="A199" s="325" t="s">
        <v>765</v>
      </c>
      <c r="B199" s="325" t="s">
        <v>974</v>
      </c>
      <c r="C199" s="325" t="s">
        <v>1209</v>
      </c>
    </row>
    <row r="200" spans="1:3" x14ac:dyDescent="0.2">
      <c r="A200" s="325" t="s">
        <v>765</v>
      </c>
      <c r="B200" s="325" t="s">
        <v>976</v>
      </c>
      <c r="C200" s="325" t="s">
        <v>1210</v>
      </c>
    </row>
    <row r="201" spans="1:3" x14ac:dyDescent="0.2">
      <c r="A201" s="325" t="s">
        <v>765</v>
      </c>
      <c r="B201" s="325" t="s">
        <v>978</v>
      </c>
      <c r="C201" s="325" t="s">
        <v>1126</v>
      </c>
    </row>
    <row r="202" spans="1:3" x14ac:dyDescent="0.2">
      <c r="A202" s="325" t="s">
        <v>765</v>
      </c>
      <c r="B202" s="325" t="s">
        <v>979</v>
      </c>
      <c r="C202" s="325" t="s">
        <v>1127</v>
      </c>
    </row>
    <row r="203" spans="1:3" x14ac:dyDescent="0.2">
      <c r="A203" s="325" t="s">
        <v>765</v>
      </c>
      <c r="B203" s="325" t="s">
        <v>980</v>
      </c>
      <c r="C203" s="325" t="s">
        <v>1128</v>
      </c>
    </row>
    <row r="204" spans="1:3" x14ac:dyDescent="0.2">
      <c r="A204" s="325" t="s">
        <v>765</v>
      </c>
      <c r="B204" s="325" t="s">
        <v>981</v>
      </c>
      <c r="C204" s="325" t="s">
        <v>1129</v>
      </c>
    </row>
    <row r="205" spans="1:3" x14ac:dyDescent="0.2">
      <c r="A205" s="325" t="s">
        <v>740</v>
      </c>
      <c r="B205" s="325" t="s">
        <v>816</v>
      </c>
      <c r="C205" s="325" t="s">
        <v>1130</v>
      </c>
    </row>
    <row r="206" spans="1:3" x14ac:dyDescent="0.2">
      <c r="A206" s="325" t="s">
        <v>740</v>
      </c>
      <c r="B206" s="325" t="s">
        <v>817</v>
      </c>
      <c r="C206" s="325" t="s">
        <v>1131</v>
      </c>
    </row>
    <row r="207" spans="1:3" x14ac:dyDescent="0.2">
      <c r="A207" s="325" t="s">
        <v>740</v>
      </c>
      <c r="B207" s="325" t="s">
        <v>818</v>
      </c>
      <c r="C207" s="325" t="s">
        <v>1132</v>
      </c>
    </row>
    <row r="208" spans="1:3" x14ac:dyDescent="0.2">
      <c r="A208" s="325" t="s">
        <v>740</v>
      </c>
      <c r="B208" s="325" t="s">
        <v>819</v>
      </c>
      <c r="C208" s="325" t="s">
        <v>1236</v>
      </c>
    </row>
    <row r="209" spans="1:3" x14ac:dyDescent="0.2">
      <c r="A209" s="325" t="s">
        <v>740</v>
      </c>
      <c r="B209" s="325" t="s">
        <v>825</v>
      </c>
      <c r="C209" s="325" t="s">
        <v>1211</v>
      </c>
    </row>
    <row r="210" spans="1:3" x14ac:dyDescent="0.2">
      <c r="A210" s="325" t="s">
        <v>740</v>
      </c>
      <c r="B210" s="325" t="s">
        <v>826</v>
      </c>
      <c r="C210" s="325" t="s">
        <v>1237</v>
      </c>
    </row>
    <row r="211" spans="1:3" x14ac:dyDescent="0.2">
      <c r="A211" s="325" t="s">
        <v>740</v>
      </c>
      <c r="B211" s="325" t="s">
        <v>827</v>
      </c>
      <c r="C211" s="325" t="s">
        <v>1218</v>
      </c>
    </row>
    <row r="212" spans="1:3" x14ac:dyDescent="0.2">
      <c r="A212" s="325" t="s">
        <v>740</v>
      </c>
      <c r="B212" s="325" t="s">
        <v>828</v>
      </c>
      <c r="C212" s="325" t="s">
        <v>1238</v>
      </c>
    </row>
    <row r="213" spans="1:3" x14ac:dyDescent="0.2">
      <c r="A213" s="325" t="s">
        <v>740</v>
      </c>
      <c r="B213" s="325" t="s">
        <v>834</v>
      </c>
      <c r="C213" s="325" t="s">
        <v>1133</v>
      </c>
    </row>
    <row r="214" spans="1:3" x14ac:dyDescent="0.2">
      <c r="A214" s="325" t="s">
        <v>740</v>
      </c>
      <c r="B214" s="325" t="s">
        <v>835</v>
      </c>
      <c r="C214" s="325" t="s">
        <v>387</v>
      </c>
    </row>
    <row r="215" spans="1:3" x14ac:dyDescent="0.2">
      <c r="A215" s="325" t="s">
        <v>740</v>
      </c>
      <c r="B215" s="325" t="s">
        <v>836</v>
      </c>
      <c r="C215" s="325" t="s">
        <v>1134</v>
      </c>
    </row>
    <row r="216" spans="1:3" x14ac:dyDescent="0.2">
      <c r="A216" s="325" t="s">
        <v>740</v>
      </c>
      <c r="B216" s="325" t="s">
        <v>837</v>
      </c>
      <c r="C216" s="325" t="s">
        <v>1212</v>
      </c>
    </row>
    <row r="217" spans="1:3" x14ac:dyDescent="0.2">
      <c r="A217" s="325" t="s">
        <v>740</v>
      </c>
      <c r="B217" s="325" t="s">
        <v>839</v>
      </c>
      <c r="C217" s="325" t="s">
        <v>827</v>
      </c>
    </row>
    <row r="218" spans="1:3" x14ac:dyDescent="0.2">
      <c r="A218" s="325" t="s">
        <v>740</v>
      </c>
      <c r="B218" s="325" t="s">
        <v>840</v>
      </c>
      <c r="C218" s="325" t="s">
        <v>1220</v>
      </c>
    </row>
    <row r="219" spans="1:3" x14ac:dyDescent="0.2">
      <c r="A219" s="325" t="s">
        <v>740</v>
      </c>
      <c r="B219" s="325" t="s">
        <v>841</v>
      </c>
      <c r="C219" s="325" t="s">
        <v>828</v>
      </c>
    </row>
    <row r="220" spans="1:3" x14ac:dyDescent="0.2">
      <c r="A220" s="325" t="s">
        <v>740</v>
      </c>
      <c r="B220" s="325" t="s">
        <v>842</v>
      </c>
      <c r="C220" s="325" t="s">
        <v>834</v>
      </c>
    </row>
    <row r="221" spans="1:3" x14ac:dyDescent="0.2">
      <c r="A221" s="325" t="s">
        <v>740</v>
      </c>
      <c r="B221" s="325" t="s">
        <v>843</v>
      </c>
      <c r="C221" s="325" t="s">
        <v>835</v>
      </c>
    </row>
    <row r="222" spans="1:3" x14ac:dyDescent="0.2">
      <c r="A222" s="325" t="s">
        <v>740</v>
      </c>
      <c r="B222" s="325" t="s">
        <v>844</v>
      </c>
      <c r="C222" s="325" t="s">
        <v>837</v>
      </c>
    </row>
    <row r="223" spans="1:3" x14ac:dyDescent="0.2">
      <c r="A223" s="325" t="s">
        <v>740</v>
      </c>
      <c r="B223" s="325" t="s">
        <v>845</v>
      </c>
      <c r="C223" s="325" t="s">
        <v>841</v>
      </c>
    </row>
    <row r="224" spans="1:3" x14ac:dyDescent="0.2">
      <c r="A224" s="325" t="s">
        <v>740</v>
      </c>
      <c r="B224" s="325" t="s">
        <v>848</v>
      </c>
      <c r="C224" s="325" t="s">
        <v>847</v>
      </c>
    </row>
    <row r="225" spans="1:3" x14ac:dyDescent="0.2">
      <c r="A225" s="325" t="s">
        <v>740</v>
      </c>
      <c r="B225" s="325" t="s">
        <v>849</v>
      </c>
      <c r="C225" s="325" t="s">
        <v>1135</v>
      </c>
    </row>
    <row r="226" spans="1:3" x14ac:dyDescent="0.2">
      <c r="A226" s="325" t="s">
        <v>740</v>
      </c>
      <c r="B226" s="325" t="s">
        <v>850</v>
      </c>
      <c r="C226" s="325" t="s">
        <v>1136</v>
      </c>
    </row>
    <row r="227" spans="1:3" x14ac:dyDescent="0.2">
      <c r="A227" s="325" t="s">
        <v>740</v>
      </c>
      <c r="B227" s="325" t="s">
        <v>851</v>
      </c>
      <c r="C227" s="325" t="s">
        <v>679</v>
      </c>
    </row>
    <row r="228" spans="1:3" x14ac:dyDescent="0.2">
      <c r="A228" s="325" t="s">
        <v>740</v>
      </c>
      <c r="B228" s="325" t="s">
        <v>852</v>
      </c>
      <c r="C228" s="325" t="s">
        <v>1137</v>
      </c>
    </row>
    <row r="229" spans="1:3" x14ac:dyDescent="0.2">
      <c r="A229" s="325" t="s">
        <v>740</v>
      </c>
      <c r="B229" s="325" t="s">
        <v>853</v>
      </c>
      <c r="C229" s="325" t="s">
        <v>1138</v>
      </c>
    </row>
    <row r="230" spans="1:3" x14ac:dyDescent="0.2">
      <c r="A230" s="325" t="s">
        <v>740</v>
      </c>
      <c r="B230" s="325" t="s">
        <v>854</v>
      </c>
      <c r="C230" s="325" t="s">
        <v>853</v>
      </c>
    </row>
    <row r="231" spans="1:3" x14ac:dyDescent="0.2">
      <c r="A231" s="325" t="s">
        <v>740</v>
      </c>
      <c r="B231" s="325" t="s">
        <v>855</v>
      </c>
      <c r="C231" s="325" t="s">
        <v>1213</v>
      </c>
    </row>
    <row r="232" spans="1:3" x14ac:dyDescent="0.2">
      <c r="A232" s="325" t="s">
        <v>740</v>
      </c>
      <c r="B232" s="325" t="s">
        <v>856</v>
      </c>
      <c r="C232" s="325" t="s">
        <v>1139</v>
      </c>
    </row>
    <row r="233" spans="1:3" x14ac:dyDescent="0.2">
      <c r="A233" s="325" t="s">
        <v>740</v>
      </c>
      <c r="B233" s="325" t="s">
        <v>857</v>
      </c>
      <c r="C233" s="325" t="s">
        <v>1140</v>
      </c>
    </row>
    <row r="234" spans="1:3" x14ac:dyDescent="0.2">
      <c r="A234" s="325" t="s">
        <v>740</v>
      </c>
      <c r="B234" s="325" t="s">
        <v>858</v>
      </c>
      <c r="C234" s="325" t="s">
        <v>1141</v>
      </c>
    </row>
    <row r="235" spans="1:3" x14ac:dyDescent="0.2">
      <c r="A235" s="325" t="s">
        <v>740</v>
      </c>
      <c r="B235" s="325" t="s">
        <v>859</v>
      </c>
      <c r="C235" s="325" t="s">
        <v>1142</v>
      </c>
    </row>
    <row r="236" spans="1:3" x14ac:dyDescent="0.2">
      <c r="A236" s="325" t="s">
        <v>740</v>
      </c>
      <c r="B236" s="325" t="s">
        <v>860</v>
      </c>
      <c r="C236" s="325" t="s">
        <v>1143</v>
      </c>
    </row>
    <row r="237" spans="1:3" x14ac:dyDescent="0.2">
      <c r="A237" s="325" t="s">
        <v>740</v>
      </c>
      <c r="B237" s="325" t="s">
        <v>861</v>
      </c>
      <c r="C237" s="325" t="s">
        <v>1034</v>
      </c>
    </row>
    <row r="238" spans="1:3" x14ac:dyDescent="0.2">
      <c r="A238" s="325" t="s">
        <v>740</v>
      </c>
      <c r="B238" s="325" t="s">
        <v>862</v>
      </c>
      <c r="C238" s="325" t="s">
        <v>1144</v>
      </c>
    </row>
    <row r="239" spans="1:3" x14ac:dyDescent="0.2">
      <c r="A239" s="325" t="s">
        <v>740</v>
      </c>
      <c r="B239" s="325" t="s">
        <v>863</v>
      </c>
      <c r="C239" s="325" t="s">
        <v>1145</v>
      </c>
    </row>
    <row r="240" spans="1:3" x14ac:dyDescent="0.2">
      <c r="A240" s="325" t="s">
        <v>740</v>
      </c>
      <c r="B240" s="325" t="s">
        <v>864</v>
      </c>
      <c r="C240" s="325" t="s">
        <v>863</v>
      </c>
    </row>
    <row r="241" spans="1:3" x14ac:dyDescent="0.2">
      <c r="A241" s="325" t="s">
        <v>740</v>
      </c>
      <c r="B241" s="325" t="s">
        <v>865</v>
      </c>
      <c r="C241" s="325" t="s">
        <v>1146</v>
      </c>
    </row>
    <row r="242" spans="1:3" x14ac:dyDescent="0.2">
      <c r="A242" s="325" t="s">
        <v>740</v>
      </c>
      <c r="B242" s="325" t="s">
        <v>866</v>
      </c>
      <c r="C242" s="325" t="s">
        <v>1147</v>
      </c>
    </row>
    <row r="243" spans="1:3" x14ac:dyDescent="0.2">
      <c r="A243" s="325" t="s">
        <v>740</v>
      </c>
      <c r="B243" s="325" t="s">
        <v>867</v>
      </c>
      <c r="C243" s="325" t="s">
        <v>1148</v>
      </c>
    </row>
    <row r="244" spans="1:3" x14ac:dyDescent="0.2">
      <c r="A244" s="325" t="s">
        <v>740</v>
      </c>
      <c r="B244" s="325" t="s">
        <v>868</v>
      </c>
      <c r="C244" s="325" t="s">
        <v>1149</v>
      </c>
    </row>
    <row r="245" spans="1:3" x14ac:dyDescent="0.2">
      <c r="A245" s="325" t="s">
        <v>740</v>
      </c>
      <c r="B245" s="325" t="s">
        <v>869</v>
      </c>
      <c r="C245" s="325" t="s">
        <v>1150</v>
      </c>
    </row>
    <row r="246" spans="1:3" x14ac:dyDescent="0.2">
      <c r="A246" s="325" t="s">
        <v>740</v>
      </c>
      <c r="B246" s="325" t="s">
        <v>870</v>
      </c>
      <c r="C246" s="325" t="s">
        <v>869</v>
      </c>
    </row>
    <row r="247" spans="1:3" x14ac:dyDescent="0.2">
      <c r="A247" s="325" t="s">
        <v>740</v>
      </c>
      <c r="B247" s="325" t="s">
        <v>871</v>
      </c>
      <c r="C247" s="325" t="s">
        <v>1151</v>
      </c>
    </row>
    <row r="248" spans="1:3" x14ac:dyDescent="0.2">
      <c r="A248" s="325" t="s">
        <v>740</v>
      </c>
      <c r="B248" s="325" t="s">
        <v>872</v>
      </c>
      <c r="C248" s="325" t="s">
        <v>1152</v>
      </c>
    </row>
    <row r="249" spans="1:3" x14ac:dyDescent="0.2">
      <c r="A249" s="325" t="s">
        <v>740</v>
      </c>
      <c r="B249" s="325" t="s">
        <v>873</v>
      </c>
      <c r="C249" s="325" t="s">
        <v>1153</v>
      </c>
    </row>
    <row r="250" spans="1:3" x14ac:dyDescent="0.2">
      <c r="A250" s="325" t="s">
        <v>740</v>
      </c>
      <c r="B250" s="325" t="s">
        <v>874</v>
      </c>
      <c r="C250" s="325" t="s">
        <v>1214</v>
      </c>
    </row>
    <row r="251" spans="1:3" x14ac:dyDescent="0.2">
      <c r="A251" s="325" t="s">
        <v>740</v>
      </c>
      <c r="B251" s="325" t="s">
        <v>875</v>
      </c>
      <c r="C251" s="325" t="s">
        <v>1154</v>
      </c>
    </row>
    <row r="252" spans="1:3" x14ac:dyDescent="0.2">
      <c r="A252" s="325" t="s">
        <v>740</v>
      </c>
      <c r="B252" s="325" t="s">
        <v>876</v>
      </c>
      <c r="C252" s="325" t="s">
        <v>1155</v>
      </c>
    </row>
    <row r="253" spans="1:3" x14ac:dyDescent="0.2">
      <c r="A253" s="325" t="s">
        <v>740</v>
      </c>
      <c r="B253" s="325" t="s">
        <v>877</v>
      </c>
      <c r="C253" s="325" t="s">
        <v>1156</v>
      </c>
    </row>
    <row r="254" spans="1:3" x14ac:dyDescent="0.2">
      <c r="A254" s="325" t="s">
        <v>740</v>
      </c>
      <c r="B254" s="325" t="s">
        <v>878</v>
      </c>
      <c r="C254" s="325" t="s">
        <v>1157</v>
      </c>
    </row>
    <row r="255" spans="1:3" x14ac:dyDescent="0.2">
      <c r="A255" s="325" t="s">
        <v>740</v>
      </c>
      <c r="B255" s="325" t="s">
        <v>879</v>
      </c>
      <c r="C255" s="325" t="s">
        <v>1158</v>
      </c>
    </row>
    <row r="256" spans="1:3" x14ac:dyDescent="0.2">
      <c r="A256" s="325" t="s">
        <v>740</v>
      </c>
      <c r="B256" s="325" t="s">
        <v>881</v>
      </c>
      <c r="C256" s="325" t="s">
        <v>853</v>
      </c>
    </row>
    <row r="257" spans="1:3" x14ac:dyDescent="0.2">
      <c r="A257" s="325" t="s">
        <v>740</v>
      </c>
      <c r="B257" s="325" t="s">
        <v>882</v>
      </c>
      <c r="C257" s="325" t="s">
        <v>1159</v>
      </c>
    </row>
    <row r="258" spans="1:3" x14ac:dyDescent="0.2">
      <c r="A258" s="325" t="s">
        <v>740</v>
      </c>
      <c r="B258" s="325" t="s">
        <v>886</v>
      </c>
      <c r="C258" s="325" t="s">
        <v>1160</v>
      </c>
    </row>
    <row r="259" spans="1:3" x14ac:dyDescent="0.2">
      <c r="A259" s="325" t="s">
        <v>740</v>
      </c>
      <c r="B259" s="325" t="s">
        <v>887</v>
      </c>
      <c r="C259" s="325" t="s">
        <v>1161</v>
      </c>
    </row>
    <row r="260" spans="1:3" x14ac:dyDescent="0.2">
      <c r="A260" s="325" t="s">
        <v>740</v>
      </c>
      <c r="B260" s="325" t="s">
        <v>888</v>
      </c>
      <c r="C260" s="325" t="s">
        <v>1162</v>
      </c>
    </row>
    <row r="261" spans="1:3" x14ac:dyDescent="0.2">
      <c r="A261" s="325" t="s">
        <v>740</v>
      </c>
      <c r="B261" s="325" t="s">
        <v>889</v>
      </c>
      <c r="C261" s="325" t="s">
        <v>1163</v>
      </c>
    </row>
    <row r="262" spans="1:3" x14ac:dyDescent="0.2">
      <c r="A262" s="325" t="s">
        <v>677</v>
      </c>
      <c r="B262" s="325" t="s">
        <v>817</v>
      </c>
      <c r="C262" s="325" t="s">
        <v>1058</v>
      </c>
    </row>
    <row r="263" spans="1:3" x14ac:dyDescent="0.2">
      <c r="A263" s="325" t="s">
        <v>677</v>
      </c>
      <c r="B263" s="325" t="s">
        <v>818</v>
      </c>
      <c r="C263" s="325" t="s">
        <v>1059</v>
      </c>
    </row>
    <row r="264" spans="1:3" x14ac:dyDescent="0.2">
      <c r="A264" s="325" t="s">
        <v>677</v>
      </c>
      <c r="B264" s="325" t="s">
        <v>820</v>
      </c>
      <c r="C264" s="325" t="s">
        <v>1060</v>
      </c>
    </row>
    <row r="265" spans="1:3" x14ac:dyDescent="0.2">
      <c r="A265" s="325" t="s">
        <v>677</v>
      </c>
      <c r="B265" s="325" t="s">
        <v>821</v>
      </c>
      <c r="C265" s="325" t="s">
        <v>1061</v>
      </c>
    </row>
    <row r="266" spans="1:3" x14ac:dyDescent="0.2">
      <c r="A266" s="325" t="s">
        <v>677</v>
      </c>
      <c r="B266" s="325" t="s">
        <v>822</v>
      </c>
      <c r="C266" s="325" t="s">
        <v>1062</v>
      </c>
    </row>
    <row r="267" spans="1:3" x14ac:dyDescent="0.2">
      <c r="A267" s="325" t="s">
        <v>677</v>
      </c>
      <c r="B267" s="325" t="s">
        <v>823</v>
      </c>
      <c r="C267" s="325" t="s">
        <v>1223</v>
      </c>
    </row>
    <row r="268" spans="1:3" x14ac:dyDescent="0.2">
      <c r="A268" s="325" t="s">
        <v>677</v>
      </c>
      <c r="B268" s="325" t="s">
        <v>830</v>
      </c>
      <c r="C268" s="325" t="s">
        <v>1174</v>
      </c>
    </row>
    <row r="269" spans="1:3" x14ac:dyDescent="0.2">
      <c r="A269" s="325" t="s">
        <v>677</v>
      </c>
      <c r="B269" s="325" t="s">
        <v>831</v>
      </c>
      <c r="C269" s="325" t="s">
        <v>1224</v>
      </c>
    </row>
    <row r="270" spans="1:3" x14ac:dyDescent="0.2">
      <c r="A270" s="325" t="s">
        <v>677</v>
      </c>
      <c r="B270" s="325" t="s">
        <v>832</v>
      </c>
      <c r="C270" s="325" t="s">
        <v>1225</v>
      </c>
    </row>
    <row r="271" spans="1:3" x14ac:dyDescent="0.2">
      <c r="A271" s="325" t="s">
        <v>677</v>
      </c>
      <c r="B271" s="325" t="s">
        <v>834</v>
      </c>
      <c r="C271" s="325" t="s">
        <v>1226</v>
      </c>
    </row>
    <row r="272" spans="1:3" x14ac:dyDescent="0.2">
      <c r="A272" s="325" t="s">
        <v>677</v>
      </c>
      <c r="B272" s="325" t="s">
        <v>836</v>
      </c>
      <c r="C272" s="325" t="s">
        <v>835</v>
      </c>
    </row>
    <row r="273" spans="1:3" x14ac:dyDescent="0.2">
      <c r="A273" s="325" t="s">
        <v>677</v>
      </c>
      <c r="B273" s="325" t="s">
        <v>837</v>
      </c>
      <c r="C273" s="325" t="s">
        <v>1063</v>
      </c>
    </row>
    <row r="274" spans="1:3" x14ac:dyDescent="0.2">
      <c r="A274" s="325" t="s">
        <v>677</v>
      </c>
      <c r="B274" s="325" t="s">
        <v>838</v>
      </c>
      <c r="C274" s="325" t="s">
        <v>1227</v>
      </c>
    </row>
    <row r="275" spans="1:3" x14ac:dyDescent="0.2">
      <c r="A275" s="325" t="s">
        <v>677</v>
      </c>
      <c r="B275" s="325" t="s">
        <v>839</v>
      </c>
      <c r="C275" s="325" t="s">
        <v>1064</v>
      </c>
    </row>
    <row r="276" spans="1:3" x14ac:dyDescent="0.2">
      <c r="A276" s="325" t="s">
        <v>677</v>
      </c>
      <c r="B276" s="325" t="s">
        <v>840</v>
      </c>
      <c r="C276" s="325" t="s">
        <v>1065</v>
      </c>
    </row>
    <row r="277" spans="1:3" x14ac:dyDescent="0.2">
      <c r="A277" s="325" t="s">
        <v>677</v>
      </c>
      <c r="B277" s="325" t="s">
        <v>841</v>
      </c>
      <c r="C277" s="325" t="s">
        <v>1228</v>
      </c>
    </row>
    <row r="278" spans="1:3" x14ac:dyDescent="0.2">
      <c r="A278" s="325" t="s">
        <v>677</v>
      </c>
      <c r="B278" s="325" t="s">
        <v>842</v>
      </c>
      <c r="C278" s="325" t="s">
        <v>1175</v>
      </c>
    </row>
    <row r="279" spans="1:3" x14ac:dyDescent="0.2">
      <c r="A279" s="325" t="s">
        <v>677</v>
      </c>
      <c r="B279" s="325" t="s">
        <v>844</v>
      </c>
      <c r="C279" s="325" t="s">
        <v>1176</v>
      </c>
    </row>
    <row r="280" spans="1:3" x14ac:dyDescent="0.2">
      <c r="A280" s="325" t="s">
        <v>677</v>
      </c>
      <c r="B280" s="325" t="s">
        <v>845</v>
      </c>
      <c r="C280" s="325" t="s">
        <v>1177</v>
      </c>
    </row>
    <row r="281" spans="1:3" x14ac:dyDescent="0.2">
      <c r="A281" s="325" t="s">
        <v>677</v>
      </c>
      <c r="B281" s="325" t="s">
        <v>846</v>
      </c>
      <c r="C281" s="325" t="s">
        <v>1066</v>
      </c>
    </row>
    <row r="282" spans="1:3" x14ac:dyDescent="0.2">
      <c r="A282" s="325" t="s">
        <v>677</v>
      </c>
      <c r="B282" s="325" t="s">
        <v>847</v>
      </c>
      <c r="C282" s="325" t="s">
        <v>1229</v>
      </c>
    </row>
    <row r="283" spans="1:3" x14ac:dyDescent="0.2">
      <c r="A283" s="325" t="s">
        <v>677</v>
      </c>
      <c r="B283" s="325" t="s">
        <v>848</v>
      </c>
      <c r="C283" s="325" t="s">
        <v>1178</v>
      </c>
    </row>
    <row r="284" spans="1:3" x14ac:dyDescent="0.2">
      <c r="A284" s="325" t="s">
        <v>677</v>
      </c>
      <c r="B284" s="325" t="s">
        <v>849</v>
      </c>
      <c r="C284" s="325" t="s">
        <v>1179</v>
      </c>
    </row>
    <row r="285" spans="1:3" x14ac:dyDescent="0.2">
      <c r="A285" s="325" t="s">
        <v>677</v>
      </c>
      <c r="B285" s="325" t="s">
        <v>850</v>
      </c>
      <c r="C285" s="325" t="s">
        <v>1180</v>
      </c>
    </row>
    <row r="286" spans="1:3" x14ac:dyDescent="0.2">
      <c r="A286" s="325" t="s">
        <v>677</v>
      </c>
      <c r="B286" s="325" t="s">
        <v>852</v>
      </c>
      <c r="C286" s="325" t="s">
        <v>1067</v>
      </c>
    </row>
    <row r="287" spans="1:3" x14ac:dyDescent="0.2">
      <c r="A287" s="325" t="s">
        <v>677</v>
      </c>
      <c r="B287" s="325" t="s">
        <v>855</v>
      </c>
      <c r="C287" s="325" t="s">
        <v>1230</v>
      </c>
    </row>
    <row r="288" spans="1:3" x14ac:dyDescent="0.2">
      <c r="A288" s="325" t="s">
        <v>677</v>
      </c>
      <c r="B288" s="325" t="s">
        <v>856</v>
      </c>
      <c r="C288" s="325" t="s">
        <v>1231</v>
      </c>
    </row>
    <row r="289" spans="1:3" x14ac:dyDescent="0.2">
      <c r="A289" s="325" t="s">
        <v>677</v>
      </c>
      <c r="B289" s="325" t="s">
        <v>857</v>
      </c>
      <c r="C289" s="325" t="s">
        <v>1181</v>
      </c>
    </row>
    <row r="290" spans="1:3" x14ac:dyDescent="0.2">
      <c r="A290" s="325" t="s">
        <v>677</v>
      </c>
      <c r="B290" s="325" t="s">
        <v>858</v>
      </c>
      <c r="C290" s="325" t="s">
        <v>1182</v>
      </c>
    </row>
    <row r="291" spans="1:3" x14ac:dyDescent="0.2">
      <c r="A291" s="325" t="s">
        <v>677</v>
      </c>
      <c r="B291" s="325" t="s">
        <v>861</v>
      </c>
      <c r="C291" s="325" t="s">
        <v>387</v>
      </c>
    </row>
    <row r="292" spans="1:3" x14ac:dyDescent="0.2">
      <c r="A292" s="325" t="s">
        <v>677</v>
      </c>
      <c r="B292" s="325" t="s">
        <v>868</v>
      </c>
      <c r="C292" s="325" t="s">
        <v>1183</v>
      </c>
    </row>
    <row r="293" spans="1:3" x14ac:dyDescent="0.2">
      <c r="A293" s="325" t="s">
        <v>677</v>
      </c>
      <c r="B293" s="325" t="s">
        <v>869</v>
      </c>
      <c r="C293" s="325" t="s">
        <v>1184</v>
      </c>
    </row>
    <row r="294" spans="1:3" x14ac:dyDescent="0.2">
      <c r="A294" s="325" t="s">
        <v>677</v>
      </c>
      <c r="B294" s="325" t="s">
        <v>870</v>
      </c>
      <c r="C294" s="325" t="s">
        <v>1068</v>
      </c>
    </row>
    <row r="295" spans="1:3" x14ac:dyDescent="0.2">
      <c r="A295" s="325" t="s">
        <v>677</v>
      </c>
      <c r="B295" s="325" t="s">
        <v>871</v>
      </c>
      <c r="C295" s="325" t="s">
        <v>1069</v>
      </c>
    </row>
    <row r="296" spans="1:3" x14ac:dyDescent="0.2">
      <c r="A296" s="325" t="s">
        <v>677</v>
      </c>
      <c r="B296" s="325" t="s">
        <v>872</v>
      </c>
      <c r="C296" s="325" t="s">
        <v>1070</v>
      </c>
    </row>
    <row r="297" spans="1:3" x14ac:dyDescent="0.2">
      <c r="A297" s="325" t="s">
        <v>677</v>
      </c>
      <c r="B297" s="325" t="s">
        <v>874</v>
      </c>
      <c r="C297" s="325" t="s">
        <v>872</v>
      </c>
    </row>
    <row r="298" spans="1:3" x14ac:dyDescent="0.2">
      <c r="A298" s="325" t="s">
        <v>677</v>
      </c>
      <c r="B298" s="325" t="s">
        <v>875</v>
      </c>
      <c r="C298" s="325" t="s">
        <v>1071</v>
      </c>
    </row>
    <row r="299" spans="1:3" x14ac:dyDescent="0.2">
      <c r="A299" s="325" t="s">
        <v>677</v>
      </c>
      <c r="B299" s="325" t="s">
        <v>878</v>
      </c>
      <c r="C299" s="325" t="s">
        <v>1072</v>
      </c>
    </row>
    <row r="300" spans="1:3" x14ac:dyDescent="0.2">
      <c r="A300" s="325" t="s">
        <v>677</v>
      </c>
      <c r="B300" s="325" t="s">
        <v>879</v>
      </c>
      <c r="C300" s="325" t="s">
        <v>1073</v>
      </c>
    </row>
    <row r="301" spans="1:3" x14ac:dyDescent="0.2">
      <c r="A301" s="325" t="s">
        <v>677</v>
      </c>
      <c r="B301" s="325" t="s">
        <v>880</v>
      </c>
      <c r="C301" s="325" t="s">
        <v>1074</v>
      </c>
    </row>
    <row r="302" spans="1:3" x14ac:dyDescent="0.2">
      <c r="A302" s="325" t="s">
        <v>677</v>
      </c>
      <c r="B302" s="325" t="s">
        <v>881</v>
      </c>
      <c r="C302" s="325" t="s">
        <v>856</v>
      </c>
    </row>
    <row r="303" spans="1:3" x14ac:dyDescent="0.2">
      <c r="A303" s="325" t="s">
        <v>677</v>
      </c>
      <c r="B303" s="325" t="s">
        <v>883</v>
      </c>
      <c r="C303" s="325" t="s">
        <v>1185</v>
      </c>
    </row>
    <row r="304" spans="1:3" x14ac:dyDescent="0.2">
      <c r="A304" s="325" t="s">
        <v>677</v>
      </c>
      <c r="B304" s="325" t="s">
        <v>884</v>
      </c>
      <c r="C304" s="325" t="s">
        <v>1075</v>
      </c>
    </row>
    <row r="305" spans="1:3" x14ac:dyDescent="0.2">
      <c r="A305" s="325" t="s">
        <v>677</v>
      </c>
      <c r="B305" s="325" t="s">
        <v>885</v>
      </c>
      <c r="C305" s="325" t="s">
        <v>1232</v>
      </c>
    </row>
    <row r="306" spans="1:3" x14ac:dyDescent="0.2">
      <c r="A306" s="325" t="s">
        <v>677</v>
      </c>
      <c r="B306" s="325" t="s">
        <v>886</v>
      </c>
      <c r="C306" s="325" t="s">
        <v>1186</v>
      </c>
    </row>
    <row r="307" spans="1:3" x14ac:dyDescent="0.2">
      <c r="A307" s="325" t="s">
        <v>677</v>
      </c>
      <c r="B307" s="325" t="s">
        <v>887</v>
      </c>
      <c r="C307" s="325" t="s">
        <v>1187</v>
      </c>
    </row>
    <row r="308" spans="1:3" x14ac:dyDescent="0.2">
      <c r="A308" s="325" t="s">
        <v>677</v>
      </c>
      <c r="B308" s="325" t="s">
        <v>888</v>
      </c>
      <c r="C308" s="325" t="s">
        <v>1233</v>
      </c>
    </row>
    <row r="309" spans="1:3" x14ac:dyDescent="0.2">
      <c r="A309" s="325" t="s">
        <v>677</v>
      </c>
      <c r="B309" s="325" t="s">
        <v>889</v>
      </c>
      <c r="C309" s="325" t="s">
        <v>1188</v>
      </c>
    </row>
    <row r="310" spans="1:3" x14ac:dyDescent="0.2">
      <c r="A310" s="325" t="s">
        <v>677</v>
      </c>
      <c r="B310" s="325" t="s">
        <v>890</v>
      </c>
      <c r="C310" s="325" t="s">
        <v>1189</v>
      </c>
    </row>
    <row r="311" spans="1:3" x14ac:dyDescent="0.2">
      <c r="A311" s="325" t="s">
        <v>677</v>
      </c>
      <c r="B311" s="325" t="s">
        <v>891</v>
      </c>
      <c r="C311" s="325" t="s">
        <v>1076</v>
      </c>
    </row>
    <row r="312" spans="1:3" x14ac:dyDescent="0.2">
      <c r="A312" s="325" t="s">
        <v>677</v>
      </c>
      <c r="B312" s="325" t="s">
        <v>892</v>
      </c>
      <c r="C312" s="325" t="s">
        <v>1077</v>
      </c>
    </row>
    <row r="313" spans="1:3" x14ac:dyDescent="0.2">
      <c r="A313" s="325" t="s">
        <v>677</v>
      </c>
      <c r="B313" s="325" t="s">
        <v>893</v>
      </c>
      <c r="C313" s="325" t="s">
        <v>1190</v>
      </c>
    </row>
    <row r="314" spans="1:3" x14ac:dyDescent="0.2">
      <c r="A314" s="325" t="s">
        <v>677</v>
      </c>
      <c r="B314" s="325" t="s">
        <v>894</v>
      </c>
      <c r="C314" s="325" t="s">
        <v>1234</v>
      </c>
    </row>
    <row r="315" spans="1:3" x14ac:dyDescent="0.2">
      <c r="A315" s="325" t="s">
        <v>677</v>
      </c>
      <c r="B315" s="325" t="s">
        <v>895</v>
      </c>
      <c r="C315" s="325" t="s">
        <v>1191</v>
      </c>
    </row>
    <row r="316" spans="1:3" x14ac:dyDescent="0.2">
      <c r="A316" s="325" t="s">
        <v>677</v>
      </c>
      <c r="B316" s="325" t="s">
        <v>896</v>
      </c>
      <c r="C316" s="325" t="s">
        <v>1235</v>
      </c>
    </row>
    <row r="317" spans="1:3" x14ac:dyDescent="0.2">
      <c r="A317" s="325" t="s">
        <v>677</v>
      </c>
      <c r="B317" s="325" t="s">
        <v>897</v>
      </c>
      <c r="C317" s="325" t="s">
        <v>1192</v>
      </c>
    </row>
    <row r="318" spans="1:3" x14ac:dyDescent="0.2">
      <c r="A318" s="325" t="s">
        <v>677</v>
      </c>
      <c r="B318" s="325" t="s">
        <v>898</v>
      </c>
      <c r="C318" s="325" t="s">
        <v>1078</v>
      </c>
    </row>
    <row r="319" spans="1:3" x14ac:dyDescent="0.2">
      <c r="A319" s="325" t="s">
        <v>677</v>
      </c>
      <c r="B319" s="325" t="s">
        <v>899</v>
      </c>
      <c r="C319" s="325" t="s">
        <v>1079</v>
      </c>
    </row>
    <row r="320" spans="1:3" x14ac:dyDescent="0.2">
      <c r="A320" s="325" t="s">
        <v>677</v>
      </c>
      <c r="B320" s="325" t="s">
        <v>900</v>
      </c>
      <c r="C320" s="325" t="s">
        <v>1193</v>
      </c>
    </row>
    <row r="321" spans="1:3" x14ac:dyDescent="0.2">
      <c r="A321" s="325" t="s">
        <v>677</v>
      </c>
      <c r="B321" s="325" t="s">
        <v>901</v>
      </c>
      <c r="C321" s="325" t="s">
        <v>1194</v>
      </c>
    </row>
    <row r="322" spans="1:3" x14ac:dyDescent="0.2">
      <c r="A322" s="325" t="s">
        <v>677</v>
      </c>
      <c r="B322" s="325" t="s">
        <v>902</v>
      </c>
      <c r="C322" s="325" t="s">
        <v>1195</v>
      </c>
    </row>
    <row r="323" spans="1:3" x14ac:dyDescent="0.2">
      <c r="A323" s="325" t="s">
        <v>677</v>
      </c>
      <c r="B323" s="325" t="s">
        <v>903</v>
      </c>
      <c r="C323" s="325" t="s">
        <v>1080</v>
      </c>
    </row>
    <row r="324" spans="1:3" x14ac:dyDescent="0.2">
      <c r="A324" s="325" t="s">
        <v>677</v>
      </c>
      <c r="B324" s="325" t="s">
        <v>904</v>
      </c>
      <c r="C324" s="325" t="s">
        <v>1081</v>
      </c>
    </row>
    <row r="325" spans="1:3" x14ac:dyDescent="0.2">
      <c r="A325" s="325" t="s">
        <v>677</v>
      </c>
      <c r="B325" s="325" t="s">
        <v>905</v>
      </c>
      <c r="C325" s="325" t="s">
        <v>387</v>
      </c>
    </row>
    <row r="326" spans="1:3" x14ac:dyDescent="0.2">
      <c r="A326" s="325" t="s">
        <v>677</v>
      </c>
      <c r="B326" s="325" t="s">
        <v>906</v>
      </c>
      <c r="C326" s="325" t="s">
        <v>679</v>
      </c>
    </row>
    <row r="327" spans="1:3" x14ac:dyDescent="0.2">
      <c r="A327" s="325" t="s">
        <v>677</v>
      </c>
      <c r="B327" s="325" t="s">
        <v>907</v>
      </c>
      <c r="C327" s="325" t="s">
        <v>1082</v>
      </c>
    </row>
    <row r="328" spans="1:3" x14ac:dyDescent="0.2">
      <c r="A328" s="325" t="s">
        <v>677</v>
      </c>
      <c r="B328" s="325" t="s">
        <v>908</v>
      </c>
      <c r="C328" s="325" t="s">
        <v>1083</v>
      </c>
    </row>
    <row r="329" spans="1:3" x14ac:dyDescent="0.2">
      <c r="A329" s="325" t="s">
        <v>677</v>
      </c>
      <c r="B329" s="325" t="s">
        <v>909</v>
      </c>
      <c r="C329" s="325" t="s">
        <v>1084</v>
      </c>
    </row>
    <row r="330" spans="1:3" x14ac:dyDescent="0.2">
      <c r="A330" s="325" t="s">
        <v>677</v>
      </c>
      <c r="B330" s="325" t="s">
        <v>910</v>
      </c>
      <c r="C330" s="325" t="s">
        <v>1085</v>
      </c>
    </row>
    <row r="331" spans="1:3" x14ac:dyDescent="0.2">
      <c r="A331" s="325" t="s">
        <v>677</v>
      </c>
      <c r="B331" s="325" t="s">
        <v>911</v>
      </c>
      <c r="C331" s="325" t="s">
        <v>1086</v>
      </c>
    </row>
    <row r="332" spans="1:3" x14ac:dyDescent="0.2">
      <c r="A332" s="325" t="s">
        <v>677</v>
      </c>
      <c r="B332" s="325" t="s">
        <v>912</v>
      </c>
      <c r="C332" s="325" t="s">
        <v>1087</v>
      </c>
    </row>
    <row r="333" spans="1:3" x14ac:dyDescent="0.2">
      <c r="A333" s="325" t="s">
        <v>677</v>
      </c>
      <c r="B333" s="325" t="s">
        <v>913</v>
      </c>
      <c r="C333" s="325" t="s">
        <v>1196</v>
      </c>
    </row>
    <row r="334" spans="1:3" x14ac:dyDescent="0.2">
      <c r="A334" s="325" t="s">
        <v>677</v>
      </c>
      <c r="B334" s="325" t="s">
        <v>914</v>
      </c>
      <c r="C334" s="325" t="s">
        <v>1197</v>
      </c>
    </row>
    <row r="335" spans="1:3" x14ac:dyDescent="0.2">
      <c r="A335" s="325" t="s">
        <v>677</v>
      </c>
      <c r="B335" s="325" t="s">
        <v>915</v>
      </c>
      <c r="C335" s="325" t="s">
        <v>1198</v>
      </c>
    </row>
    <row r="336" spans="1:3" x14ac:dyDescent="0.2">
      <c r="A336" s="325" t="s">
        <v>677</v>
      </c>
      <c r="B336" s="325" t="s">
        <v>916</v>
      </c>
      <c r="C336" s="325" t="s">
        <v>1199</v>
      </c>
    </row>
    <row r="337" spans="1:3" x14ac:dyDescent="0.2">
      <c r="A337" s="325" t="s">
        <v>677</v>
      </c>
      <c r="B337" s="325" t="s">
        <v>917</v>
      </c>
      <c r="C337" s="325" t="s">
        <v>1200</v>
      </c>
    </row>
    <row r="338" spans="1:3" x14ac:dyDescent="0.2">
      <c r="A338" s="325" t="s">
        <v>677</v>
      </c>
      <c r="B338" s="325" t="s">
        <v>918</v>
      </c>
      <c r="C338" s="325" t="s">
        <v>1201</v>
      </c>
    </row>
    <row r="339" spans="1:3" x14ac:dyDescent="0.2">
      <c r="A339" s="325" t="s">
        <v>677</v>
      </c>
      <c r="B339" s="325" t="s">
        <v>919</v>
      </c>
      <c r="C339" s="325" t="s">
        <v>1202</v>
      </c>
    </row>
    <row r="340" spans="1:3" x14ac:dyDescent="0.2">
      <c r="A340" s="325" t="s">
        <v>677</v>
      </c>
      <c r="B340" s="325" t="s">
        <v>920</v>
      </c>
      <c r="C340" s="325" t="s">
        <v>1088</v>
      </c>
    </row>
    <row r="341" spans="1:3" x14ac:dyDescent="0.2">
      <c r="A341" s="325" t="s">
        <v>677</v>
      </c>
      <c r="B341" s="325" t="s">
        <v>921</v>
      </c>
      <c r="C341" s="325" t="s">
        <v>1203</v>
      </c>
    </row>
    <row r="342" spans="1:3" x14ac:dyDescent="0.2">
      <c r="A342" s="325" t="s">
        <v>677</v>
      </c>
      <c r="B342" s="325" t="s">
        <v>922</v>
      </c>
      <c r="C342" s="325" t="s">
        <v>1089</v>
      </c>
    </row>
    <row r="343" spans="1:3" x14ac:dyDescent="0.2">
      <c r="A343" s="325" t="s">
        <v>677</v>
      </c>
      <c r="B343" s="325" t="s">
        <v>923</v>
      </c>
      <c r="C343" s="325" t="s">
        <v>1204</v>
      </c>
    </row>
    <row r="344" spans="1:3" x14ac:dyDescent="0.2">
      <c r="A344" s="325" t="s">
        <v>677</v>
      </c>
      <c r="B344" s="325" t="s">
        <v>924</v>
      </c>
      <c r="C344" s="325" t="s">
        <v>1205</v>
      </c>
    </row>
    <row r="345" spans="1:3" x14ac:dyDescent="0.2">
      <c r="A345" s="325" t="s">
        <v>677</v>
      </c>
      <c r="B345" s="325" t="s">
        <v>927</v>
      </c>
      <c r="C345" s="325" t="s">
        <v>1090</v>
      </c>
    </row>
    <row r="346" spans="1:3" x14ac:dyDescent="0.2">
      <c r="A346" s="325" t="s">
        <v>677</v>
      </c>
      <c r="B346" s="325" t="s">
        <v>928</v>
      </c>
      <c r="C346" s="325" t="s">
        <v>1091</v>
      </c>
    </row>
    <row r="347" spans="1:3" x14ac:dyDescent="0.2">
      <c r="A347" s="325" t="s">
        <v>677</v>
      </c>
      <c r="B347" s="325" t="s">
        <v>929</v>
      </c>
      <c r="C347" s="325" t="s">
        <v>1092</v>
      </c>
    </row>
    <row r="348" spans="1:3" x14ac:dyDescent="0.2">
      <c r="A348" s="325" t="s">
        <v>677</v>
      </c>
      <c r="B348" s="325" t="s">
        <v>930</v>
      </c>
      <c r="C348" s="325" t="s">
        <v>1093</v>
      </c>
    </row>
    <row r="349" spans="1:3" x14ac:dyDescent="0.2">
      <c r="A349" s="325" t="s">
        <v>677</v>
      </c>
      <c r="B349" s="325" t="s">
        <v>931</v>
      </c>
      <c r="C349" s="325" t="s">
        <v>1094</v>
      </c>
    </row>
    <row r="350" spans="1:3" x14ac:dyDescent="0.2">
      <c r="A350" s="325" t="s">
        <v>677</v>
      </c>
      <c r="B350" s="325" t="s">
        <v>932</v>
      </c>
      <c r="C350" s="325" t="s">
        <v>1095</v>
      </c>
    </row>
    <row r="351" spans="1:3" x14ac:dyDescent="0.2">
      <c r="A351" s="325" t="s">
        <v>677</v>
      </c>
      <c r="B351" s="325" t="s">
        <v>933</v>
      </c>
      <c r="C351" s="325" t="s">
        <v>387</v>
      </c>
    </row>
    <row r="352" spans="1:3" x14ac:dyDescent="0.2">
      <c r="A352" s="325" t="s">
        <v>677</v>
      </c>
      <c r="B352" s="325" t="s">
        <v>934</v>
      </c>
      <c r="C352" s="325" t="s">
        <v>387</v>
      </c>
    </row>
    <row r="353" spans="1:3" x14ac:dyDescent="0.2">
      <c r="A353" s="325" t="s">
        <v>677</v>
      </c>
      <c r="B353" s="325" t="s">
        <v>935</v>
      </c>
      <c r="C353" s="325" t="s">
        <v>1096</v>
      </c>
    </row>
    <row r="354" spans="1:3" x14ac:dyDescent="0.2">
      <c r="A354" s="325" t="s">
        <v>677</v>
      </c>
      <c r="B354" s="325" t="s">
        <v>936</v>
      </c>
      <c r="C354" s="325" t="s">
        <v>1097</v>
      </c>
    </row>
    <row r="355" spans="1:3" x14ac:dyDescent="0.2">
      <c r="A355" s="325" t="s">
        <v>677</v>
      </c>
      <c r="B355" s="325" t="s">
        <v>937</v>
      </c>
      <c r="C355" s="325" t="s">
        <v>1098</v>
      </c>
    </row>
    <row r="356" spans="1:3" x14ac:dyDescent="0.2">
      <c r="A356" s="325" t="s">
        <v>677</v>
      </c>
      <c r="B356" s="325" t="s">
        <v>938</v>
      </c>
      <c r="C356" s="325" t="s">
        <v>1099</v>
      </c>
    </row>
    <row r="357" spans="1:3" x14ac:dyDescent="0.2">
      <c r="A357" s="325" t="s">
        <v>677</v>
      </c>
      <c r="B357" s="325" t="s">
        <v>939</v>
      </c>
      <c r="C357" s="325" t="s">
        <v>1100</v>
      </c>
    </row>
    <row r="358" spans="1:3" x14ac:dyDescent="0.2">
      <c r="A358" s="325" t="s">
        <v>677</v>
      </c>
      <c r="B358" s="325" t="s">
        <v>940</v>
      </c>
      <c r="C358" s="325" t="s">
        <v>387</v>
      </c>
    </row>
    <row r="359" spans="1:3" x14ac:dyDescent="0.2">
      <c r="A359" s="325" t="s">
        <v>677</v>
      </c>
      <c r="B359" s="325" t="s">
        <v>941</v>
      </c>
      <c r="C359" s="325" t="s">
        <v>1101</v>
      </c>
    </row>
    <row r="360" spans="1:3" x14ac:dyDescent="0.2">
      <c r="A360" s="325" t="s">
        <v>677</v>
      </c>
      <c r="B360" s="325" t="s">
        <v>942</v>
      </c>
      <c r="C360" s="325" t="s">
        <v>1102</v>
      </c>
    </row>
    <row r="361" spans="1:3" x14ac:dyDescent="0.2">
      <c r="A361" s="325" t="s">
        <v>677</v>
      </c>
      <c r="B361" s="325" t="s">
        <v>943</v>
      </c>
      <c r="C361" s="325" t="s">
        <v>903</v>
      </c>
    </row>
    <row r="362" spans="1:3" x14ac:dyDescent="0.2">
      <c r="A362" s="325" t="s">
        <v>677</v>
      </c>
      <c r="B362" s="325" t="s">
        <v>944</v>
      </c>
      <c r="C362" s="325" t="s">
        <v>1103</v>
      </c>
    </row>
    <row r="363" spans="1:3" x14ac:dyDescent="0.2">
      <c r="A363" s="325" t="s">
        <v>677</v>
      </c>
      <c r="B363" s="325" t="s">
        <v>945</v>
      </c>
      <c r="C363" s="325" t="s">
        <v>1104</v>
      </c>
    </row>
    <row r="364" spans="1:3" x14ac:dyDescent="0.2">
      <c r="A364" s="325" t="s">
        <v>677</v>
      </c>
      <c r="B364" s="325" t="s">
        <v>946</v>
      </c>
      <c r="C364" s="325" t="s">
        <v>1105</v>
      </c>
    </row>
    <row r="365" spans="1:3" x14ac:dyDescent="0.2">
      <c r="A365" s="325" t="s">
        <v>677</v>
      </c>
      <c r="B365" s="325" t="s">
        <v>947</v>
      </c>
      <c r="C365" s="325" t="s">
        <v>1034</v>
      </c>
    </row>
    <row r="366" spans="1:3" x14ac:dyDescent="0.2">
      <c r="A366" s="325" t="s">
        <v>677</v>
      </c>
      <c r="B366" s="325" t="s">
        <v>948</v>
      </c>
      <c r="C366" s="325" t="s">
        <v>1106</v>
      </c>
    </row>
    <row r="367" spans="1:3" x14ac:dyDescent="0.2">
      <c r="A367" s="325" t="s">
        <v>677</v>
      </c>
      <c r="B367" s="325" t="s">
        <v>949</v>
      </c>
      <c r="C367" s="325" t="s">
        <v>1107</v>
      </c>
    </row>
    <row r="368" spans="1:3" x14ac:dyDescent="0.2">
      <c r="A368" s="325" t="s">
        <v>677</v>
      </c>
      <c r="B368" s="325" t="s">
        <v>950</v>
      </c>
      <c r="C368" s="325" t="s">
        <v>949</v>
      </c>
    </row>
    <row r="369" spans="1:3" x14ac:dyDescent="0.2">
      <c r="A369" s="325" t="s">
        <v>677</v>
      </c>
      <c r="B369" s="325" t="s">
        <v>951</v>
      </c>
      <c r="C369" s="325" t="s">
        <v>1108</v>
      </c>
    </row>
    <row r="370" spans="1:3" x14ac:dyDescent="0.2">
      <c r="A370" s="325" t="s">
        <v>677</v>
      </c>
      <c r="B370" s="325" t="s">
        <v>952</v>
      </c>
      <c r="C370" s="325" t="s">
        <v>1109</v>
      </c>
    </row>
    <row r="371" spans="1:3" x14ac:dyDescent="0.2">
      <c r="A371" s="325" t="s">
        <v>677</v>
      </c>
      <c r="B371" s="325" t="s">
        <v>953</v>
      </c>
      <c r="C371" s="325" t="s">
        <v>1110</v>
      </c>
    </row>
    <row r="372" spans="1:3" x14ac:dyDescent="0.2">
      <c r="A372" s="325" t="s">
        <v>677</v>
      </c>
      <c r="B372" s="325" t="s">
        <v>954</v>
      </c>
      <c r="C372" s="325" t="s">
        <v>1111</v>
      </c>
    </row>
    <row r="373" spans="1:3" x14ac:dyDescent="0.2">
      <c r="A373" s="325" t="s">
        <v>677</v>
      </c>
      <c r="B373" s="325" t="s">
        <v>955</v>
      </c>
      <c r="C373" s="325" t="s">
        <v>1112</v>
      </c>
    </row>
    <row r="374" spans="1:3" x14ac:dyDescent="0.2">
      <c r="A374" s="325" t="s">
        <v>677</v>
      </c>
      <c r="B374" s="325" t="s">
        <v>956</v>
      </c>
      <c r="C374" s="325" t="s">
        <v>1113</v>
      </c>
    </row>
    <row r="375" spans="1:3" x14ac:dyDescent="0.2">
      <c r="A375" s="325" t="s">
        <v>677</v>
      </c>
      <c r="B375" s="325" t="s">
        <v>957</v>
      </c>
      <c r="C375" s="325" t="s">
        <v>1114</v>
      </c>
    </row>
    <row r="376" spans="1:3" x14ac:dyDescent="0.2">
      <c r="A376" s="325" t="s">
        <v>677</v>
      </c>
      <c r="B376" s="325" t="s">
        <v>958</v>
      </c>
      <c r="C376" s="325" t="s">
        <v>1115</v>
      </c>
    </row>
    <row r="377" spans="1:3" x14ac:dyDescent="0.2">
      <c r="A377" s="325" t="s">
        <v>677</v>
      </c>
      <c r="B377" s="325" t="s">
        <v>959</v>
      </c>
      <c r="C377" s="325" t="s">
        <v>1116</v>
      </c>
    </row>
    <row r="378" spans="1:3" x14ac:dyDescent="0.2">
      <c r="A378" s="325" t="s">
        <v>677</v>
      </c>
      <c r="B378" s="325" t="s">
        <v>960</v>
      </c>
      <c r="C378" s="325" t="s">
        <v>1206</v>
      </c>
    </row>
    <row r="379" spans="1:3" x14ac:dyDescent="0.2">
      <c r="A379" s="325" t="s">
        <v>677</v>
      </c>
      <c r="B379" s="325" t="s">
        <v>961</v>
      </c>
      <c r="C379" s="325" t="s">
        <v>1117</v>
      </c>
    </row>
    <row r="380" spans="1:3" x14ac:dyDescent="0.2">
      <c r="A380" s="325" t="s">
        <v>677</v>
      </c>
      <c r="B380" s="325" t="s">
        <v>962</v>
      </c>
      <c r="C380" s="325" t="s">
        <v>1118</v>
      </c>
    </row>
    <row r="381" spans="1:3" x14ac:dyDescent="0.2">
      <c r="A381" s="325" t="s">
        <v>677</v>
      </c>
      <c r="B381" s="325" t="s">
        <v>963</v>
      </c>
      <c r="C381" s="325" t="s">
        <v>1207</v>
      </c>
    </row>
    <row r="382" spans="1:3" x14ac:dyDescent="0.2">
      <c r="A382" s="325" t="s">
        <v>677</v>
      </c>
      <c r="B382" s="325" t="s">
        <v>964</v>
      </c>
      <c r="C382" s="325" t="s">
        <v>1119</v>
      </c>
    </row>
    <row r="383" spans="1:3" x14ac:dyDescent="0.2">
      <c r="A383" s="325" t="s">
        <v>677</v>
      </c>
      <c r="B383" s="325" t="s">
        <v>965</v>
      </c>
      <c r="C383" s="325" t="s">
        <v>1208</v>
      </c>
    </row>
    <row r="384" spans="1:3" x14ac:dyDescent="0.2">
      <c r="A384" s="325" t="s">
        <v>677</v>
      </c>
      <c r="B384" s="325" t="s">
        <v>966</v>
      </c>
      <c r="C384" s="325" t="s">
        <v>1120</v>
      </c>
    </row>
    <row r="385" spans="1:3" x14ac:dyDescent="0.2">
      <c r="A385" s="325" t="s">
        <v>677</v>
      </c>
      <c r="B385" s="325" t="s">
        <v>969</v>
      </c>
      <c r="C385" s="325" t="s">
        <v>1121</v>
      </c>
    </row>
    <row r="386" spans="1:3" x14ac:dyDescent="0.2">
      <c r="A386" s="325" t="s">
        <v>677</v>
      </c>
      <c r="B386" s="325" t="s">
        <v>970</v>
      </c>
      <c r="C386" s="325" t="s">
        <v>1122</v>
      </c>
    </row>
    <row r="387" spans="1:3" x14ac:dyDescent="0.2">
      <c r="A387" s="325" t="s">
        <v>677</v>
      </c>
      <c r="B387" s="325" t="s">
        <v>971</v>
      </c>
      <c r="C387" s="325" t="s">
        <v>1123</v>
      </c>
    </row>
    <row r="388" spans="1:3" x14ac:dyDescent="0.2">
      <c r="A388" s="325" t="s">
        <v>677</v>
      </c>
      <c r="B388" s="325" t="s">
        <v>972</v>
      </c>
      <c r="C388" s="325" t="s">
        <v>1124</v>
      </c>
    </row>
    <row r="389" spans="1:3" x14ac:dyDescent="0.2">
      <c r="A389" s="325" t="s">
        <v>677</v>
      </c>
      <c r="B389" s="325" t="s">
        <v>973</v>
      </c>
      <c r="C389" s="325" t="s">
        <v>1125</v>
      </c>
    </row>
    <row r="390" spans="1:3" x14ac:dyDescent="0.2">
      <c r="A390" s="325" t="s">
        <v>677</v>
      </c>
      <c r="B390" s="325" t="s">
        <v>974</v>
      </c>
      <c r="C390" s="325" t="s">
        <v>1209</v>
      </c>
    </row>
    <row r="391" spans="1:3" x14ac:dyDescent="0.2">
      <c r="A391" s="325" t="s">
        <v>677</v>
      </c>
      <c r="B391" s="325" t="s">
        <v>976</v>
      </c>
      <c r="C391" s="325" t="s">
        <v>1210</v>
      </c>
    </row>
    <row r="392" spans="1:3" x14ac:dyDescent="0.2">
      <c r="A392" s="325" t="s">
        <v>677</v>
      </c>
      <c r="B392" s="325" t="s">
        <v>978</v>
      </c>
      <c r="C392" s="325" t="s">
        <v>1126</v>
      </c>
    </row>
    <row r="393" spans="1:3" x14ac:dyDescent="0.2">
      <c r="A393" s="325" t="s">
        <v>677</v>
      </c>
      <c r="B393" s="325" t="s">
        <v>979</v>
      </c>
      <c r="C393" s="325" t="s">
        <v>1127</v>
      </c>
    </row>
    <row r="394" spans="1:3" x14ac:dyDescent="0.2">
      <c r="A394" s="325" t="s">
        <v>677</v>
      </c>
      <c r="B394" s="325" t="s">
        <v>980</v>
      </c>
      <c r="C394" s="325" t="s">
        <v>1128</v>
      </c>
    </row>
    <row r="395" spans="1:3" x14ac:dyDescent="0.2">
      <c r="A395" s="325" t="s">
        <v>677</v>
      </c>
      <c r="B395" s="325" t="s">
        <v>981</v>
      </c>
      <c r="C395" s="325" t="s">
        <v>1129</v>
      </c>
    </row>
  </sheetData>
  <autoFilter ref="A1:C1" xr:uid="{93BEEE00-1408-4309-82B1-A27000269D9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53</vt:i4>
      </vt:variant>
    </vt:vector>
  </HeadingPairs>
  <TitlesOfParts>
    <vt:vector size="63" baseType="lpstr">
      <vt:lpstr>TOC_metadata</vt:lpstr>
      <vt:lpstr>Retirees</vt:lpstr>
      <vt:lpstr>Actives</vt:lpstr>
      <vt:lpstr>Beneficiaries in Pay</vt:lpstr>
      <vt:lpstr>Separated Vested</vt:lpstr>
      <vt:lpstr>Tables</vt:lpstr>
      <vt:lpstr>mySort</vt:lpstr>
      <vt:lpstr>V1_Cell_Field_Relation</vt:lpstr>
      <vt:lpstr>V1_Named_Ranges</vt:lpstr>
      <vt:lpstr>V1_Row2_Formulas</vt:lpstr>
      <vt:lpstr>Actives!Active</vt:lpstr>
      <vt:lpstr>Active</vt:lpstr>
      <vt:lpstr>Actives!Active_Vesteds</vt:lpstr>
      <vt:lpstr>Active_Vesteds</vt:lpstr>
      <vt:lpstr>AEQ_Rates</vt:lpstr>
      <vt:lpstr>All_Criteria</vt:lpstr>
      <vt:lpstr>Annuity_Criteria</vt:lpstr>
      <vt:lpstr>Annuity_Rates</vt:lpstr>
      <vt:lpstr>AX</vt:lpstr>
      <vt:lpstr>Beneficiaries_in_Pay</vt:lpstr>
      <vt:lpstr>Beneficiary_Criteria</vt:lpstr>
      <vt:lpstr>Benefit_Rate_Table</vt:lpstr>
      <vt:lpstr>BFCF_RATES</vt:lpstr>
      <vt:lpstr>BFCF_Table</vt:lpstr>
      <vt:lpstr>BFCF_Table_2</vt:lpstr>
      <vt:lpstr>BFCF_Table_3</vt:lpstr>
      <vt:lpstr>BRCHANGE</vt:lpstr>
      <vt:lpstr>Covered_Comp_Table</vt:lpstr>
      <vt:lpstr>DOPT</vt:lpstr>
      <vt:lpstr>DOPT_1_Medicare_Benefit</vt:lpstr>
      <vt:lpstr>DOPT_3</vt:lpstr>
      <vt:lpstr>DOPT_Medicare_Benefit</vt:lpstr>
      <vt:lpstr>DY</vt:lpstr>
      <vt:lpstr>ep</vt:lpstr>
      <vt:lpstr>ERF_Table</vt:lpstr>
      <vt:lpstr>Initial_Annuity_Interest_Rate</vt:lpstr>
      <vt:lpstr>INT_NEW</vt:lpstr>
      <vt:lpstr>Load_Percent</vt:lpstr>
      <vt:lpstr>LRF</vt:lpstr>
      <vt:lpstr>LRF_Table</vt:lpstr>
      <vt:lpstr>LS_Rates</vt:lpstr>
      <vt:lpstr>Medicare_Rates</vt:lpstr>
      <vt:lpstr>Participant_Criteria</vt:lpstr>
      <vt:lpstr>PBGC_BFCF_Table</vt:lpstr>
      <vt:lpstr>PBGC_ERF</vt:lpstr>
      <vt:lpstr>PBGC_LRF</vt:lpstr>
      <vt:lpstr>PBGC_MAX</vt:lpstr>
      <vt:lpstr>PBGC_Option_Rates</vt:lpstr>
      <vt:lpstr>PC6_4022C_AR</vt:lpstr>
      <vt:lpstr>Plan_Date</vt:lpstr>
      <vt:lpstr>Plan_LRF_Table</vt:lpstr>
      <vt:lpstr>Post_Retirement_Interest</vt:lpstr>
      <vt:lpstr>Pre_Retirement_Interest</vt:lpstr>
      <vt:lpstr>Tables!Print_Area</vt:lpstr>
      <vt:lpstr>'Beneficiaries in Pay'!Retirees</vt:lpstr>
      <vt:lpstr>Retirees</vt:lpstr>
      <vt:lpstr>Actives!Separated_Vesteds</vt:lpstr>
      <vt:lpstr>Separated_Vesteds</vt:lpstr>
      <vt:lpstr>SPARR</vt:lpstr>
      <vt:lpstr>Total_4022C</vt:lpstr>
      <vt:lpstr>Total_Title_IV_PV</vt:lpstr>
      <vt:lpstr>Vesting_Table</vt:lpstr>
      <vt:lpstr>Vesting_Table_2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Lopez Herick</dc:creator>
  <cp:lastModifiedBy>Herick Lopez</cp:lastModifiedBy>
  <dcterms:created xsi:type="dcterms:W3CDTF">2019-07-17T20:01:33Z</dcterms:created>
  <dcterms:modified xsi:type="dcterms:W3CDTF">2026-04-26T13:28:35Z</dcterms:modified>
</cp:coreProperties>
</file>